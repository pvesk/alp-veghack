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8800" windowHeight="174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T7" i="1" l="1"/>
  <c r="KS29" i="1"/>
  <c r="KS28" i="1"/>
  <c r="KS27" i="1"/>
  <c r="KS26" i="1"/>
  <c r="KS25" i="1"/>
  <c r="KS24" i="1"/>
  <c r="KS23" i="1"/>
  <c r="KS22" i="1"/>
  <c r="KS21" i="1"/>
  <c r="KS20" i="1"/>
  <c r="KS19" i="1"/>
  <c r="KS18" i="1"/>
  <c r="KS17" i="1"/>
  <c r="KS16" i="1"/>
  <c r="KS15" i="1"/>
  <c r="KS14" i="1"/>
  <c r="KS13" i="1"/>
  <c r="KS12" i="1"/>
  <c r="KS11" i="1"/>
  <c r="KS10" i="1"/>
  <c r="KS9" i="1"/>
  <c r="KS8" i="1"/>
  <c r="KS7" i="1"/>
  <c r="KR7" i="1"/>
  <c r="KR8" i="1"/>
  <c r="KR9" i="1"/>
  <c r="KR10" i="1"/>
  <c r="KR11" i="1"/>
  <c r="KR12" i="1"/>
  <c r="KR13" i="1"/>
  <c r="KR14" i="1"/>
  <c r="KR15" i="1"/>
  <c r="KR16" i="1"/>
  <c r="KR17" i="1"/>
  <c r="KR18" i="1"/>
  <c r="KR19" i="1"/>
  <c r="KR20" i="1"/>
  <c r="KR21" i="1"/>
  <c r="KR22" i="1"/>
  <c r="KR23" i="1"/>
  <c r="KR24" i="1"/>
  <c r="KR25" i="1"/>
  <c r="KR26" i="1"/>
  <c r="KR27" i="1"/>
  <c r="KR28" i="1"/>
  <c r="KR29" i="1"/>
  <c r="KR30" i="1"/>
  <c r="KR31" i="1"/>
  <c r="KR32" i="1"/>
  <c r="KR33" i="1"/>
  <c r="KR34" i="1"/>
  <c r="KR35" i="1"/>
  <c r="KR36" i="1"/>
  <c r="KR37" i="1"/>
  <c r="KR38" i="1"/>
  <c r="KR39" i="1"/>
  <c r="KR40" i="1"/>
  <c r="KR41" i="1"/>
  <c r="KR42" i="1"/>
  <c r="KR43" i="1"/>
  <c r="KR44" i="1"/>
  <c r="KR45" i="1"/>
  <c r="KR46" i="1"/>
  <c r="KR47" i="1"/>
  <c r="KR48" i="1"/>
  <c r="KR49" i="1"/>
  <c r="KR50" i="1"/>
  <c r="KR51" i="1"/>
  <c r="KR52" i="1"/>
  <c r="KR53" i="1"/>
  <c r="KR54" i="1"/>
  <c r="KR55" i="1"/>
  <c r="KR56" i="1"/>
  <c r="KR57" i="1"/>
  <c r="KR58" i="1"/>
  <c r="KR59" i="1"/>
  <c r="KR60" i="1"/>
  <c r="KR61" i="1"/>
  <c r="KR62" i="1"/>
  <c r="KR63" i="1"/>
  <c r="KR64" i="1"/>
  <c r="KR65" i="1"/>
  <c r="KR66" i="1"/>
  <c r="KR67" i="1"/>
  <c r="KR68" i="1"/>
  <c r="KR69" i="1"/>
  <c r="KR70" i="1"/>
  <c r="KR71" i="1"/>
  <c r="KR72" i="1"/>
  <c r="KR73" i="1"/>
  <c r="KR74" i="1"/>
  <c r="KR75" i="1"/>
  <c r="KR76" i="1"/>
  <c r="KR77" i="1"/>
  <c r="KR78" i="1"/>
  <c r="KR79" i="1"/>
  <c r="KR80" i="1"/>
  <c r="KR81" i="1"/>
  <c r="KR82" i="1"/>
  <c r="KR83" i="1"/>
  <c r="KR84" i="1"/>
  <c r="KR85" i="1"/>
  <c r="KR86" i="1"/>
  <c r="KR87" i="1"/>
  <c r="KR88" i="1"/>
  <c r="KR89" i="1"/>
  <c r="KR90" i="1"/>
  <c r="KR91" i="1"/>
  <c r="KR92" i="1"/>
  <c r="KR93" i="1"/>
  <c r="KR94" i="1"/>
  <c r="KR95" i="1"/>
  <c r="KR96" i="1"/>
  <c r="KR97" i="1"/>
  <c r="KR98" i="1"/>
  <c r="KR103" i="1"/>
  <c r="KR102" i="1"/>
  <c r="KR101" i="1"/>
  <c r="KR100" i="1"/>
  <c r="KR99" i="1"/>
  <c r="PX7" i="1"/>
  <c r="PX30" i="1"/>
  <c r="PX53" i="1"/>
  <c r="PX76" i="1"/>
  <c r="PX99" i="1"/>
  <c r="PX100" i="1"/>
  <c r="PX101" i="1"/>
  <c r="PX102" i="1"/>
  <c r="PX103" i="1"/>
  <c r="PX104" i="1"/>
  <c r="PX105" i="1"/>
  <c r="PX106" i="1"/>
  <c r="PX107" i="1"/>
  <c r="PX108" i="1"/>
  <c r="PX109" i="1"/>
  <c r="PX110" i="1"/>
  <c r="PX115" i="1"/>
  <c r="PX116" i="1"/>
  <c r="PX117" i="1"/>
  <c r="PX118" i="1"/>
  <c r="PX119" i="1"/>
  <c r="PX120" i="1"/>
  <c r="PX121" i="1"/>
  <c r="PX122" i="1"/>
  <c r="PX123" i="1"/>
  <c r="QK76" i="1"/>
  <c r="QK53" i="1"/>
  <c r="QK30" i="1"/>
  <c r="QK7" i="1"/>
  <c r="QL106" i="1"/>
  <c r="QM106" i="1"/>
  <c r="QL104" i="1"/>
  <c r="QM104" i="1"/>
  <c r="QL103" i="1"/>
  <c r="QM103" i="1"/>
  <c r="QK123" i="1"/>
  <c r="QK122" i="1"/>
  <c r="QK121" i="1"/>
  <c r="QK120" i="1"/>
  <c r="QK119" i="1"/>
  <c r="QK117" i="1"/>
  <c r="QK116" i="1"/>
  <c r="QK115" i="1"/>
  <c r="QK113" i="1"/>
  <c r="QK112" i="1"/>
  <c r="QK111" i="1"/>
  <c r="QK110" i="1"/>
  <c r="QK109" i="1"/>
  <c r="QK108" i="1"/>
  <c r="QK107" i="1"/>
  <c r="QK106" i="1"/>
  <c r="QK105" i="1"/>
  <c r="QK104" i="1"/>
  <c r="QK103" i="1"/>
  <c r="QK102" i="1"/>
  <c r="QK101" i="1"/>
  <c r="QK100" i="1"/>
  <c r="QK99" i="1"/>
  <c r="QL102" i="1"/>
  <c r="QL105" i="1"/>
  <c r="QL107" i="1"/>
  <c r="QL108" i="1"/>
  <c r="QL109" i="1"/>
  <c r="QL110" i="1"/>
  <c r="QL111" i="1"/>
  <c r="QL112" i="1"/>
  <c r="QL113" i="1"/>
  <c r="QL115" i="1"/>
  <c r="QL116" i="1"/>
  <c r="QL117" i="1"/>
  <c r="QL119" i="1"/>
  <c r="QL120" i="1"/>
  <c r="QL121" i="1"/>
  <c r="QL122" i="1"/>
  <c r="QL123" i="1"/>
  <c r="QL101" i="1"/>
  <c r="QL100" i="1"/>
  <c r="QL99" i="1"/>
  <c r="QL98" i="1"/>
  <c r="QL97" i="1"/>
  <c r="QL96" i="1"/>
  <c r="QL95" i="1"/>
  <c r="QL94" i="1"/>
  <c r="QL93" i="1"/>
  <c r="QL92" i="1"/>
  <c r="QL91" i="1"/>
  <c r="QL90" i="1"/>
  <c r="QL89" i="1"/>
  <c r="QL88" i="1"/>
  <c r="QL87" i="1"/>
  <c r="QL86" i="1"/>
  <c r="QL85" i="1"/>
  <c r="QL84" i="1"/>
  <c r="QL83" i="1"/>
  <c r="QL82" i="1"/>
  <c r="QL81" i="1"/>
  <c r="QL80" i="1"/>
  <c r="QL79" i="1"/>
  <c r="QL78" i="1"/>
  <c r="QL77" i="1"/>
  <c r="QL76" i="1"/>
  <c r="QL75" i="1"/>
  <c r="QL74" i="1"/>
  <c r="QL73" i="1"/>
  <c r="QL72" i="1"/>
  <c r="QL71" i="1"/>
  <c r="QL70" i="1"/>
  <c r="QL69" i="1"/>
  <c r="QL68" i="1"/>
  <c r="QL67" i="1"/>
  <c r="QL66" i="1"/>
  <c r="QL65" i="1"/>
  <c r="QL64" i="1"/>
  <c r="QL63" i="1"/>
  <c r="QL62" i="1"/>
  <c r="QL61" i="1"/>
  <c r="QL60" i="1"/>
  <c r="QL59" i="1"/>
  <c r="QL58" i="1"/>
  <c r="QL57" i="1"/>
  <c r="QL56" i="1"/>
  <c r="QL55" i="1"/>
  <c r="QL54" i="1"/>
  <c r="QL53" i="1"/>
  <c r="QL52" i="1"/>
  <c r="QL51" i="1"/>
  <c r="QL50" i="1"/>
  <c r="QL49" i="1"/>
  <c r="QL48" i="1"/>
  <c r="QL47" i="1"/>
  <c r="QL46" i="1"/>
  <c r="QL45" i="1"/>
  <c r="QL44" i="1"/>
  <c r="QL43" i="1"/>
  <c r="QL42" i="1"/>
  <c r="QL41" i="1"/>
  <c r="QL40" i="1"/>
  <c r="QL39" i="1"/>
  <c r="QL38" i="1"/>
  <c r="QL37" i="1"/>
  <c r="QL36" i="1"/>
  <c r="QL35" i="1"/>
  <c r="QL34" i="1"/>
  <c r="QL33" i="1"/>
  <c r="QL32" i="1"/>
  <c r="QL31" i="1"/>
  <c r="QL30" i="1"/>
  <c r="QL29" i="1"/>
  <c r="QL28" i="1"/>
  <c r="QL27" i="1"/>
  <c r="QL26" i="1"/>
  <c r="QL25" i="1"/>
  <c r="QL24" i="1"/>
  <c r="QL23" i="1"/>
  <c r="QL22" i="1"/>
  <c r="QL21" i="1"/>
  <c r="QL20" i="1"/>
  <c r="QL19" i="1"/>
  <c r="QL18" i="1"/>
  <c r="QL17" i="1"/>
  <c r="QL16" i="1"/>
  <c r="QL15" i="1"/>
  <c r="QL14" i="1"/>
  <c r="QL13" i="1"/>
  <c r="QL12" i="1"/>
  <c r="QL11" i="1"/>
  <c r="QL10" i="1"/>
  <c r="QL9" i="1"/>
  <c r="QL8" i="1"/>
  <c r="QL7" i="1"/>
</calcChain>
</file>

<file path=xl/sharedStrings.xml><?xml version="1.0" encoding="utf-8"?>
<sst xmlns="http://schemas.openxmlformats.org/spreadsheetml/2006/main" count="6846" uniqueCount="413">
  <si>
    <t>not</t>
  </si>
  <si>
    <t>constrained</t>
  </si>
  <si>
    <t>&gt;</t>
  </si>
  <si>
    <t>print(AlpVegRMM)</t>
  </si>
  <si>
    <t>Inference</t>
  </si>
  <si>
    <t>for</t>
  </si>
  <si>
    <t>Bugs</t>
  </si>
  <si>
    <t>model</t>
  </si>
  <si>
    <t>at</t>
  </si>
  <si>
    <t>/var/folders/xl/52qkmq0j5j568nph0hj2skf40000gn/T//Rtmp9HufNG/file61623497c98,</t>
  </si>
  <si>
    <t>fit</t>
  </si>
  <si>
    <t>using</t>
  </si>
  <si>
    <t>jags,</t>
  </si>
  <si>
    <t>chains,</t>
  </si>
  <si>
    <t>each</t>
  </si>
  <si>
    <t>with</t>
  </si>
  <si>
    <t>iterations</t>
  </si>
  <si>
    <t>(first</t>
  </si>
  <si>
    <t>discarded),</t>
  </si>
  <si>
    <t>n.thin</t>
  </si>
  <si>
    <t>=</t>
  </si>
  <si>
    <t>n.sims</t>
  </si>
  <si>
    <t>saved</t>
  </si>
  <si>
    <t>mu.vect</t>
  </si>
  <si>
    <t>sd.vect</t>
  </si>
  <si>
    <t>Rhat</t>
  </si>
  <si>
    <t>n.eff</t>
  </si>
  <si>
    <t>KK[1,1]</t>
  </si>
  <si>
    <t>KK[2,1]</t>
  </si>
  <si>
    <t>KK[3,1]</t>
  </si>
  <si>
    <t>KK[4,1]</t>
  </si>
  <si>
    <t>KK[5,1]</t>
  </si>
  <si>
    <t>KK[6,1]</t>
  </si>
  <si>
    <t>KK[7,1]</t>
  </si>
  <si>
    <t>KK[8,1]</t>
  </si>
  <si>
    <t>KK[9,1]</t>
  </si>
  <si>
    <t>KK[10,1]</t>
  </si>
  <si>
    <t>KK[11,1]</t>
  </si>
  <si>
    <t>KK[12,1]</t>
  </si>
  <si>
    <t>KK[13,1]</t>
  </si>
  <si>
    <t>KK[14,1]</t>
  </si>
  <si>
    <t>KK[15,1]</t>
  </si>
  <si>
    <t>KK[16,1]</t>
  </si>
  <si>
    <t>KK[17,1]</t>
  </si>
  <si>
    <t>KK[18,1]</t>
  </si>
  <si>
    <t>KK[19,1]</t>
  </si>
  <si>
    <t>KK[20,1]</t>
  </si>
  <si>
    <t>KK[21,1]</t>
  </si>
  <si>
    <t>KK[22,1]</t>
  </si>
  <si>
    <t>KK[23,1]</t>
  </si>
  <si>
    <t>KK[1,2]</t>
  </si>
  <si>
    <t>KK[2,2]</t>
  </si>
  <si>
    <t>KK[3,2]</t>
  </si>
  <si>
    <t>KK[4,2]</t>
  </si>
  <si>
    <t>KK[5,2]</t>
  </si>
  <si>
    <t>KK[6,2]</t>
  </si>
  <si>
    <t>KK[7,2]</t>
  </si>
  <si>
    <t>KK[8,2]</t>
  </si>
  <si>
    <t>KK[9,2]</t>
  </si>
  <si>
    <t>KK[10,2]</t>
  </si>
  <si>
    <t>KK[11,2]</t>
  </si>
  <si>
    <t>KK[12,2]</t>
  </si>
  <si>
    <t>KK[13,2]</t>
  </si>
  <si>
    <t>KK[14,2]</t>
  </si>
  <si>
    <t>KK[15,2]</t>
  </si>
  <si>
    <t>KK[16,2]</t>
  </si>
  <si>
    <t>KK[17,2]</t>
  </si>
  <si>
    <t>KK[18,2]</t>
  </si>
  <si>
    <t>KK[19,2]</t>
  </si>
  <si>
    <t>KK[20,2]</t>
  </si>
  <si>
    <t>KK[21,2]</t>
  </si>
  <si>
    <t>KK[22,2]</t>
  </si>
  <si>
    <t>KK[23,2]</t>
  </si>
  <si>
    <t>KK[1,3]</t>
  </si>
  <si>
    <t>KK[2,3]</t>
  </si>
  <si>
    <t>KK[3,3]</t>
  </si>
  <si>
    <t>KK[4,3]</t>
  </si>
  <si>
    <t>KK[5,3]</t>
  </si>
  <si>
    <t>KK[6,3]</t>
  </si>
  <si>
    <t>KK[7,3]</t>
  </si>
  <si>
    <t>KK[8,3]</t>
  </si>
  <si>
    <t>KK[9,3]</t>
  </si>
  <si>
    <t>KK[10,3]</t>
  </si>
  <si>
    <t>KK[11,3]</t>
  </si>
  <si>
    <t>KK[12,3]</t>
  </si>
  <si>
    <t>KK[13,3]</t>
  </si>
  <si>
    <t>KK[14,3]</t>
  </si>
  <si>
    <t>KK[15,3]</t>
  </si>
  <si>
    <t>KK[16,3]</t>
  </si>
  <si>
    <t>KK[17,3]</t>
  </si>
  <si>
    <t>KK[18,3]</t>
  </si>
  <si>
    <t>KK[19,3]</t>
  </si>
  <si>
    <t>KK[20,3]</t>
  </si>
  <si>
    <t>KK[21,3]</t>
  </si>
  <si>
    <t>KK[22,3]</t>
  </si>
  <si>
    <t>KK[23,3]</t>
  </si>
  <si>
    <t>KK[1,4]</t>
  </si>
  <si>
    <t>KK[2,4]</t>
  </si>
  <si>
    <t>KK[3,4]</t>
  </si>
  <si>
    <t>KK[4,4]</t>
  </si>
  <si>
    <t>KK[5,4]</t>
  </si>
  <si>
    <t>KK[6,4]</t>
  </si>
  <si>
    <t>KK[7,4]</t>
  </si>
  <si>
    <t>KK[8,4]</t>
  </si>
  <si>
    <t>KK[9,4]</t>
  </si>
  <si>
    <t>KK[10,4]</t>
  </si>
  <si>
    <t>KK[11,4]</t>
  </si>
  <si>
    <t>KK[12,4]</t>
  </si>
  <si>
    <t>KK[13,4]</t>
  </si>
  <si>
    <t>KK[14,4]</t>
  </si>
  <si>
    <t>KK[15,4]</t>
  </si>
  <si>
    <t>KK[16,4]</t>
  </si>
  <si>
    <t>KK[17,4]</t>
  </si>
  <si>
    <t>KK[18,4]</t>
  </si>
  <si>
    <t>KK[19,4]</t>
  </si>
  <si>
    <t>KK[20,4]</t>
  </si>
  <si>
    <t>KK[21,4]</t>
  </si>
  <si>
    <t>KK[22,4]</t>
  </si>
  <si>
    <t>KK[23,4]</t>
  </si>
  <si>
    <t>a.alt[1]</t>
  </si>
  <si>
    <t>a.alt[2]</t>
  </si>
  <si>
    <t>a.alt[3]</t>
  </si>
  <si>
    <t>a.alt[4]</t>
  </si>
  <si>
    <t>alpha.100[1]</t>
  </si>
  <si>
    <t>alpha.100[2]</t>
  </si>
  <si>
    <t>alpha.100[3]</t>
  </si>
  <si>
    <t>alpha.100[4]</t>
  </si>
  <si>
    <t>b.alt[1]</t>
  </si>
  <si>
    <t>b.alt[2]</t>
  </si>
  <si>
    <t>b.alt[3]</t>
  </si>
  <si>
    <t>b.alt[4]</t>
  </si>
  <si>
    <t>cb.ef[1]</t>
  </si>
  <si>
    <t>cb.ef[2]</t>
  </si>
  <si>
    <t>cb.ef[3]</t>
  </si>
  <si>
    <t>cb.ef[4]</t>
  </si>
  <si>
    <t>f.ef[1]</t>
  </si>
  <si>
    <t>f.ef[2]</t>
  </si>
  <si>
    <t>f.ef[3]</t>
  </si>
  <si>
    <t>f.ef[4]</t>
  </si>
  <si>
    <t>gr.ef[1]</t>
  </si>
  <si>
    <t>gr.ef[2]</t>
  </si>
  <si>
    <t>gr.ef[3]</t>
  </si>
  <si>
    <t>gr.ef[4]</t>
  </si>
  <si>
    <t>deviance</t>
  </si>
  <si>
    <t>For</t>
  </si>
  <si>
    <t>parameter,</t>
  </si>
  <si>
    <t>is</t>
  </si>
  <si>
    <t>a</t>
  </si>
  <si>
    <t>crude</t>
  </si>
  <si>
    <t>measure</t>
  </si>
  <si>
    <t>of</t>
  </si>
  <si>
    <t>effective</t>
  </si>
  <si>
    <t>sample</t>
  </si>
  <si>
    <t>size,</t>
  </si>
  <si>
    <t>and</t>
  </si>
  <si>
    <t>the</t>
  </si>
  <si>
    <t>potential</t>
  </si>
  <si>
    <t>scale</t>
  </si>
  <si>
    <t>reduction</t>
  </si>
  <si>
    <t>factor</t>
  </si>
  <si>
    <t>(at</t>
  </si>
  <si>
    <t>convergence,</t>
  </si>
  <si>
    <t>Rhat=1).</t>
  </si>
  <si>
    <t>DIC</t>
  </si>
  <si>
    <t>info</t>
  </si>
  <si>
    <t>(using</t>
  </si>
  <si>
    <t>rule,</t>
  </si>
  <si>
    <t>pD</t>
  </si>
  <si>
    <t>var(deviance)/2)</t>
  </si>
  <si>
    <t>an</t>
  </si>
  <si>
    <t>estimate</t>
  </si>
  <si>
    <t>expected</t>
  </si>
  <si>
    <t>predictive</t>
  </si>
  <si>
    <t>error</t>
  </si>
  <si>
    <t>(lower</t>
  </si>
  <si>
    <t>better).</t>
  </si>
  <si>
    <t>/var/folders/xl/52qkmq0j5j568nph0hj2skf40000gn/T//Rtmp9HufNG/file61635387f59,</t>
  </si>
  <si>
    <t>discarded)</t>
  </si>
  <si>
    <t xml:space="preserve">intercepts for carrying capacity are inflated when fitting unconstrained model: allows carrying capacitys off all types to sum to more than the observed no of points. </t>
  </si>
  <si>
    <t xml:space="preserve">this could be if carrying capacity means, without compettive effects of others. </t>
  </si>
  <si>
    <t>Constrained model forces grassland to have unrealistically low carrying capacity. Can only explain by it remaining in the system only through recurrent disturbance keeping other veg below their carrying capcity.</t>
  </si>
  <si>
    <t>But the growth rate (alpha.100) is next to nothing for grass, meaning it has little capacity to increase after disturbance (unless this is a rounding error).</t>
  </si>
  <si>
    <t>Growth rates are consistent for woodland and shrubland between the models.</t>
  </si>
  <si>
    <t xml:space="preserve">Growth rate of grassland is more posisitve for UNConstrained model. Lower growth rate for "other"  when unconstrained. Shrubs have fastest growth rates. </t>
  </si>
  <si>
    <t>/var/folders/xl/52qkmq0j5j568nph0hj2skf40000gn/T//Rtmp9HufNG/file61674527d00,</t>
  </si>
  <si>
    <t>a[1]</t>
  </si>
  <si>
    <t>a[2]</t>
  </si>
  <si>
    <t>a[3]</t>
  </si>
  <si>
    <t>a[4]</t>
  </si>
  <si>
    <t>b[1]</t>
  </si>
  <si>
    <t>b[2]</t>
  </si>
  <si>
    <t>b[3]</t>
  </si>
  <si>
    <t>b[4]</t>
  </si>
  <si>
    <t>Effects of elevation are consistenely positive for shrubs, consistently negative for grassland??? While for trees the constrained model suggests neg trees decline with altitude, but unconstrianed model says no effect.</t>
  </si>
  <si>
    <t>Fire effects are highly uncertain, but tned to posistive for grass, less so for shrubs.</t>
  </si>
  <si>
    <t>/var/folders/xl/52qkmq0j5j568nph0hj2skf40000gn/T//Rtmp9HufNG/file616538cc6a9,</t>
  </si>
  <si>
    <t>seems CB increases woodland carrying capacity!!!! Regardless of if fires are modelled!</t>
  </si>
  <si>
    <t>only in Constrained model are fires possibly increasing woodland. Quite likely negative if unconstrined. Fire effects on woodland are more negative if CB not modelled.</t>
  </si>
  <si>
    <t>grasses dcrease to wetter areas.</t>
  </si>
  <si>
    <t>These CB effects seem wrong. Opposite to expectations</t>
  </si>
  <si>
    <t>/var/folders/xl/52qkmq0j5j568nph0hj2skf40000gn/T//Rtmp9HufNG/file6163f46ac19,</t>
  </si>
  <si>
    <t>precip, no fire</t>
  </si>
  <si>
    <t>precip, fire a&amp; CB</t>
  </si>
  <si>
    <t>precip, no CB</t>
  </si>
  <si>
    <t>grassland is reduced by grazing removal, except in model with no CB effect.</t>
  </si>
  <si>
    <t>grazing removal aslo decreases "other veg"</t>
  </si>
  <si>
    <t>grazing removal consistenly increases woodland, but uncertain (ocassioal large values)</t>
  </si>
  <si>
    <t>grazing removal aslo decreases "shrubland" carrying capacity</t>
  </si>
  <si>
    <t>so this all seems to say that grazing removal  leads to Woodland increasing at expense of grasslnad, shrubland and other.</t>
  </si>
  <si>
    <t>need to check if this is just a temporal shift. Are woodlands just expanding (with climate change?</t>
  </si>
  <si>
    <t>CB also seems to decrease grasses!! And increase shrubs!!</t>
  </si>
  <si>
    <t>print(AlpVegRMM.upd)</t>
  </si>
  <si>
    <t>/var/folders/xl/52qkmq0j5j568nph0hj2skf40000gn/T//Rtmp9HufNG/file61638ccbdc3,</t>
  </si>
  <si>
    <t>single period effect of c&amp;B</t>
  </si>
  <si>
    <t>print(AlpVegRL)</t>
  </si>
  <si>
    <t>/var/folders/xl/52qkmq0j5j568nph0hj2skf40000gn/T//Rtmp9HufNG/file616265bee08,</t>
  </si>
  <si>
    <t>sd</t>
  </si>
  <si>
    <t>/var/folders/xl/52qkmq0j5j568nph0hj2skf40000gn/T//Rtmp9HufNG/file6165d6862e4,</t>
  </si>
  <si>
    <t>departures from linear model on KK, Fire and C&amp;B</t>
  </si>
  <si>
    <t>introducuing departures from linear model for K. But no Fire</t>
  </si>
  <si>
    <t>print(AlpVegRL.upd)</t>
  </si>
  <si>
    <t>altitude</t>
  </si>
  <si>
    <t>/var/folders/xl/52qkmq0j5j568nph0hj2skf40000gn/T//Rtmp9HufNG/file616266968b5,</t>
  </si>
  <si>
    <t>trying (again) to constrain KK byt sum to 1600.</t>
  </si>
  <si>
    <t>print(AlpVegRLN)</t>
  </si>
  <si>
    <t>/var/folders/xl/52qkmq0j5j568nph0hj2skf40000gn/T//Rtmp9HufNG/file616e7c79f6,</t>
  </si>
  <si>
    <t>fitting CB to lambda, not K</t>
  </si>
  <si>
    <t>/var/folders/xl/52qkmq0j5j568nph0hj2skf40000gn/T//Rtmp9HufNG/file6162c5c5a9c,</t>
  </si>
  <si>
    <t>fitting CB to lambda, not K. But not constraining to sum to 1600</t>
  </si>
  <si>
    <t>is allowing carrying capacities to be too high. Fitting exp model to cb effects for grass and other is not sensible. When cb=0, lambda=0, whih menas next years N is 0.</t>
  </si>
  <si>
    <t>allows carrying capacities to be too high!!!</t>
  </si>
  <si>
    <t>unless one considers that the carrying capacities are considere if everything els was absent(coulde expand over the entire, suitable domain)</t>
  </si>
  <si>
    <t>it is the presence of other types that keeps them from carrying capacity</t>
  </si>
  <si>
    <t>/var/folders/xl/52qkmq0j5j568nph0hj2skf40000gn/T//Rtmp9HufNG/file61633b66f04,</t>
  </si>
  <si>
    <t>adding redundat parmeters to try to constrain carrying capacity</t>
  </si>
  <si>
    <t>better model, need to check the SD s and whether both atre required. But still need to control the cb effect better. Not right for grass and other.</t>
  </si>
  <si>
    <t>print(AlpVegRLN.upd)</t>
  </si>
  <si>
    <t>sd1</t>
  </si>
  <si>
    <t>sd2</t>
  </si>
  <si>
    <t>/var/folders/xl/52qkmq0j5j568nph0hj2skf40000gn/T//Rtmp9HufNG/file616e328a22,</t>
  </si>
  <si>
    <t>removing exp effect of C&amp;B for grass and other, making fire the period before obs.</t>
  </si>
  <si>
    <t>/var/folders/xl/52qkmq0j5j568nph0hj2skf40000gn/T//Rtmp9HufNG/file616180ac576,</t>
  </si>
  <si>
    <t>removing fiure effects, and exp effect of C&amp;B for grass and other, making fire the period before obs.</t>
  </si>
  <si>
    <t>print(AlpVegC)</t>
  </si>
  <si>
    <t>/var/folders/xl/52qkmq0j5j568nph0hj2skf40000gn/T//Rtmp9HufNG/file61617513cfc,</t>
  </si>
  <si>
    <t>k only influenced by precip.</t>
  </si>
  <si>
    <t>print(AlpVegC.upd)</t>
  </si>
  <si>
    <t>/var/folders/xl/52qkmq0j5j568nph0hj2skf40000gn/T//Rtmp9HufNG/file6161904af6a,</t>
  </si>
  <si>
    <t>KT[1]</t>
  </si>
  <si>
    <t>KT[2]</t>
  </si>
  <si>
    <t>KT[3]</t>
  </si>
  <si>
    <t>KT[4]</t>
  </si>
  <si>
    <t>using time, instead of grazing removla</t>
  </si>
  <si>
    <t>time varying K is certainly significant. Mirrors grazing removal:</t>
  </si>
  <si>
    <t>trees and shrubs increase, grass and other decrease. More certain than Grazing release</t>
  </si>
  <si>
    <t xml:space="preserve">will need to try fitting model with both T and GR, similarly scaled. </t>
  </si>
  <si>
    <t>/var/folders/xl/52qkmq0j5j568nph0hj2skf40000gn/T//Rtmp9HufNG/file61629864fb,</t>
  </si>
  <si>
    <t>fitting time AND grazing removal</t>
  </si>
  <si>
    <t xml:space="preserve">effects of grazing removal and time are negatively correlated. </t>
  </si>
  <si>
    <t>neg corr is  strongest for  "Other" and Grasses.</t>
  </si>
  <si>
    <t>Grazing removeal effects are clearly strongly positive for Woodland and Shrubland</t>
  </si>
  <si>
    <t>little confidence in gr effects for grassland. Other may be declining after gr removal</t>
  </si>
  <si>
    <t>print(AlpVeg10)</t>
  </si>
  <si>
    <t>/var/folders/xl/52qkmq0j5j568nph0hj2skf40000gn/T//Rtmp9HufNG/file616128152e5,</t>
  </si>
  <si>
    <t>10 y timesteps. Converges quickly ok</t>
  </si>
  <si>
    <t>print(AlpVeg10.null)</t>
  </si>
  <si>
    <t>/var/folders/xl/52qkmq0j5j568nph0hj2skf40000gn/T//Rtmp9HufNG/file616686941e0,</t>
  </si>
  <si>
    <t>an intercept only model in 10 y timesteps (2 random effects)</t>
  </si>
  <si>
    <t>/var/folders/xl/52qkmq0j5j568nph0hj2skf40000gn/T//Rtmp9HufNG/file61656640ead,</t>
  </si>
  <si>
    <t>no RE</t>
  </si>
  <si>
    <t>print(AlpVeg10.null.upd)</t>
  </si>
  <si>
    <t>/var/folders/xl/52qkmq0j5j568nph0hj2skf40000gn/T//Rtmp9HufNG/file61642ffac2a,</t>
  </si>
  <si>
    <t>!0 y timestep, with both cb and fire effects, and Time and Gr</t>
  </si>
  <si>
    <t>neg effect of fire on "Other</t>
  </si>
  <si>
    <t>print(AlpVeg10.upd)</t>
  </si>
  <si>
    <t>/var/folders/xl/52qkmq0j5j568nph0hj2skf40000gn/T//Rtmp9HufNG/file616139eaf5d,</t>
  </si>
  <si>
    <t>reintroducing CB ef for all veg types, in 10y model</t>
  </si>
  <si>
    <t>compare this model with one that omits the cb .ef for Grassland and Other</t>
  </si>
  <si>
    <t xml:space="preserve">the cb eff is negative or zero for these types. Where is the effects felt in the model? Try chain correls </t>
  </si>
  <si>
    <t xml:space="preserve">not much effect on other parameters. </t>
  </si>
  <si>
    <t>need to consider fitting CB with other than exp model</t>
  </si>
  <si>
    <t xml:space="preserve">I think I had misspecified the CB.eff. It was meant to be negative. </t>
  </si>
  <si>
    <t>that and the fact that lambda affects N[t+1] is why the coeff is jammed against 1.</t>
  </si>
  <si>
    <t>can fit a better model allowing it to vary widely and applying to Er, and I think, to K</t>
  </si>
  <si>
    <t>/var/folders/xl/52qkmq0j5j568nph0hj2skf40000gn/T//Rtmp9HufNG/file616554dca9,</t>
  </si>
  <si>
    <t xml:space="preserve">    mu.K[j,t,k]  &lt;-  KK[j, k] + KT[k] * (t-4) + gr.ef[k] * sg[j, t] + f.ef[k] * fy.t[j, t] + cb.ef[k] * cb.t[j,t] 
</t>
  </si>
  <si>
    <t>still this problem of fitting cb eff, where Cb is measured in the y where it has had an effect in observed N.</t>
  </si>
  <si>
    <t>say CB increaes growth or carrying capacity. It doesn't crash the numbers because the fit is to the next time step N.</t>
  </si>
  <si>
    <t>/var/folders/xl/52qkmq0j5j568nph0hj2skf40000gn/T//Rtmp9HufNG/file61672c06f2c,</t>
  </si>
  <si>
    <t>start[1,1]</t>
  </si>
  <si>
    <t>start[2,1]</t>
  </si>
  <si>
    <t>start[3,1]</t>
  </si>
  <si>
    <t>start[4,1]</t>
  </si>
  <si>
    <t>start[5,1]</t>
  </si>
  <si>
    <t>start[6,1]</t>
  </si>
  <si>
    <t>start[7,1]</t>
  </si>
  <si>
    <t>start[8,1]</t>
  </si>
  <si>
    <t>start[9,1]</t>
  </si>
  <si>
    <t>start[10,1]</t>
  </si>
  <si>
    <t>start[11,1]</t>
  </si>
  <si>
    <t>start[12,1]</t>
  </si>
  <si>
    <t>start[13,1]</t>
  </si>
  <si>
    <t>start[14,1]</t>
  </si>
  <si>
    <t>start[15,1]</t>
  </si>
  <si>
    <t>start[16,1]</t>
  </si>
  <si>
    <t>start[17,1]</t>
  </si>
  <si>
    <t>start[18,1]</t>
  </si>
  <si>
    <t>start[19,1]</t>
  </si>
  <si>
    <t>start[20,1]</t>
  </si>
  <si>
    <t>start[21,1]</t>
  </si>
  <si>
    <t>start[22,1]</t>
  </si>
  <si>
    <t>start[23,1]</t>
  </si>
  <si>
    <t>start[1,2]</t>
  </si>
  <si>
    <t>start[2,2]</t>
  </si>
  <si>
    <t>start[3,2]</t>
  </si>
  <si>
    <t>start[4,2]</t>
  </si>
  <si>
    <t>start[5,2]</t>
  </si>
  <si>
    <t>start[6,2]</t>
  </si>
  <si>
    <t>start[7,2]</t>
  </si>
  <si>
    <t>start[8,2]</t>
  </si>
  <si>
    <t>start[9,2]</t>
  </si>
  <si>
    <t>start[10,2]</t>
  </si>
  <si>
    <t>start[11,2]</t>
  </si>
  <si>
    <t>start[12,2]</t>
  </si>
  <si>
    <t>start[13,2]</t>
  </si>
  <si>
    <t>start[14,2]</t>
  </si>
  <si>
    <t>start[15,2]</t>
  </si>
  <si>
    <t>start[16,2]</t>
  </si>
  <si>
    <t>start[17,2]</t>
  </si>
  <si>
    <t>start[18,2]</t>
  </si>
  <si>
    <t>start[19,2]</t>
  </si>
  <si>
    <t>start[20,2]</t>
  </si>
  <si>
    <t>start[21,2]</t>
  </si>
  <si>
    <t>start[22,2]</t>
  </si>
  <si>
    <t>start[23,2]</t>
  </si>
  <si>
    <t>start[1,3]</t>
  </si>
  <si>
    <t>start[2,3]</t>
  </si>
  <si>
    <t>start[3,3]</t>
  </si>
  <si>
    <t>start[4,3]</t>
  </si>
  <si>
    <t>start[5,3]</t>
  </si>
  <si>
    <t>start[6,3]</t>
  </si>
  <si>
    <t>start[7,3]</t>
  </si>
  <si>
    <t>start[8,3]</t>
  </si>
  <si>
    <t>start[9,3]</t>
  </si>
  <si>
    <t>start[10,3]</t>
  </si>
  <si>
    <t>start[11,3]</t>
  </si>
  <si>
    <t>start[12,3]</t>
  </si>
  <si>
    <t>start[13,3]</t>
  </si>
  <si>
    <t>start[14,3]</t>
  </si>
  <si>
    <t>start[15,3]</t>
  </si>
  <si>
    <t>start[16,3]</t>
  </si>
  <si>
    <t>start[17,3]</t>
  </si>
  <si>
    <t>start[18,3]</t>
  </si>
  <si>
    <t>start[19,3]</t>
  </si>
  <si>
    <t>start[20,3]</t>
  </si>
  <si>
    <t>start[21,3]</t>
  </si>
  <si>
    <t>start[22,3]</t>
  </si>
  <si>
    <t>start[23,3]</t>
  </si>
  <si>
    <t>start[1,4]</t>
  </si>
  <si>
    <t>start[2,4]</t>
  </si>
  <si>
    <t>start[3,4]</t>
  </si>
  <si>
    <t>start[4,4]</t>
  </si>
  <si>
    <t>start[5,4]</t>
  </si>
  <si>
    <t>start[6,4]</t>
  </si>
  <si>
    <t>start[7,4]</t>
  </si>
  <si>
    <t>start[8,4]</t>
  </si>
  <si>
    <t>start[9,4]</t>
  </si>
  <si>
    <t>start[10,4]</t>
  </si>
  <si>
    <t>start[11,4]</t>
  </si>
  <si>
    <t>start[12,4]</t>
  </si>
  <si>
    <t>start[13,4]</t>
  </si>
  <si>
    <t>start[14,4]</t>
  </si>
  <si>
    <t>start[15,4]</t>
  </si>
  <si>
    <t>start[16,4]</t>
  </si>
  <si>
    <t>start[17,4]</t>
  </si>
  <si>
    <t>start[18,4]</t>
  </si>
  <si>
    <t>start[19,4]</t>
  </si>
  <si>
    <t>start[20,4]</t>
  </si>
  <si>
    <t>start[21,4]</t>
  </si>
  <si>
    <t>start[22,4]</t>
  </si>
  <si>
    <t>start[23,4]</t>
  </si>
  <si>
    <t>5yr timestps&gt;&gt;&gt;&gt;&gt;&gt;&gt;</t>
  </si>
  <si>
    <t>10yr timsteps</t>
  </si>
  <si>
    <t>&lt;&lt;&lt;&lt;&lt;</t>
  </si>
  <si>
    <t>/var/folders/xl/52qkmq0j5j568nph0hj2skf40000gn/T//Rtmp9HufNG/file61637c2ec8f,</t>
  </si>
  <si>
    <t>starting with a yr of NA, cshifting CB back to yr b4 obs, but affecting K</t>
  </si>
  <si>
    <t>/var/folders/xl/52qkmq0j5j568nph0hj2skf40000gn/T//Rtmp9HufNG/file61618eb9c9b,</t>
  </si>
  <si>
    <t>again, CB on the N[t+1], not K. but something wrong, poor fit</t>
  </si>
  <si>
    <t>/var/folders/xl/52qkmq0j5j568nph0hj2skf40000gn/T//Rtmp9HufNG/file6163bd8b97a,</t>
  </si>
  <si>
    <t>simplifying the start, but not helping fit.</t>
  </si>
  <si>
    <t>/var/folders/xl/52qkmq0j5j568nph0hj2skf40000gn/T//Rtmp9HufNG/file61611791748,</t>
  </si>
  <si>
    <t>simpler start again, still not helping</t>
  </si>
  <si>
    <t>/var/folders/xl/52qkmq0j5j568nph0hj2skf40000gn/T//Rtmp9HufNG/file61624e780ee,</t>
  </si>
  <si>
    <t>simpler again but still nothelping to remove fire</t>
  </si>
  <si>
    <t>print(AlpVeg10s)</t>
  </si>
  <si>
    <t>/var/folders/xl/52qkmq0j5j568nph0hj2skf40000gn/T//Rtmp9HufNG/file61658e0c740,</t>
  </si>
  <si>
    <t>restricted to t=2-&gt;&gt;</t>
  </si>
  <si>
    <t>CB on the N[t+1], not K. I THINK THIS MAY HAVE USED t=2-T, ignoring start.</t>
  </si>
  <si>
    <t>/var/folders/xl/52qkmq0j5j568nph0hj2skf40000gn/T//Rtmp9HufNG/file616d396856,</t>
  </si>
  <si>
    <t>it appears that the large difference in deviance and DIC between</t>
  </si>
  <si>
    <t>models ive seen is whther the t loop includes the unobserved first timestep.</t>
  </si>
  <si>
    <t>on first appearances, the coefficients are similar</t>
  </si>
  <si>
    <t>Idon't think it is crrect that the fire effects all come out as positive.</t>
  </si>
  <si>
    <t>rstricted to t&gt;1</t>
  </si>
  <si>
    <t>/var/folders/xl/52qkmq0j5j568nph0hj2skf40000gn/T//Rtmp9HufNG/file61633f0ece2,</t>
  </si>
  <si>
    <t>reversing sign of sg, does some strange things to parameter estimates</t>
  </si>
  <si>
    <t>a smaller, b larger, gr effects larger and NOT REVERSED!</t>
  </si>
  <si>
    <t>/var/folders/xl/52qkmq0j5j568nph0hj2skf40000gn/T//Rtmp9HufNG/file616e500412,</t>
  </si>
  <si>
    <t>removing distribution Truncation seems to help fitting to a small degree</t>
  </si>
  <si>
    <t>reversed sg, removed T(0,7.38) on carrying capacities</t>
  </si>
  <si>
    <t>I think this also leads to stronger correl among parameters. They are less identifiable.</t>
  </si>
  <si>
    <t>truncation restricts them somewhat</t>
  </si>
  <si>
    <t>again, gr effects are not reversed!!! Why not?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</si>
</sst>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4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10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0" borderId="0" xfId="0" applyAlignment="1"/>
    <xf numFmtId="0" fontId="0" fillId="3" borderId="0" xfId="0" applyFill="1"/>
    <xf numFmtId="10" fontId="0" fillId="3" borderId="0" xfId="0" applyNumberFormat="1" applyFill="1"/>
    <xf numFmtId="9" fontId="0" fillId="3" borderId="0" xfId="0" applyNumberFormat="1" applyFill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N235"/>
  <sheetViews>
    <sheetView tabSelected="1" workbookViewId="0">
      <pane xSplit="9820" ySplit="1780" topLeftCell="O129" activePane="bottomLeft"/>
      <selection activeCell="A2" sqref="A2"/>
      <selection pane="topRight" activeCell="CW4" sqref="CW4"/>
      <selection pane="bottomLeft" activeCell="A143" sqref="A143"/>
      <selection pane="bottomRight" activeCell="I106" sqref="I106"/>
    </sheetView>
  </sheetViews>
  <sheetFormatPr baseColWidth="10" defaultColWidth="5.5" defaultRowHeight="15" x14ac:dyDescent="0"/>
  <cols>
    <col min="253" max="253" width="7.33203125" customWidth="1"/>
    <col min="280" max="280" width="7.33203125" customWidth="1"/>
    <col min="294" max="294" width="7.33203125" customWidth="1"/>
  </cols>
  <sheetData>
    <row r="1" spans="1:454">
      <c r="A1" t="s">
        <v>409</v>
      </c>
      <c r="O1" t="s">
        <v>405</v>
      </c>
      <c r="AC1" t="s">
        <v>403</v>
      </c>
      <c r="AQ1" t="s">
        <v>396</v>
      </c>
      <c r="BE1" t="s">
        <v>393</v>
      </c>
      <c r="BS1" t="s">
        <v>391</v>
      </c>
      <c r="CG1" t="s">
        <v>389</v>
      </c>
      <c r="CU1" t="s">
        <v>387</v>
      </c>
      <c r="DI1" t="s">
        <v>397</v>
      </c>
      <c r="DY1" t="s">
        <v>385</v>
      </c>
      <c r="EL1" s="6" t="s">
        <v>285</v>
      </c>
      <c r="EY1" t="s">
        <v>276</v>
      </c>
      <c r="FM1" t="s">
        <v>269</v>
      </c>
      <c r="GA1" t="s">
        <v>267</v>
      </c>
      <c r="GO1" t="s">
        <v>272</v>
      </c>
      <c r="HC1" t="s">
        <v>264</v>
      </c>
      <c r="HP1" s="7"/>
      <c r="HQ1" s="7" t="s">
        <v>257</v>
      </c>
      <c r="HR1" s="7"/>
      <c r="HS1" s="7"/>
      <c r="HT1" s="7"/>
      <c r="HU1" s="7"/>
      <c r="HV1" s="7"/>
      <c r="HW1" s="7"/>
      <c r="HX1" s="7"/>
      <c r="HY1" s="7"/>
      <c r="HZ1" s="7"/>
      <c r="IA1" s="7"/>
      <c r="IE1" t="s">
        <v>252</v>
      </c>
      <c r="IS1" t="s">
        <v>245</v>
      </c>
      <c r="JF1" t="s">
        <v>242</v>
      </c>
      <c r="JT1" t="s">
        <v>240</v>
      </c>
      <c r="KH1" t="s">
        <v>234</v>
      </c>
      <c r="KV1" t="s">
        <v>228</v>
      </c>
      <c r="LJ1" t="s">
        <v>226</v>
      </c>
      <c r="LX1" t="s">
        <v>223</v>
      </c>
      <c r="ML1" t="s">
        <v>218</v>
      </c>
      <c r="MZ1" t="s">
        <v>219</v>
      </c>
      <c r="NM1" t="s">
        <v>213</v>
      </c>
      <c r="NY1" t="s">
        <v>201</v>
      </c>
      <c r="OP1" t="s">
        <v>202</v>
      </c>
      <c r="PB1" t="s">
        <v>203</v>
      </c>
      <c r="PN1" t="s">
        <v>0</v>
      </c>
      <c r="PO1" t="s">
        <v>1</v>
      </c>
      <c r="PQ1" t="s">
        <v>221</v>
      </c>
    </row>
    <row r="2" spans="1:454">
      <c r="A2" t="s">
        <v>274</v>
      </c>
      <c r="O2" t="s">
        <v>394</v>
      </c>
      <c r="AC2" t="s">
        <v>2</v>
      </c>
      <c r="AD2" t="s">
        <v>274</v>
      </c>
      <c r="AQ2" t="s">
        <v>274</v>
      </c>
      <c r="BE2" t="s">
        <v>2</v>
      </c>
      <c r="BF2" t="s">
        <v>262</v>
      </c>
      <c r="BS2" t="s">
        <v>2</v>
      </c>
      <c r="BT2" t="s">
        <v>274</v>
      </c>
      <c r="CG2" t="s">
        <v>2</v>
      </c>
      <c r="CH2" t="s">
        <v>262</v>
      </c>
      <c r="CU2" t="s">
        <v>2</v>
      </c>
      <c r="CV2" t="s">
        <v>274</v>
      </c>
      <c r="DI2" t="s">
        <v>274</v>
      </c>
      <c r="DY2" t="s">
        <v>262</v>
      </c>
      <c r="EL2" t="s">
        <v>274</v>
      </c>
      <c r="EY2" t="s">
        <v>274</v>
      </c>
      <c r="GA2" t="s">
        <v>2</v>
      </c>
      <c r="GB2" t="s">
        <v>265</v>
      </c>
      <c r="GO2" t="s">
        <v>2</v>
      </c>
      <c r="GP2" t="s">
        <v>274</v>
      </c>
      <c r="HC2" t="s">
        <v>2</v>
      </c>
      <c r="HD2" t="s">
        <v>262</v>
      </c>
      <c r="HP2" s="7"/>
      <c r="HQ2" s="7" t="s">
        <v>243</v>
      </c>
      <c r="HR2" s="7"/>
      <c r="HS2" s="7"/>
      <c r="HT2" s="7"/>
      <c r="HU2" s="7"/>
      <c r="HV2" s="7"/>
      <c r="HW2" s="7"/>
      <c r="HX2" s="7"/>
      <c r="HY2" s="7"/>
      <c r="HZ2" s="7"/>
      <c r="IA2" s="7"/>
      <c r="IE2" t="s">
        <v>246</v>
      </c>
      <c r="IS2" t="s">
        <v>246</v>
      </c>
      <c r="JF2" t="s">
        <v>2</v>
      </c>
      <c r="JG2" t="s">
        <v>236</v>
      </c>
      <c r="JT2" t="s">
        <v>236</v>
      </c>
      <c r="KH2" t="s">
        <v>236</v>
      </c>
      <c r="KV2" t="s">
        <v>2</v>
      </c>
      <c r="KW2" t="s">
        <v>224</v>
      </c>
      <c r="LJ2" t="s">
        <v>224</v>
      </c>
      <c r="ML2" t="s">
        <v>2</v>
      </c>
      <c r="MM2" t="s">
        <v>220</v>
      </c>
      <c r="MZ2" t="s">
        <v>2</v>
      </c>
      <c r="NA2" t="s">
        <v>214</v>
      </c>
      <c r="NM2" t="s">
        <v>2</v>
      </c>
      <c r="NN2" t="s">
        <v>211</v>
      </c>
      <c r="NY2" t="s">
        <v>2</v>
      </c>
      <c r="NZ2" t="s">
        <v>211</v>
      </c>
      <c r="OP2" t="s">
        <v>2</v>
      </c>
      <c r="OQ2" t="s">
        <v>3</v>
      </c>
      <c r="PB2" t="s">
        <v>3</v>
      </c>
      <c r="PN2" t="s">
        <v>2</v>
      </c>
      <c r="PO2" t="s">
        <v>3</v>
      </c>
    </row>
    <row r="3" spans="1:454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407</v>
      </c>
      <c r="G3" t="s">
        <v>10</v>
      </c>
      <c r="H3" t="s">
        <v>11</v>
      </c>
      <c r="I3" t="s">
        <v>12</v>
      </c>
      <c r="O3" t="s">
        <v>4</v>
      </c>
      <c r="P3" t="s">
        <v>5</v>
      </c>
      <c r="Q3" t="s">
        <v>6</v>
      </c>
      <c r="R3" t="s">
        <v>7</v>
      </c>
      <c r="S3" t="s">
        <v>8</v>
      </c>
      <c r="T3" t="s">
        <v>404</v>
      </c>
      <c r="U3" t="s">
        <v>10</v>
      </c>
      <c r="V3" t="s">
        <v>11</v>
      </c>
      <c r="W3" t="s">
        <v>12</v>
      </c>
      <c r="AC3" t="s">
        <v>4</v>
      </c>
      <c r="AD3" t="s">
        <v>5</v>
      </c>
      <c r="AE3" t="s">
        <v>6</v>
      </c>
      <c r="AF3" t="s">
        <v>7</v>
      </c>
      <c r="AG3" t="s">
        <v>8</v>
      </c>
      <c r="AH3" t="s">
        <v>398</v>
      </c>
      <c r="AI3" t="s">
        <v>10</v>
      </c>
      <c r="AJ3" t="s">
        <v>11</v>
      </c>
      <c r="AK3" t="s">
        <v>12</v>
      </c>
      <c r="AQ3" t="s">
        <v>4</v>
      </c>
      <c r="AR3" t="s">
        <v>5</v>
      </c>
      <c r="AS3" t="s">
        <v>6</v>
      </c>
      <c r="AT3" t="s">
        <v>7</v>
      </c>
      <c r="AU3" t="s">
        <v>8</v>
      </c>
      <c r="AV3" t="s">
        <v>395</v>
      </c>
      <c r="AW3" t="s">
        <v>10</v>
      </c>
      <c r="AX3" t="s">
        <v>11</v>
      </c>
      <c r="AY3" t="s">
        <v>12</v>
      </c>
      <c r="BE3" t="s">
        <v>4</v>
      </c>
      <c r="BF3" t="s">
        <v>5</v>
      </c>
      <c r="BG3" t="s">
        <v>6</v>
      </c>
      <c r="BH3" t="s">
        <v>7</v>
      </c>
      <c r="BI3" t="s">
        <v>8</v>
      </c>
      <c r="BJ3" t="s">
        <v>392</v>
      </c>
      <c r="BK3" t="s">
        <v>10</v>
      </c>
      <c r="BL3" t="s">
        <v>11</v>
      </c>
      <c r="BM3" t="s">
        <v>12</v>
      </c>
      <c r="BS3" t="s">
        <v>4</v>
      </c>
      <c r="BT3" t="s">
        <v>5</v>
      </c>
      <c r="BU3" t="s">
        <v>6</v>
      </c>
      <c r="BV3" t="s">
        <v>7</v>
      </c>
      <c r="BW3" t="s">
        <v>8</v>
      </c>
      <c r="BX3" t="s">
        <v>390</v>
      </c>
      <c r="BY3" t="s">
        <v>10</v>
      </c>
      <c r="BZ3" t="s">
        <v>11</v>
      </c>
      <c r="CA3" t="s">
        <v>12</v>
      </c>
      <c r="CG3" t="s">
        <v>4</v>
      </c>
      <c r="CH3" t="s">
        <v>5</v>
      </c>
      <c r="CI3" t="s">
        <v>6</v>
      </c>
      <c r="CJ3" t="s">
        <v>7</v>
      </c>
      <c r="CK3" t="s">
        <v>8</v>
      </c>
      <c r="CL3" t="s">
        <v>388</v>
      </c>
      <c r="CM3" t="s">
        <v>10</v>
      </c>
      <c r="CN3" t="s">
        <v>11</v>
      </c>
      <c r="CO3" t="s">
        <v>12</v>
      </c>
      <c r="CU3" t="s">
        <v>4</v>
      </c>
      <c r="CV3" t="s">
        <v>5</v>
      </c>
      <c r="CW3" t="s">
        <v>6</v>
      </c>
      <c r="CX3" t="s">
        <v>7</v>
      </c>
      <c r="CY3" t="s">
        <v>8</v>
      </c>
      <c r="CZ3" t="s">
        <v>386</v>
      </c>
      <c r="DA3" t="s">
        <v>10</v>
      </c>
      <c r="DB3" t="s">
        <v>11</v>
      </c>
      <c r="DC3" t="s">
        <v>12</v>
      </c>
      <c r="DI3" t="s">
        <v>4</v>
      </c>
      <c r="DJ3" t="s">
        <v>5</v>
      </c>
      <c r="DK3" t="s">
        <v>6</v>
      </c>
      <c r="DL3" t="s">
        <v>7</v>
      </c>
      <c r="DM3" t="s">
        <v>8</v>
      </c>
      <c r="DN3" t="s">
        <v>384</v>
      </c>
      <c r="DO3" t="s">
        <v>10</v>
      </c>
      <c r="DP3" t="s">
        <v>11</v>
      </c>
      <c r="DQ3" t="s">
        <v>12</v>
      </c>
      <c r="DY3" t="s">
        <v>4</v>
      </c>
      <c r="DZ3" t="s">
        <v>5</v>
      </c>
      <c r="EA3" t="s">
        <v>6</v>
      </c>
      <c r="EB3" t="s">
        <v>7</v>
      </c>
      <c r="EC3" t="s">
        <v>8</v>
      </c>
      <c r="ED3" t="s">
        <v>288</v>
      </c>
      <c r="EE3" t="s">
        <v>10</v>
      </c>
      <c r="EF3" t="s">
        <v>11</v>
      </c>
      <c r="EG3" t="s">
        <v>12</v>
      </c>
      <c r="EL3" t="s">
        <v>5</v>
      </c>
      <c r="EM3" t="s">
        <v>6</v>
      </c>
      <c r="EN3" t="s">
        <v>7</v>
      </c>
      <c r="EO3" t="s">
        <v>8</v>
      </c>
      <c r="EP3" t="s">
        <v>284</v>
      </c>
      <c r="EQ3" t="s">
        <v>10</v>
      </c>
      <c r="ER3" t="s">
        <v>11</v>
      </c>
      <c r="ES3" t="s">
        <v>12</v>
      </c>
      <c r="EY3" t="s">
        <v>4</v>
      </c>
      <c r="EZ3" t="s">
        <v>5</v>
      </c>
      <c r="FA3" t="s">
        <v>6</v>
      </c>
      <c r="FB3" t="s">
        <v>7</v>
      </c>
      <c r="FC3" t="s">
        <v>8</v>
      </c>
      <c r="FD3" t="s">
        <v>275</v>
      </c>
      <c r="FE3" t="s">
        <v>10</v>
      </c>
      <c r="FF3" t="s">
        <v>11</v>
      </c>
      <c r="FG3" t="s">
        <v>12</v>
      </c>
      <c r="FM3" t="s">
        <v>2</v>
      </c>
      <c r="FN3" t="s">
        <v>270</v>
      </c>
      <c r="GA3" t="s">
        <v>4</v>
      </c>
      <c r="GB3" t="s">
        <v>5</v>
      </c>
      <c r="GC3" t="s">
        <v>6</v>
      </c>
      <c r="GD3" t="s">
        <v>7</v>
      </c>
      <c r="GE3" t="s">
        <v>8</v>
      </c>
      <c r="GF3" t="s">
        <v>266</v>
      </c>
      <c r="GG3" t="s">
        <v>10</v>
      </c>
      <c r="GH3" t="s">
        <v>11</v>
      </c>
      <c r="GI3" t="s">
        <v>12</v>
      </c>
      <c r="GO3" t="s">
        <v>4</v>
      </c>
      <c r="GP3" t="s">
        <v>5</v>
      </c>
      <c r="GQ3" t="s">
        <v>6</v>
      </c>
      <c r="GR3" t="s">
        <v>7</v>
      </c>
      <c r="GS3" t="s">
        <v>8</v>
      </c>
      <c r="GT3" t="s">
        <v>271</v>
      </c>
      <c r="GU3" t="s">
        <v>10</v>
      </c>
      <c r="GV3" t="s">
        <v>11</v>
      </c>
      <c r="GW3" t="s">
        <v>12</v>
      </c>
      <c r="HC3" t="s">
        <v>4</v>
      </c>
      <c r="HD3" t="s">
        <v>5</v>
      </c>
      <c r="HE3" t="s">
        <v>6</v>
      </c>
      <c r="HF3" t="s">
        <v>7</v>
      </c>
      <c r="HG3" t="s">
        <v>8</v>
      </c>
      <c r="HH3" t="s">
        <v>263</v>
      </c>
      <c r="HI3" t="s">
        <v>10</v>
      </c>
      <c r="HJ3" t="s">
        <v>11</v>
      </c>
      <c r="HK3" t="s">
        <v>12</v>
      </c>
      <c r="HP3" s="7"/>
      <c r="HQ3" s="7" t="s">
        <v>4</v>
      </c>
      <c r="HR3" s="7" t="s">
        <v>5</v>
      </c>
      <c r="HS3" s="7" t="s">
        <v>6</v>
      </c>
      <c r="HT3" s="7" t="s">
        <v>7</v>
      </c>
      <c r="HU3" s="7" t="s">
        <v>8</v>
      </c>
      <c r="HV3" s="7" t="s">
        <v>256</v>
      </c>
      <c r="HW3" s="7" t="s">
        <v>10</v>
      </c>
      <c r="HX3" s="7" t="s">
        <v>11</v>
      </c>
      <c r="HY3" s="7" t="s">
        <v>12</v>
      </c>
      <c r="HZ3" s="7"/>
      <c r="IA3" s="7"/>
      <c r="IE3" t="s">
        <v>4</v>
      </c>
      <c r="IF3" t="s">
        <v>5</v>
      </c>
      <c r="IG3" t="s">
        <v>6</v>
      </c>
      <c r="IH3" t="s">
        <v>7</v>
      </c>
      <c r="II3" t="s">
        <v>8</v>
      </c>
      <c r="IJ3" t="s">
        <v>247</v>
      </c>
      <c r="IK3" t="s">
        <v>10</v>
      </c>
      <c r="IL3" t="s">
        <v>11</v>
      </c>
      <c r="IM3" t="s">
        <v>12</v>
      </c>
      <c r="IS3" t="s">
        <v>4</v>
      </c>
      <c r="IT3" t="s">
        <v>5</v>
      </c>
      <c r="IU3" t="s">
        <v>6</v>
      </c>
      <c r="IV3" t="s">
        <v>7</v>
      </c>
      <c r="IW3" t="s">
        <v>8</v>
      </c>
      <c r="IX3" t="s">
        <v>244</v>
      </c>
      <c r="IY3" t="s">
        <v>10</v>
      </c>
      <c r="IZ3" t="s">
        <v>11</v>
      </c>
      <c r="JA3" t="s">
        <v>12</v>
      </c>
      <c r="JF3" t="s">
        <v>4</v>
      </c>
      <c r="JG3" t="s">
        <v>5</v>
      </c>
      <c r="JH3" t="s">
        <v>6</v>
      </c>
      <c r="JI3" t="s">
        <v>7</v>
      </c>
      <c r="JJ3" t="s">
        <v>8</v>
      </c>
      <c r="JK3" t="s">
        <v>241</v>
      </c>
      <c r="JL3" t="s">
        <v>10</v>
      </c>
      <c r="JM3" t="s">
        <v>11</v>
      </c>
      <c r="JN3" t="s">
        <v>12</v>
      </c>
      <c r="JT3" t="s">
        <v>4</v>
      </c>
      <c r="JU3" t="s">
        <v>5</v>
      </c>
      <c r="JV3" t="s">
        <v>6</v>
      </c>
      <c r="JW3" t="s">
        <v>7</v>
      </c>
      <c r="JX3" t="s">
        <v>8</v>
      </c>
      <c r="JY3" t="s">
        <v>239</v>
      </c>
      <c r="JZ3" t="s">
        <v>10</v>
      </c>
      <c r="KA3" t="s">
        <v>11</v>
      </c>
      <c r="KB3" t="s">
        <v>12</v>
      </c>
      <c r="KH3" t="s">
        <v>4</v>
      </c>
      <c r="KI3" t="s">
        <v>5</v>
      </c>
      <c r="KJ3" t="s">
        <v>6</v>
      </c>
      <c r="KK3" t="s">
        <v>7</v>
      </c>
      <c r="KL3" t="s">
        <v>8</v>
      </c>
      <c r="KM3" t="s">
        <v>233</v>
      </c>
      <c r="KN3" t="s">
        <v>10</v>
      </c>
      <c r="KO3" t="s">
        <v>11</v>
      </c>
      <c r="KP3" t="s">
        <v>12</v>
      </c>
      <c r="KV3" t="s">
        <v>4</v>
      </c>
      <c r="KW3" t="s">
        <v>5</v>
      </c>
      <c r="KX3" t="s">
        <v>6</v>
      </c>
      <c r="KY3" t="s">
        <v>7</v>
      </c>
      <c r="KZ3" t="s">
        <v>8</v>
      </c>
      <c r="LA3" t="s">
        <v>227</v>
      </c>
      <c r="LB3" t="s">
        <v>10</v>
      </c>
      <c r="LC3" t="s">
        <v>11</v>
      </c>
      <c r="LD3" t="s">
        <v>12</v>
      </c>
      <c r="LJ3" t="s">
        <v>4</v>
      </c>
      <c r="LK3" t="s">
        <v>5</v>
      </c>
      <c r="LL3" t="s">
        <v>6</v>
      </c>
      <c r="LM3" t="s">
        <v>7</v>
      </c>
      <c r="LN3" t="s">
        <v>8</v>
      </c>
      <c r="LO3" t="s">
        <v>225</v>
      </c>
      <c r="LP3" t="s">
        <v>10</v>
      </c>
      <c r="LQ3" t="s">
        <v>11</v>
      </c>
      <c r="LR3" t="s">
        <v>12</v>
      </c>
      <c r="LX3" t="s">
        <v>4</v>
      </c>
      <c r="LY3" t="s">
        <v>5</v>
      </c>
      <c r="LZ3" t="s">
        <v>6</v>
      </c>
      <c r="MA3" t="s">
        <v>7</v>
      </c>
      <c r="MB3" t="s">
        <v>8</v>
      </c>
      <c r="MC3" t="s">
        <v>222</v>
      </c>
      <c r="MD3" t="s">
        <v>10</v>
      </c>
      <c r="ME3" t="s">
        <v>11</v>
      </c>
      <c r="MF3" t="s">
        <v>12</v>
      </c>
      <c r="ML3" t="s">
        <v>4</v>
      </c>
      <c r="MM3" t="s">
        <v>5</v>
      </c>
      <c r="MN3" t="s">
        <v>6</v>
      </c>
      <c r="MO3" t="s">
        <v>7</v>
      </c>
      <c r="MP3" t="s">
        <v>8</v>
      </c>
      <c r="MQ3" t="s">
        <v>217</v>
      </c>
      <c r="MR3" t="s">
        <v>10</v>
      </c>
      <c r="MS3" t="s">
        <v>11</v>
      </c>
      <c r="MT3" t="s">
        <v>12</v>
      </c>
      <c r="MZ3" t="s">
        <v>4</v>
      </c>
      <c r="NA3" t="s">
        <v>5</v>
      </c>
      <c r="NB3" t="s">
        <v>6</v>
      </c>
      <c r="NC3" t="s">
        <v>7</v>
      </c>
      <c r="ND3" t="s">
        <v>8</v>
      </c>
      <c r="NE3" t="s">
        <v>215</v>
      </c>
      <c r="NF3" t="s">
        <v>10</v>
      </c>
      <c r="NG3" t="s">
        <v>11</v>
      </c>
      <c r="NH3" t="s">
        <v>12</v>
      </c>
      <c r="NM3" t="s">
        <v>4</v>
      </c>
      <c r="NN3" t="s">
        <v>5</v>
      </c>
      <c r="NO3" t="s">
        <v>6</v>
      </c>
      <c r="NP3" t="s">
        <v>7</v>
      </c>
      <c r="NQ3" t="s">
        <v>8</v>
      </c>
      <c r="NR3" t="s">
        <v>212</v>
      </c>
      <c r="NS3" t="s">
        <v>10</v>
      </c>
      <c r="NT3" t="s">
        <v>11</v>
      </c>
      <c r="NU3" t="s">
        <v>12</v>
      </c>
      <c r="NY3" t="s">
        <v>4</v>
      </c>
      <c r="NZ3" t="s">
        <v>5</v>
      </c>
      <c r="OA3" t="s">
        <v>6</v>
      </c>
      <c r="OB3" t="s">
        <v>7</v>
      </c>
      <c r="OC3" t="s">
        <v>8</v>
      </c>
      <c r="OD3" t="s">
        <v>200</v>
      </c>
      <c r="OE3" t="s">
        <v>10</v>
      </c>
      <c r="OF3" t="s">
        <v>11</v>
      </c>
      <c r="OG3" t="s">
        <v>12</v>
      </c>
      <c r="OP3" t="s">
        <v>4</v>
      </c>
      <c r="OQ3" t="s">
        <v>5</v>
      </c>
      <c r="OR3" t="s">
        <v>6</v>
      </c>
      <c r="OS3" t="s">
        <v>7</v>
      </c>
      <c r="OT3" t="s">
        <v>8</v>
      </c>
      <c r="OU3" t="s">
        <v>195</v>
      </c>
      <c r="OV3" t="s">
        <v>10</v>
      </c>
      <c r="OW3" t="s">
        <v>11</v>
      </c>
      <c r="OX3" t="s">
        <v>12</v>
      </c>
      <c r="PB3" t="s">
        <v>4</v>
      </c>
      <c r="PC3" t="s">
        <v>5</v>
      </c>
      <c r="PD3" t="s">
        <v>6</v>
      </c>
      <c r="PE3" t="s">
        <v>7</v>
      </c>
      <c r="PF3" t="s">
        <v>8</v>
      </c>
      <c r="PG3" t="s">
        <v>184</v>
      </c>
      <c r="PH3" t="s">
        <v>10</v>
      </c>
      <c r="PI3" t="s">
        <v>11</v>
      </c>
      <c r="PJ3" t="s">
        <v>12</v>
      </c>
      <c r="PN3" t="s">
        <v>4</v>
      </c>
      <c r="PO3" t="s">
        <v>5</v>
      </c>
      <c r="PP3" t="s">
        <v>6</v>
      </c>
      <c r="PQ3" t="s">
        <v>7</v>
      </c>
      <c r="PR3" t="s">
        <v>8</v>
      </c>
      <c r="PS3" t="s">
        <v>9</v>
      </c>
      <c r="PT3" t="s">
        <v>10</v>
      </c>
      <c r="PU3" t="s">
        <v>11</v>
      </c>
      <c r="PV3" t="s">
        <v>12</v>
      </c>
      <c r="QA3" t="s">
        <v>4</v>
      </c>
      <c r="QB3" t="s">
        <v>5</v>
      </c>
      <c r="QC3" t="s">
        <v>6</v>
      </c>
      <c r="QD3" t="s">
        <v>7</v>
      </c>
      <c r="QE3" t="s">
        <v>8</v>
      </c>
      <c r="QF3" t="s">
        <v>176</v>
      </c>
      <c r="QG3" t="s">
        <v>10</v>
      </c>
      <c r="QH3" t="s">
        <v>11</v>
      </c>
      <c r="QI3" t="s">
        <v>12</v>
      </c>
    </row>
    <row r="4" spans="1:454">
      <c r="B4">
        <v>3</v>
      </c>
      <c r="C4" t="s">
        <v>13</v>
      </c>
      <c r="D4" t="s">
        <v>14</v>
      </c>
      <c r="E4" t="s">
        <v>15</v>
      </c>
      <c r="F4">
        <v>10000</v>
      </c>
      <c r="G4" t="s">
        <v>16</v>
      </c>
      <c r="H4" t="s">
        <v>17</v>
      </c>
      <c r="I4">
        <v>0</v>
      </c>
      <c r="J4" t="s">
        <v>18</v>
      </c>
      <c r="K4" t="s">
        <v>19</v>
      </c>
      <c r="L4" t="s">
        <v>20</v>
      </c>
      <c r="M4">
        <v>10</v>
      </c>
      <c r="P4">
        <v>3</v>
      </c>
      <c r="Q4" t="s">
        <v>13</v>
      </c>
      <c r="R4" t="s">
        <v>14</v>
      </c>
      <c r="S4" t="s">
        <v>15</v>
      </c>
      <c r="T4">
        <v>10000</v>
      </c>
      <c r="U4" t="s">
        <v>16</v>
      </c>
      <c r="V4" t="s">
        <v>17</v>
      </c>
      <c r="W4">
        <v>5000</v>
      </c>
      <c r="X4" t="s">
        <v>18</v>
      </c>
      <c r="Y4" t="s">
        <v>19</v>
      </c>
      <c r="Z4" t="s">
        <v>20</v>
      </c>
      <c r="AA4">
        <v>5</v>
      </c>
      <c r="AD4">
        <v>3</v>
      </c>
      <c r="AE4" t="s">
        <v>13</v>
      </c>
      <c r="AF4" t="s">
        <v>14</v>
      </c>
      <c r="AG4" t="s">
        <v>15</v>
      </c>
      <c r="AH4">
        <v>30000</v>
      </c>
      <c r="AI4" t="s">
        <v>16</v>
      </c>
      <c r="AJ4" t="s">
        <v>17</v>
      </c>
      <c r="AK4">
        <v>0</v>
      </c>
      <c r="AL4" t="s">
        <v>18</v>
      </c>
      <c r="AM4" t="s">
        <v>19</v>
      </c>
      <c r="AN4" t="s">
        <v>20</v>
      </c>
      <c r="AO4">
        <v>30</v>
      </c>
      <c r="AR4">
        <v>3</v>
      </c>
      <c r="AS4" t="s">
        <v>13</v>
      </c>
      <c r="AT4" t="s">
        <v>14</v>
      </c>
      <c r="AU4" t="s">
        <v>15</v>
      </c>
      <c r="AV4">
        <v>20000</v>
      </c>
      <c r="AW4" t="s">
        <v>16</v>
      </c>
      <c r="AX4" t="s">
        <v>17</v>
      </c>
      <c r="AY4">
        <v>0</v>
      </c>
      <c r="AZ4" t="s">
        <v>18</v>
      </c>
      <c r="BA4" t="s">
        <v>19</v>
      </c>
      <c r="BB4" t="s">
        <v>20</v>
      </c>
      <c r="BC4">
        <v>20</v>
      </c>
      <c r="BF4">
        <v>3</v>
      </c>
      <c r="BG4" t="s">
        <v>13</v>
      </c>
      <c r="BH4" t="s">
        <v>14</v>
      </c>
      <c r="BI4" t="s">
        <v>15</v>
      </c>
      <c r="BJ4">
        <v>10000</v>
      </c>
      <c r="BK4" t="s">
        <v>16</v>
      </c>
      <c r="BL4" t="s">
        <v>17</v>
      </c>
      <c r="BM4">
        <v>5000</v>
      </c>
      <c r="BN4" t="s">
        <v>18</v>
      </c>
      <c r="BO4" t="s">
        <v>19</v>
      </c>
      <c r="BP4" t="s">
        <v>20</v>
      </c>
      <c r="BQ4">
        <v>5</v>
      </c>
      <c r="BT4">
        <v>3</v>
      </c>
      <c r="BU4" t="s">
        <v>13</v>
      </c>
      <c r="BV4" t="s">
        <v>14</v>
      </c>
      <c r="BW4" t="s">
        <v>15</v>
      </c>
      <c r="BX4">
        <v>10000</v>
      </c>
      <c r="BY4" t="s">
        <v>16</v>
      </c>
      <c r="BZ4" t="s">
        <v>17</v>
      </c>
      <c r="CA4">
        <v>0</v>
      </c>
      <c r="CB4" t="s">
        <v>18</v>
      </c>
      <c r="CC4" t="s">
        <v>19</v>
      </c>
      <c r="CD4" t="s">
        <v>20</v>
      </c>
      <c r="CE4">
        <v>10</v>
      </c>
      <c r="CH4">
        <v>3</v>
      </c>
      <c r="CI4" t="s">
        <v>13</v>
      </c>
      <c r="CJ4" t="s">
        <v>14</v>
      </c>
      <c r="CK4" t="s">
        <v>15</v>
      </c>
      <c r="CL4">
        <v>10000</v>
      </c>
      <c r="CM4" t="s">
        <v>16</v>
      </c>
      <c r="CN4" t="s">
        <v>17</v>
      </c>
      <c r="CO4">
        <v>5000</v>
      </c>
      <c r="CP4" t="s">
        <v>18</v>
      </c>
      <c r="CQ4" t="s">
        <v>19</v>
      </c>
      <c r="CR4" t="s">
        <v>20</v>
      </c>
      <c r="CS4">
        <v>5</v>
      </c>
      <c r="CV4">
        <v>3</v>
      </c>
      <c r="CW4" t="s">
        <v>13</v>
      </c>
      <c r="CX4" t="s">
        <v>14</v>
      </c>
      <c r="CY4" t="s">
        <v>15</v>
      </c>
      <c r="CZ4">
        <v>20000</v>
      </c>
      <c r="DA4" t="s">
        <v>16</v>
      </c>
      <c r="DB4" t="s">
        <v>17</v>
      </c>
      <c r="DC4">
        <v>0</v>
      </c>
      <c r="DD4" t="s">
        <v>18</v>
      </c>
      <c r="DE4" t="s">
        <v>19</v>
      </c>
      <c r="DF4" t="s">
        <v>20</v>
      </c>
      <c r="DG4">
        <v>20</v>
      </c>
      <c r="DJ4">
        <v>3</v>
      </c>
      <c r="DK4" t="s">
        <v>13</v>
      </c>
      <c r="DL4" t="s">
        <v>14</v>
      </c>
      <c r="DM4" t="s">
        <v>15</v>
      </c>
      <c r="DN4">
        <v>20000</v>
      </c>
      <c r="DO4" t="s">
        <v>16</v>
      </c>
      <c r="DP4" t="s">
        <v>17</v>
      </c>
      <c r="DQ4">
        <v>0</v>
      </c>
      <c r="DR4" t="s">
        <v>18</v>
      </c>
      <c r="DS4" t="s">
        <v>19</v>
      </c>
      <c r="DT4" t="s">
        <v>20</v>
      </c>
      <c r="DU4">
        <v>20</v>
      </c>
      <c r="DZ4">
        <v>3</v>
      </c>
      <c r="EA4" t="s">
        <v>13</v>
      </c>
      <c r="EB4" t="s">
        <v>14</v>
      </c>
      <c r="EC4" t="s">
        <v>15</v>
      </c>
      <c r="ED4">
        <v>20000</v>
      </c>
      <c r="EE4" t="s">
        <v>16</v>
      </c>
      <c r="EF4" t="s">
        <v>17</v>
      </c>
      <c r="EG4">
        <v>10000</v>
      </c>
      <c r="EH4" t="s">
        <v>18</v>
      </c>
      <c r="EI4" t="s">
        <v>19</v>
      </c>
      <c r="EJ4" t="s">
        <v>20</v>
      </c>
      <c r="EL4">
        <v>3</v>
      </c>
      <c r="EM4" t="s">
        <v>13</v>
      </c>
      <c r="EN4" t="s">
        <v>14</v>
      </c>
      <c r="EO4" t="s">
        <v>15</v>
      </c>
      <c r="EP4">
        <v>20000</v>
      </c>
      <c r="EQ4" t="s">
        <v>16</v>
      </c>
      <c r="ER4" t="s">
        <v>17</v>
      </c>
      <c r="ES4">
        <v>0</v>
      </c>
      <c r="ET4" t="s">
        <v>18</v>
      </c>
      <c r="EU4" t="s">
        <v>19</v>
      </c>
      <c r="EV4" t="s">
        <v>20</v>
      </c>
      <c r="EW4">
        <v>40</v>
      </c>
      <c r="EZ4">
        <v>3</v>
      </c>
      <c r="FA4" t="s">
        <v>13</v>
      </c>
      <c r="FB4" t="s">
        <v>14</v>
      </c>
      <c r="FC4" t="s">
        <v>15</v>
      </c>
      <c r="FD4">
        <v>40000</v>
      </c>
      <c r="FE4" t="s">
        <v>16</v>
      </c>
      <c r="FF4" t="s">
        <v>17</v>
      </c>
      <c r="FG4">
        <v>0</v>
      </c>
      <c r="FH4" t="s">
        <v>18</v>
      </c>
      <c r="FI4" t="s">
        <v>19</v>
      </c>
      <c r="FJ4" t="s">
        <v>20</v>
      </c>
      <c r="FK4">
        <v>40</v>
      </c>
      <c r="FM4" t="s">
        <v>4</v>
      </c>
      <c r="FN4" t="s">
        <v>5</v>
      </c>
      <c r="FO4" t="s">
        <v>6</v>
      </c>
      <c r="FP4" t="s">
        <v>7</v>
      </c>
      <c r="FQ4" t="s">
        <v>8</v>
      </c>
      <c r="FR4" t="s">
        <v>268</v>
      </c>
      <c r="FS4" t="s">
        <v>10</v>
      </c>
      <c r="FT4" t="s">
        <v>11</v>
      </c>
      <c r="FU4" t="s">
        <v>12</v>
      </c>
      <c r="GB4">
        <v>3</v>
      </c>
      <c r="GC4" t="s">
        <v>13</v>
      </c>
      <c r="GD4" t="s">
        <v>14</v>
      </c>
      <c r="GE4" t="s">
        <v>15</v>
      </c>
      <c r="GF4">
        <v>10000</v>
      </c>
      <c r="GG4" t="s">
        <v>16</v>
      </c>
      <c r="GH4" t="s">
        <v>17</v>
      </c>
      <c r="GI4">
        <v>5000</v>
      </c>
      <c r="GJ4" t="s">
        <v>18</v>
      </c>
      <c r="GK4" t="s">
        <v>19</v>
      </c>
      <c r="GL4" t="s">
        <v>20</v>
      </c>
      <c r="GM4">
        <v>5</v>
      </c>
      <c r="GP4">
        <v>3</v>
      </c>
      <c r="GQ4" t="s">
        <v>13</v>
      </c>
      <c r="GR4" t="s">
        <v>14</v>
      </c>
      <c r="GS4" t="s">
        <v>15</v>
      </c>
      <c r="GT4">
        <v>20000</v>
      </c>
      <c r="GU4" t="s">
        <v>16</v>
      </c>
      <c r="GV4" t="s">
        <v>17</v>
      </c>
      <c r="GW4">
        <v>0</v>
      </c>
      <c r="GX4" t="s">
        <v>18</v>
      </c>
      <c r="GY4" t="s">
        <v>19</v>
      </c>
      <c r="GZ4" t="s">
        <v>20</v>
      </c>
      <c r="HA4">
        <v>20</v>
      </c>
      <c r="HD4">
        <v>3</v>
      </c>
      <c r="HE4" t="s">
        <v>13</v>
      </c>
      <c r="HF4" t="s">
        <v>14</v>
      </c>
      <c r="HG4" t="s">
        <v>15</v>
      </c>
      <c r="HH4">
        <v>20000</v>
      </c>
      <c r="HI4" t="s">
        <v>16</v>
      </c>
      <c r="HJ4" t="s">
        <v>17</v>
      </c>
      <c r="HK4">
        <v>10000</v>
      </c>
      <c r="HL4" t="s">
        <v>18</v>
      </c>
      <c r="HM4" t="s">
        <v>19</v>
      </c>
      <c r="HN4" t="s">
        <v>20</v>
      </c>
      <c r="HO4">
        <v>10</v>
      </c>
      <c r="HP4" s="7"/>
      <c r="HQ4" s="7"/>
      <c r="HR4" s="7">
        <v>3</v>
      </c>
      <c r="HS4" s="7" t="s">
        <v>13</v>
      </c>
      <c r="HT4" s="7" t="s">
        <v>14</v>
      </c>
      <c r="HU4" s="7" t="s">
        <v>15</v>
      </c>
      <c r="HV4" s="7">
        <v>60000</v>
      </c>
      <c r="HW4" s="7" t="s">
        <v>16</v>
      </c>
      <c r="HX4" s="7" t="s">
        <v>17</v>
      </c>
      <c r="HY4" s="7">
        <v>30000</v>
      </c>
      <c r="HZ4" s="7" t="s">
        <v>18</v>
      </c>
      <c r="IA4" s="7" t="s">
        <v>19</v>
      </c>
      <c r="IB4" t="s">
        <v>20</v>
      </c>
      <c r="IC4">
        <v>30</v>
      </c>
      <c r="IF4">
        <v>3</v>
      </c>
      <c r="IG4" t="s">
        <v>13</v>
      </c>
      <c r="IH4" t="s">
        <v>14</v>
      </c>
      <c r="II4" t="s">
        <v>15</v>
      </c>
      <c r="IJ4">
        <v>20000</v>
      </c>
      <c r="IK4" t="s">
        <v>16</v>
      </c>
      <c r="IL4" t="s">
        <v>17</v>
      </c>
      <c r="IM4">
        <v>0</v>
      </c>
      <c r="IN4" t="s">
        <v>18</v>
      </c>
      <c r="IO4" t="s">
        <v>19</v>
      </c>
      <c r="IP4" t="s">
        <v>20</v>
      </c>
      <c r="IQ4">
        <v>20</v>
      </c>
      <c r="IT4">
        <v>3</v>
      </c>
      <c r="IU4" t="s">
        <v>13</v>
      </c>
      <c r="IV4" t="s">
        <v>14</v>
      </c>
      <c r="IW4" t="s">
        <v>15</v>
      </c>
      <c r="IX4">
        <v>10000</v>
      </c>
      <c r="IY4" t="s">
        <v>16</v>
      </c>
      <c r="IZ4" t="s">
        <v>17</v>
      </c>
      <c r="JA4">
        <v>0</v>
      </c>
      <c r="JB4" t="s">
        <v>18</v>
      </c>
      <c r="JC4" t="s">
        <v>19</v>
      </c>
      <c r="JD4" t="s">
        <v>20</v>
      </c>
      <c r="JE4">
        <v>10</v>
      </c>
      <c r="JG4">
        <v>3</v>
      </c>
      <c r="JH4" t="s">
        <v>13</v>
      </c>
      <c r="JI4" t="s">
        <v>14</v>
      </c>
      <c r="JJ4" t="s">
        <v>15</v>
      </c>
      <c r="JK4">
        <v>50000</v>
      </c>
      <c r="JL4" t="s">
        <v>16</v>
      </c>
      <c r="JM4" t="s">
        <v>17</v>
      </c>
      <c r="JN4">
        <v>0</v>
      </c>
      <c r="JO4" t="s">
        <v>18</v>
      </c>
      <c r="JP4" t="s">
        <v>19</v>
      </c>
      <c r="JQ4" t="s">
        <v>20</v>
      </c>
      <c r="JR4">
        <v>50</v>
      </c>
      <c r="JU4">
        <v>3</v>
      </c>
      <c r="JV4" t="s">
        <v>13</v>
      </c>
      <c r="JW4" t="s">
        <v>14</v>
      </c>
      <c r="JX4" t="s">
        <v>15</v>
      </c>
      <c r="JY4">
        <v>20000</v>
      </c>
      <c r="JZ4" t="s">
        <v>16</v>
      </c>
      <c r="KA4" t="s">
        <v>17</v>
      </c>
      <c r="KB4">
        <v>0</v>
      </c>
      <c r="KC4" t="s">
        <v>18</v>
      </c>
      <c r="KD4" t="s">
        <v>19</v>
      </c>
      <c r="KE4" t="s">
        <v>20</v>
      </c>
      <c r="KF4">
        <v>20</v>
      </c>
      <c r="KI4">
        <v>3</v>
      </c>
      <c r="KJ4" t="s">
        <v>13</v>
      </c>
      <c r="KK4" t="s">
        <v>14</v>
      </c>
      <c r="KL4" t="s">
        <v>15</v>
      </c>
      <c r="KM4">
        <v>20000</v>
      </c>
      <c r="KN4" t="s">
        <v>16</v>
      </c>
      <c r="KO4" t="s">
        <v>17</v>
      </c>
      <c r="KP4">
        <v>0</v>
      </c>
      <c r="KQ4" t="s">
        <v>18</v>
      </c>
      <c r="KR4" t="s">
        <v>19</v>
      </c>
      <c r="KS4" t="s">
        <v>20</v>
      </c>
      <c r="KT4">
        <v>20</v>
      </c>
      <c r="KW4">
        <v>3</v>
      </c>
      <c r="KX4" t="s">
        <v>13</v>
      </c>
      <c r="KY4" t="s">
        <v>14</v>
      </c>
      <c r="KZ4" t="s">
        <v>15</v>
      </c>
      <c r="LA4">
        <v>20000</v>
      </c>
      <c r="LB4" t="s">
        <v>16</v>
      </c>
      <c r="LC4" t="s">
        <v>17</v>
      </c>
      <c r="LD4">
        <v>10000</v>
      </c>
      <c r="LE4" t="s">
        <v>18</v>
      </c>
      <c r="LF4" t="s">
        <v>19</v>
      </c>
      <c r="LG4" t="s">
        <v>20</v>
      </c>
      <c r="LH4">
        <v>10</v>
      </c>
      <c r="LK4">
        <v>3</v>
      </c>
      <c r="LL4" t="s">
        <v>13</v>
      </c>
      <c r="LM4" t="s">
        <v>14</v>
      </c>
      <c r="LN4" t="s">
        <v>15</v>
      </c>
      <c r="LO4">
        <v>50000</v>
      </c>
      <c r="LP4" t="s">
        <v>16</v>
      </c>
      <c r="LQ4" t="s">
        <v>17</v>
      </c>
      <c r="LR4">
        <v>25000</v>
      </c>
      <c r="LS4" t="s">
        <v>18</v>
      </c>
      <c r="LT4" t="s">
        <v>19</v>
      </c>
      <c r="LU4" t="s">
        <v>20</v>
      </c>
      <c r="LV4">
        <v>25</v>
      </c>
      <c r="LY4">
        <v>3</v>
      </c>
      <c r="LZ4" t="s">
        <v>13</v>
      </c>
      <c r="MA4" t="s">
        <v>14</v>
      </c>
      <c r="MB4" t="s">
        <v>15</v>
      </c>
      <c r="MC4">
        <v>20000</v>
      </c>
      <c r="MD4" t="s">
        <v>16</v>
      </c>
      <c r="ME4" t="s">
        <v>17</v>
      </c>
      <c r="MF4">
        <v>0</v>
      </c>
      <c r="MG4" t="s">
        <v>18</v>
      </c>
      <c r="MH4" t="s">
        <v>19</v>
      </c>
      <c r="MI4" t="s">
        <v>20</v>
      </c>
      <c r="MJ4">
        <v>20</v>
      </c>
      <c r="MM4">
        <v>3</v>
      </c>
      <c r="MN4" t="s">
        <v>13</v>
      </c>
      <c r="MO4" t="s">
        <v>14</v>
      </c>
      <c r="MP4" t="s">
        <v>15</v>
      </c>
      <c r="MQ4" s="5">
        <v>100000</v>
      </c>
      <c r="MR4" t="s">
        <v>16</v>
      </c>
      <c r="MS4" t="s">
        <v>17</v>
      </c>
      <c r="MT4">
        <v>0</v>
      </c>
      <c r="MU4" t="s">
        <v>177</v>
      </c>
      <c r="MX4">
        <v>10</v>
      </c>
      <c r="NA4">
        <v>3</v>
      </c>
      <c r="NB4" t="s">
        <v>13</v>
      </c>
      <c r="NC4" t="s">
        <v>14</v>
      </c>
      <c r="ND4" t="s">
        <v>15</v>
      </c>
      <c r="NE4">
        <v>10000</v>
      </c>
      <c r="NF4" t="s">
        <v>16</v>
      </c>
      <c r="NG4" t="s">
        <v>17</v>
      </c>
      <c r="NH4">
        <v>5000</v>
      </c>
      <c r="NI4" t="s">
        <v>18</v>
      </c>
      <c r="NJ4" t="s">
        <v>19</v>
      </c>
      <c r="NK4" t="s">
        <v>20</v>
      </c>
      <c r="NL4">
        <v>5</v>
      </c>
      <c r="NN4">
        <v>3</v>
      </c>
      <c r="NO4" t="s">
        <v>13</v>
      </c>
      <c r="NP4" t="s">
        <v>14</v>
      </c>
      <c r="NQ4" t="s">
        <v>15</v>
      </c>
      <c r="NR4">
        <v>10000</v>
      </c>
      <c r="NS4" t="s">
        <v>16</v>
      </c>
      <c r="NT4" t="s">
        <v>17</v>
      </c>
      <c r="NU4">
        <v>0</v>
      </c>
      <c r="NV4" t="s">
        <v>177</v>
      </c>
      <c r="NZ4">
        <v>3</v>
      </c>
      <c r="OA4" t="s">
        <v>13</v>
      </c>
      <c r="OB4" t="s">
        <v>14</v>
      </c>
      <c r="OC4" t="s">
        <v>15</v>
      </c>
      <c r="OD4">
        <v>20000</v>
      </c>
      <c r="OE4" t="s">
        <v>16</v>
      </c>
      <c r="OF4" t="s">
        <v>17</v>
      </c>
      <c r="OG4">
        <v>0</v>
      </c>
      <c r="OH4" t="s">
        <v>177</v>
      </c>
      <c r="ON4">
        <v>5</v>
      </c>
      <c r="OQ4">
        <v>3</v>
      </c>
      <c r="OR4" t="s">
        <v>13</v>
      </c>
      <c r="OS4" t="s">
        <v>14</v>
      </c>
      <c r="OT4" t="s">
        <v>15</v>
      </c>
      <c r="OU4">
        <v>10000</v>
      </c>
      <c r="OV4" t="s">
        <v>16</v>
      </c>
      <c r="OW4" t="s">
        <v>17</v>
      </c>
      <c r="OX4">
        <v>5000</v>
      </c>
      <c r="OY4" t="s">
        <v>18</v>
      </c>
      <c r="OZ4" t="s">
        <v>19</v>
      </c>
      <c r="PA4" t="s">
        <v>20</v>
      </c>
      <c r="PC4">
        <v>3</v>
      </c>
      <c r="PD4" t="s">
        <v>13</v>
      </c>
      <c r="PE4" t="s">
        <v>14</v>
      </c>
      <c r="PF4" t="s">
        <v>15</v>
      </c>
      <c r="PG4">
        <v>10000</v>
      </c>
      <c r="PH4" t="s">
        <v>16</v>
      </c>
      <c r="PI4" t="s">
        <v>17</v>
      </c>
      <c r="PJ4">
        <v>5000</v>
      </c>
      <c r="PK4" t="s">
        <v>18</v>
      </c>
      <c r="PL4" t="s">
        <v>19</v>
      </c>
      <c r="PM4" t="s">
        <v>20</v>
      </c>
      <c r="PO4">
        <v>3</v>
      </c>
      <c r="PP4" t="s">
        <v>13</v>
      </c>
      <c r="PQ4" t="s">
        <v>14</v>
      </c>
      <c r="PR4" t="s">
        <v>15</v>
      </c>
      <c r="PS4">
        <v>10000</v>
      </c>
      <c r="PT4" t="s">
        <v>16</v>
      </c>
      <c r="PU4" t="s">
        <v>17</v>
      </c>
      <c r="PV4">
        <v>5000</v>
      </c>
      <c r="PW4" t="s">
        <v>18</v>
      </c>
      <c r="PX4" t="s">
        <v>19</v>
      </c>
      <c r="PY4" t="s">
        <v>20</v>
      </c>
      <c r="PZ4">
        <v>5</v>
      </c>
      <c r="QB4">
        <v>3</v>
      </c>
      <c r="QC4" t="s">
        <v>13</v>
      </c>
      <c r="QD4" t="s">
        <v>14</v>
      </c>
      <c r="QE4" t="s">
        <v>15</v>
      </c>
      <c r="QF4">
        <v>4000</v>
      </c>
      <c r="QG4" t="s">
        <v>16</v>
      </c>
      <c r="QH4" t="s">
        <v>17</v>
      </c>
      <c r="QI4">
        <v>0</v>
      </c>
      <c r="QJ4" t="s">
        <v>177</v>
      </c>
    </row>
    <row r="5" spans="1:454">
      <c r="B5" t="s">
        <v>21</v>
      </c>
      <c r="C5" t="s">
        <v>20</v>
      </c>
      <c r="D5">
        <v>3000</v>
      </c>
      <c r="E5" t="s">
        <v>16</v>
      </c>
      <c r="F5" t="s">
        <v>22</v>
      </c>
      <c r="P5" t="s">
        <v>21</v>
      </c>
      <c r="Q5" t="s">
        <v>20</v>
      </c>
      <c r="R5">
        <v>3000</v>
      </c>
      <c r="S5" t="s">
        <v>16</v>
      </c>
      <c r="T5" t="s">
        <v>22</v>
      </c>
      <c r="AD5" t="s">
        <v>21</v>
      </c>
      <c r="AE5" t="s">
        <v>20</v>
      </c>
      <c r="AF5">
        <v>3000</v>
      </c>
      <c r="AG5" t="s">
        <v>16</v>
      </c>
      <c r="AH5" t="s">
        <v>22</v>
      </c>
      <c r="AR5" t="s">
        <v>21</v>
      </c>
      <c r="AS5" t="s">
        <v>20</v>
      </c>
      <c r="AT5">
        <v>3000</v>
      </c>
      <c r="AU5" t="s">
        <v>16</v>
      </c>
      <c r="AV5" t="s">
        <v>22</v>
      </c>
      <c r="BF5" t="s">
        <v>21</v>
      </c>
      <c r="BG5" t="s">
        <v>20</v>
      </c>
      <c r="BH5">
        <v>3000</v>
      </c>
      <c r="BI5" t="s">
        <v>16</v>
      </c>
      <c r="BJ5" t="s">
        <v>22</v>
      </c>
      <c r="BT5" t="s">
        <v>21</v>
      </c>
      <c r="BU5" t="s">
        <v>20</v>
      </c>
      <c r="BV5">
        <v>3000</v>
      </c>
      <c r="BW5" t="s">
        <v>16</v>
      </c>
      <c r="BX5" t="s">
        <v>22</v>
      </c>
      <c r="CH5" t="s">
        <v>21</v>
      </c>
      <c r="CI5" t="s">
        <v>20</v>
      </c>
      <c r="CJ5">
        <v>3000</v>
      </c>
      <c r="CK5" t="s">
        <v>16</v>
      </c>
      <c r="CL5" t="s">
        <v>22</v>
      </c>
      <c r="CV5" t="s">
        <v>21</v>
      </c>
      <c r="CW5" t="s">
        <v>20</v>
      </c>
      <c r="CX5">
        <v>3000</v>
      </c>
      <c r="CY5" t="s">
        <v>16</v>
      </c>
      <c r="CZ5" t="s">
        <v>22</v>
      </c>
      <c r="DJ5" t="s">
        <v>21</v>
      </c>
      <c r="DK5" t="s">
        <v>20</v>
      </c>
      <c r="DL5">
        <v>3000</v>
      </c>
      <c r="DM5" t="s">
        <v>16</v>
      </c>
      <c r="DN5" t="s">
        <v>22</v>
      </c>
      <c r="DZ5" t="s">
        <v>21</v>
      </c>
      <c r="EA5" t="s">
        <v>20</v>
      </c>
      <c r="EB5">
        <v>3000</v>
      </c>
      <c r="EC5" t="s">
        <v>16</v>
      </c>
      <c r="ED5" t="s">
        <v>22</v>
      </c>
      <c r="EL5" t="s">
        <v>21</v>
      </c>
      <c r="EM5" t="s">
        <v>20</v>
      </c>
      <c r="EN5">
        <v>1500</v>
      </c>
      <c r="EO5" t="s">
        <v>16</v>
      </c>
      <c r="EP5" t="s">
        <v>22</v>
      </c>
      <c r="EZ5" t="s">
        <v>21</v>
      </c>
      <c r="FA5" t="s">
        <v>20</v>
      </c>
      <c r="FB5">
        <v>3000</v>
      </c>
      <c r="FC5" t="s">
        <v>16</v>
      </c>
      <c r="FD5" t="s">
        <v>22</v>
      </c>
      <c r="FN5">
        <v>3</v>
      </c>
      <c r="FO5" t="s">
        <v>13</v>
      </c>
      <c r="FP5" t="s">
        <v>14</v>
      </c>
      <c r="FQ5" t="s">
        <v>15</v>
      </c>
      <c r="FR5">
        <v>10000</v>
      </c>
      <c r="FS5" t="s">
        <v>16</v>
      </c>
      <c r="FT5" t="s">
        <v>17</v>
      </c>
      <c r="FU5">
        <v>0</v>
      </c>
      <c r="FV5" t="s">
        <v>18</v>
      </c>
      <c r="FW5" t="s">
        <v>19</v>
      </c>
      <c r="FX5" t="s">
        <v>20</v>
      </c>
      <c r="FY5">
        <v>10</v>
      </c>
      <c r="GB5" t="s">
        <v>21</v>
      </c>
      <c r="GC5" t="s">
        <v>20</v>
      </c>
      <c r="GD5">
        <v>3000</v>
      </c>
      <c r="GE5" t="s">
        <v>16</v>
      </c>
      <c r="GF5" t="s">
        <v>22</v>
      </c>
      <c r="GP5" t="s">
        <v>21</v>
      </c>
      <c r="GQ5" t="s">
        <v>20</v>
      </c>
      <c r="GR5">
        <v>3000</v>
      </c>
      <c r="GS5" t="s">
        <v>16</v>
      </c>
      <c r="GT5" t="s">
        <v>22</v>
      </c>
      <c r="HD5" t="s">
        <v>21</v>
      </c>
      <c r="HE5" t="s">
        <v>20</v>
      </c>
      <c r="HF5">
        <v>3000</v>
      </c>
      <c r="HG5" t="s">
        <v>16</v>
      </c>
      <c r="HH5" t="s">
        <v>22</v>
      </c>
      <c r="HP5" s="7"/>
      <c r="HQ5" s="7"/>
      <c r="HR5" s="7" t="s">
        <v>21</v>
      </c>
      <c r="HS5" s="7" t="s">
        <v>20</v>
      </c>
      <c r="HT5" s="7">
        <v>3000</v>
      </c>
      <c r="HU5" s="7" t="s">
        <v>16</v>
      </c>
      <c r="HV5" s="7" t="s">
        <v>22</v>
      </c>
      <c r="HW5" s="7"/>
      <c r="HX5" s="7"/>
      <c r="HY5" s="7"/>
      <c r="HZ5" s="7"/>
      <c r="IA5" s="7"/>
      <c r="IF5" t="s">
        <v>21</v>
      </c>
      <c r="IG5" t="s">
        <v>20</v>
      </c>
      <c r="IH5">
        <v>3000</v>
      </c>
      <c r="II5" t="s">
        <v>16</v>
      </c>
      <c r="IJ5" t="s">
        <v>22</v>
      </c>
      <c r="IT5" t="s">
        <v>21</v>
      </c>
      <c r="IU5" t="s">
        <v>20</v>
      </c>
      <c r="IV5">
        <v>3000</v>
      </c>
      <c r="IW5" t="s">
        <v>16</v>
      </c>
      <c r="IX5" t="s">
        <v>22</v>
      </c>
      <c r="JG5" t="s">
        <v>21</v>
      </c>
      <c r="JH5" t="s">
        <v>20</v>
      </c>
      <c r="JI5">
        <v>3000</v>
      </c>
      <c r="JJ5" t="s">
        <v>16</v>
      </c>
      <c r="JK5" t="s">
        <v>22</v>
      </c>
      <c r="JU5" t="s">
        <v>21</v>
      </c>
      <c r="JV5" t="s">
        <v>20</v>
      </c>
      <c r="JW5">
        <v>3000</v>
      </c>
      <c r="JX5" t="s">
        <v>16</v>
      </c>
      <c r="JY5" t="s">
        <v>22</v>
      </c>
      <c r="KI5" t="s">
        <v>21</v>
      </c>
      <c r="KJ5" t="s">
        <v>20</v>
      </c>
      <c r="KK5">
        <v>3000</v>
      </c>
      <c r="KL5" t="s">
        <v>16</v>
      </c>
      <c r="KM5" t="s">
        <v>22</v>
      </c>
      <c r="KW5" t="s">
        <v>21</v>
      </c>
      <c r="KX5" t="s">
        <v>20</v>
      </c>
      <c r="KY5">
        <v>3000</v>
      </c>
      <c r="KZ5" t="s">
        <v>16</v>
      </c>
      <c r="LA5" t="s">
        <v>22</v>
      </c>
      <c r="LK5" t="s">
        <v>21</v>
      </c>
      <c r="LL5" t="s">
        <v>20</v>
      </c>
      <c r="LM5">
        <v>3000</v>
      </c>
      <c r="LN5" t="s">
        <v>16</v>
      </c>
      <c r="LO5" t="s">
        <v>22</v>
      </c>
      <c r="LY5" t="s">
        <v>21</v>
      </c>
      <c r="LZ5" t="s">
        <v>20</v>
      </c>
      <c r="MA5">
        <v>3000</v>
      </c>
      <c r="MB5" t="s">
        <v>16</v>
      </c>
      <c r="MC5" t="s">
        <v>22</v>
      </c>
      <c r="MM5" t="s">
        <v>21</v>
      </c>
      <c r="MN5" t="s">
        <v>20</v>
      </c>
      <c r="MO5">
        <v>300000</v>
      </c>
      <c r="MP5" t="s">
        <v>16</v>
      </c>
      <c r="MQ5" t="s">
        <v>22</v>
      </c>
      <c r="NA5" t="s">
        <v>21</v>
      </c>
      <c r="NB5" t="s">
        <v>20</v>
      </c>
      <c r="NC5">
        <v>3000</v>
      </c>
      <c r="ND5" t="s">
        <v>16</v>
      </c>
      <c r="NE5" t="s">
        <v>22</v>
      </c>
      <c r="NN5" t="s">
        <v>21</v>
      </c>
      <c r="NO5" t="s">
        <v>20</v>
      </c>
      <c r="NP5">
        <v>30000</v>
      </c>
      <c r="NQ5" t="s">
        <v>16</v>
      </c>
      <c r="NR5" t="s">
        <v>22</v>
      </c>
      <c r="NZ5" t="s">
        <v>21</v>
      </c>
      <c r="OA5" t="s">
        <v>20</v>
      </c>
      <c r="OB5">
        <v>60000</v>
      </c>
      <c r="OC5" t="s">
        <v>16</v>
      </c>
      <c r="OD5" t="s">
        <v>22</v>
      </c>
      <c r="OQ5" t="s">
        <v>21</v>
      </c>
      <c r="OR5" t="s">
        <v>20</v>
      </c>
      <c r="OS5">
        <v>3000</v>
      </c>
      <c r="OT5" t="s">
        <v>16</v>
      </c>
      <c r="OU5" t="s">
        <v>22</v>
      </c>
      <c r="PC5" t="s">
        <v>21</v>
      </c>
      <c r="PD5" t="s">
        <v>20</v>
      </c>
      <c r="PE5">
        <v>3000</v>
      </c>
      <c r="PF5" t="s">
        <v>16</v>
      </c>
      <c r="PG5" t="s">
        <v>22</v>
      </c>
      <c r="PO5" t="s">
        <v>21</v>
      </c>
      <c r="PP5" t="s">
        <v>20</v>
      </c>
      <c r="PQ5">
        <v>3000</v>
      </c>
      <c r="PR5" t="s">
        <v>16</v>
      </c>
      <c r="PS5" t="s">
        <v>22</v>
      </c>
      <c r="QB5" t="s">
        <v>21</v>
      </c>
      <c r="QC5" t="s">
        <v>20</v>
      </c>
      <c r="QD5">
        <v>12000</v>
      </c>
      <c r="QE5" t="s">
        <v>16</v>
      </c>
      <c r="QF5" t="s">
        <v>22</v>
      </c>
    </row>
    <row r="6" spans="1:454">
      <c r="B6" t="s">
        <v>23</v>
      </c>
      <c r="C6" t="s">
        <v>24</v>
      </c>
      <c r="D6" s="1">
        <v>2.5000000000000001E-2</v>
      </c>
      <c r="E6" s="2">
        <v>0.25</v>
      </c>
      <c r="F6" s="2">
        <v>0.5</v>
      </c>
      <c r="G6" s="2">
        <v>0.75</v>
      </c>
      <c r="H6" s="1">
        <v>0.97499999999999998</v>
      </c>
      <c r="I6" t="s">
        <v>25</v>
      </c>
      <c r="J6" t="s">
        <v>26</v>
      </c>
      <c r="P6" t="s">
        <v>23</v>
      </c>
      <c r="Q6" t="s">
        <v>24</v>
      </c>
      <c r="R6" s="1">
        <v>2.5000000000000001E-2</v>
      </c>
      <c r="S6" s="2">
        <v>0.25</v>
      </c>
      <c r="T6" s="2">
        <v>0.5</v>
      </c>
      <c r="U6" s="2">
        <v>0.75</v>
      </c>
      <c r="V6" s="1">
        <v>0.97499999999999998</v>
      </c>
      <c r="W6" t="s">
        <v>25</v>
      </c>
      <c r="X6" t="s">
        <v>26</v>
      </c>
      <c r="AD6" t="s">
        <v>23</v>
      </c>
      <c r="AE6" t="s">
        <v>24</v>
      </c>
      <c r="AF6" s="1">
        <v>2.5000000000000001E-2</v>
      </c>
      <c r="AG6" s="2">
        <v>0.25</v>
      </c>
      <c r="AH6" s="2">
        <v>0.5</v>
      </c>
      <c r="AI6" s="2">
        <v>0.75</v>
      </c>
      <c r="AJ6" s="1">
        <v>0.97499999999999998</v>
      </c>
      <c r="AK6" t="s">
        <v>25</v>
      </c>
      <c r="AL6" t="s">
        <v>26</v>
      </c>
      <c r="AR6" t="s">
        <v>23</v>
      </c>
      <c r="AS6" t="s">
        <v>24</v>
      </c>
      <c r="AT6" s="1">
        <v>2.5000000000000001E-2</v>
      </c>
      <c r="AU6" s="2">
        <v>0.25</v>
      </c>
      <c r="AV6" s="2">
        <v>0.5</v>
      </c>
      <c r="AW6" s="2">
        <v>0.75</v>
      </c>
      <c r="AX6" s="1">
        <v>0.97499999999999998</v>
      </c>
      <c r="AY6" t="s">
        <v>25</v>
      </c>
      <c r="AZ6" t="s">
        <v>26</v>
      </c>
      <c r="BF6" t="s">
        <v>23</v>
      </c>
      <c r="BG6" t="s">
        <v>24</v>
      </c>
      <c r="BH6" s="1">
        <v>2.5000000000000001E-2</v>
      </c>
      <c r="BI6" s="2">
        <v>0.25</v>
      </c>
      <c r="BJ6" s="2">
        <v>0.5</v>
      </c>
      <c r="BK6" s="2">
        <v>0.75</v>
      </c>
      <c r="BL6" s="1">
        <v>0.97499999999999998</v>
      </c>
      <c r="BM6" t="s">
        <v>25</v>
      </c>
      <c r="BN6" t="s">
        <v>26</v>
      </c>
      <c r="BT6" t="s">
        <v>23</v>
      </c>
      <c r="BU6" t="s">
        <v>24</v>
      </c>
      <c r="BV6" s="1">
        <v>2.5000000000000001E-2</v>
      </c>
      <c r="BW6" s="2">
        <v>0.25</v>
      </c>
      <c r="BX6" s="2">
        <v>0.5</v>
      </c>
      <c r="BY6" s="2">
        <v>0.75</v>
      </c>
      <c r="BZ6" s="1">
        <v>0.97499999999999998</v>
      </c>
      <c r="CA6" t="s">
        <v>25</v>
      </c>
      <c r="CB6" t="s">
        <v>26</v>
      </c>
      <c r="CH6" t="s">
        <v>23</v>
      </c>
      <c r="CI6" t="s">
        <v>24</v>
      </c>
      <c r="CJ6" s="1">
        <v>2.5000000000000001E-2</v>
      </c>
      <c r="CK6" s="2">
        <v>0.25</v>
      </c>
      <c r="CL6" s="2">
        <v>0.5</v>
      </c>
      <c r="CM6" s="2">
        <v>0.75</v>
      </c>
      <c r="CN6" s="1">
        <v>0.97499999999999998</v>
      </c>
      <c r="CO6" t="s">
        <v>25</v>
      </c>
      <c r="CP6" t="s">
        <v>26</v>
      </c>
      <c r="CV6" t="s">
        <v>23</v>
      </c>
      <c r="CW6" t="s">
        <v>24</v>
      </c>
      <c r="CX6" s="1">
        <v>2.5000000000000001E-2</v>
      </c>
      <c r="CY6" s="2">
        <v>0.25</v>
      </c>
      <c r="CZ6" s="2">
        <v>0.5</v>
      </c>
      <c r="DA6" s="2">
        <v>0.75</v>
      </c>
      <c r="DB6" s="1">
        <v>0.97499999999999998</v>
      </c>
      <c r="DC6" t="s">
        <v>25</v>
      </c>
      <c r="DD6" t="s">
        <v>26</v>
      </c>
      <c r="DJ6" t="s">
        <v>23</v>
      </c>
      <c r="DK6" t="s">
        <v>24</v>
      </c>
      <c r="DL6" s="1">
        <v>2.5000000000000001E-2</v>
      </c>
      <c r="DM6" s="2">
        <v>0.25</v>
      </c>
      <c r="DN6" s="2">
        <v>0.5</v>
      </c>
      <c r="DO6" s="2">
        <v>0.75</v>
      </c>
      <c r="DP6" s="1">
        <v>0.97499999999999998</v>
      </c>
      <c r="DQ6" t="s">
        <v>25</v>
      </c>
      <c r="DR6" t="s">
        <v>26</v>
      </c>
      <c r="DZ6" t="s">
        <v>23</v>
      </c>
      <c r="EA6" t="s">
        <v>24</v>
      </c>
      <c r="EB6" s="1">
        <v>2.5000000000000001E-2</v>
      </c>
      <c r="EC6" s="2">
        <v>0.25</v>
      </c>
      <c r="ED6" s="2">
        <v>0.5</v>
      </c>
      <c r="EE6" s="2">
        <v>0.75</v>
      </c>
      <c r="EF6" s="1">
        <v>0.97499999999999998</v>
      </c>
      <c r="EG6" t="s">
        <v>25</v>
      </c>
      <c r="EH6" t="s">
        <v>26</v>
      </c>
      <c r="EL6" t="s">
        <v>23</v>
      </c>
      <c r="EM6" t="s">
        <v>24</v>
      </c>
      <c r="EN6" s="1">
        <v>2.5000000000000001E-2</v>
      </c>
      <c r="EO6" s="2">
        <v>0.25</v>
      </c>
      <c r="EP6" s="2">
        <v>0.5</v>
      </c>
      <c r="EQ6" s="2">
        <v>0.75</v>
      </c>
      <c r="ER6" s="1">
        <v>0.97499999999999998</v>
      </c>
      <c r="ES6" t="s">
        <v>25</v>
      </c>
      <c r="ET6" t="s">
        <v>26</v>
      </c>
      <c r="EZ6" t="s">
        <v>23</v>
      </c>
      <c r="FA6" t="s">
        <v>24</v>
      </c>
      <c r="FB6" s="1">
        <v>2.5000000000000001E-2</v>
      </c>
      <c r="FC6" s="2">
        <v>0.25</v>
      </c>
      <c r="FD6" s="2">
        <v>0.5</v>
      </c>
      <c r="FE6" s="2">
        <v>0.75</v>
      </c>
      <c r="FF6" s="1">
        <v>0.97499999999999998</v>
      </c>
      <c r="FG6" t="s">
        <v>25</v>
      </c>
      <c r="FH6" t="s">
        <v>26</v>
      </c>
      <c r="FN6" t="s">
        <v>21</v>
      </c>
      <c r="FO6" t="s">
        <v>20</v>
      </c>
      <c r="FP6">
        <v>3000</v>
      </c>
      <c r="FQ6" t="s">
        <v>16</v>
      </c>
      <c r="FR6" t="s">
        <v>22</v>
      </c>
      <c r="GB6" t="s">
        <v>23</v>
      </c>
      <c r="GC6" t="s">
        <v>24</v>
      </c>
      <c r="GD6" s="1">
        <v>2.5000000000000001E-2</v>
      </c>
      <c r="GE6" s="2">
        <v>0.25</v>
      </c>
      <c r="GF6" s="2">
        <v>0.5</v>
      </c>
      <c r="GG6" s="2">
        <v>0.75</v>
      </c>
      <c r="GH6" s="1">
        <v>0.97499999999999998</v>
      </c>
      <c r="GI6" t="s">
        <v>25</v>
      </c>
      <c r="GJ6" t="s">
        <v>26</v>
      </c>
      <c r="GP6" t="s">
        <v>23</v>
      </c>
      <c r="GQ6" t="s">
        <v>24</v>
      </c>
      <c r="GR6" s="1">
        <v>2.5000000000000001E-2</v>
      </c>
      <c r="GS6" s="2">
        <v>0.25</v>
      </c>
      <c r="GT6" s="2">
        <v>0.5</v>
      </c>
      <c r="GU6" s="2">
        <v>0.75</v>
      </c>
      <c r="GV6" s="1">
        <v>0.97499999999999998</v>
      </c>
      <c r="GW6" t="s">
        <v>25</v>
      </c>
      <c r="GX6" t="s">
        <v>26</v>
      </c>
      <c r="HD6" t="s">
        <v>23</v>
      </c>
      <c r="HE6" t="s">
        <v>24</v>
      </c>
      <c r="HF6" s="1">
        <v>2.5000000000000001E-2</v>
      </c>
      <c r="HG6" s="2">
        <v>0.25</v>
      </c>
      <c r="HH6" s="2">
        <v>0.5</v>
      </c>
      <c r="HI6" s="2">
        <v>0.75</v>
      </c>
      <c r="HJ6" s="1">
        <v>0.97499999999999998</v>
      </c>
      <c r="HK6" t="s">
        <v>25</v>
      </c>
      <c r="HL6" t="s">
        <v>26</v>
      </c>
      <c r="HP6" s="7"/>
      <c r="HQ6" s="7"/>
      <c r="HR6" s="7" t="s">
        <v>23</v>
      </c>
      <c r="HS6" s="7" t="s">
        <v>24</v>
      </c>
      <c r="HT6" s="8">
        <v>2.5000000000000001E-2</v>
      </c>
      <c r="HU6" s="9">
        <v>0.25</v>
      </c>
      <c r="HV6" s="9">
        <v>0.5</v>
      </c>
      <c r="HW6" s="9">
        <v>0.75</v>
      </c>
      <c r="HX6" s="8">
        <v>0.97499999999999998</v>
      </c>
      <c r="HY6" s="7" t="s">
        <v>25</v>
      </c>
      <c r="HZ6" s="7" t="s">
        <v>26</v>
      </c>
      <c r="IA6" s="7"/>
      <c r="IF6" t="s">
        <v>23</v>
      </c>
      <c r="IG6" t="s">
        <v>24</v>
      </c>
      <c r="IH6" s="1">
        <v>2.5000000000000001E-2</v>
      </c>
      <c r="II6" s="2">
        <v>0.25</v>
      </c>
      <c r="IJ6" s="2">
        <v>0.5</v>
      </c>
      <c r="IK6" s="2">
        <v>0.75</v>
      </c>
      <c r="IL6" s="1">
        <v>0.97499999999999998</v>
      </c>
      <c r="IM6" t="s">
        <v>25</v>
      </c>
      <c r="IN6" t="s">
        <v>26</v>
      </c>
      <c r="IT6" t="s">
        <v>23</v>
      </c>
      <c r="IU6" t="s">
        <v>24</v>
      </c>
      <c r="IV6" s="1">
        <v>2.5000000000000001E-2</v>
      </c>
      <c r="IW6" s="2">
        <v>0.25</v>
      </c>
      <c r="IX6" s="2">
        <v>0.5</v>
      </c>
      <c r="IY6" s="2">
        <v>0.75</v>
      </c>
      <c r="IZ6" s="1">
        <v>0.97499999999999998</v>
      </c>
      <c r="JA6" t="s">
        <v>25</v>
      </c>
      <c r="JB6" t="s">
        <v>26</v>
      </c>
      <c r="JG6" t="s">
        <v>23</v>
      </c>
      <c r="JH6" t="s">
        <v>24</v>
      </c>
      <c r="JI6" s="1">
        <v>2.5000000000000001E-2</v>
      </c>
      <c r="JJ6" s="2">
        <v>0.25</v>
      </c>
      <c r="JK6" s="2">
        <v>0.5</v>
      </c>
      <c r="JL6" s="2">
        <v>0.75</v>
      </c>
      <c r="JM6" s="1">
        <v>0.97499999999999998</v>
      </c>
      <c r="JN6" t="s">
        <v>25</v>
      </c>
      <c r="JO6" t="s">
        <v>26</v>
      </c>
      <c r="JU6" t="s">
        <v>23</v>
      </c>
      <c r="JV6" t="s">
        <v>24</v>
      </c>
      <c r="JW6" s="1">
        <v>2.5000000000000001E-2</v>
      </c>
      <c r="JX6" s="2">
        <v>0.25</v>
      </c>
      <c r="JY6" s="2">
        <v>0.5</v>
      </c>
      <c r="JZ6" s="2">
        <v>0.75</v>
      </c>
      <c r="KA6" s="1">
        <v>0.97499999999999998</v>
      </c>
      <c r="KB6" t="s">
        <v>25</v>
      </c>
      <c r="KC6" t="s">
        <v>26</v>
      </c>
      <c r="KI6" t="s">
        <v>23</v>
      </c>
      <c r="KJ6" t="s">
        <v>24</v>
      </c>
      <c r="KK6" s="1">
        <v>2.5000000000000001E-2</v>
      </c>
      <c r="KL6" s="2">
        <v>0.25</v>
      </c>
      <c r="KM6" s="2">
        <v>0.5</v>
      </c>
      <c r="KN6" s="2">
        <v>0.75</v>
      </c>
      <c r="KO6" s="1">
        <v>0.97499999999999998</v>
      </c>
      <c r="KP6" t="s">
        <v>25</v>
      </c>
      <c r="KQ6" t="s">
        <v>26</v>
      </c>
      <c r="KW6" t="s">
        <v>23</v>
      </c>
      <c r="KX6" t="s">
        <v>24</v>
      </c>
      <c r="KY6" s="1">
        <v>2.5000000000000001E-2</v>
      </c>
      <c r="KZ6" s="2">
        <v>0.25</v>
      </c>
      <c r="LA6" s="2">
        <v>0.5</v>
      </c>
      <c r="LB6" s="2">
        <v>0.75</v>
      </c>
      <c r="LC6" s="1">
        <v>0.97499999999999998</v>
      </c>
      <c r="LD6" t="s">
        <v>25</v>
      </c>
      <c r="LE6" t="s">
        <v>26</v>
      </c>
      <c r="LK6" t="s">
        <v>23</v>
      </c>
      <c r="LL6" t="s">
        <v>24</v>
      </c>
      <c r="LM6" s="1">
        <v>2.5000000000000001E-2</v>
      </c>
      <c r="LN6" s="2">
        <v>0.25</v>
      </c>
      <c r="LO6" s="2">
        <v>0.5</v>
      </c>
      <c r="LP6" s="2">
        <v>0.75</v>
      </c>
      <c r="LQ6" s="1">
        <v>0.97499999999999998</v>
      </c>
      <c r="LR6" t="s">
        <v>25</v>
      </c>
      <c r="LS6" t="s">
        <v>26</v>
      </c>
      <c r="LY6" t="s">
        <v>23</v>
      </c>
      <c r="LZ6" t="s">
        <v>24</v>
      </c>
      <c r="MA6" s="1">
        <v>2.5000000000000001E-2</v>
      </c>
      <c r="MB6" s="2">
        <v>0.25</v>
      </c>
      <c r="MC6" s="2">
        <v>0.5</v>
      </c>
      <c r="MD6" s="2">
        <v>0.75</v>
      </c>
      <c r="ME6" s="1">
        <v>0.97499999999999998</v>
      </c>
      <c r="MF6" t="s">
        <v>25</v>
      </c>
      <c r="MG6" t="s">
        <v>26</v>
      </c>
      <c r="MM6" t="s">
        <v>23</v>
      </c>
      <c r="MN6" t="s">
        <v>24</v>
      </c>
      <c r="MO6" s="1">
        <v>2.5000000000000001E-2</v>
      </c>
      <c r="MP6" s="2">
        <v>0.25</v>
      </c>
      <c r="MQ6" s="2">
        <v>0.5</v>
      </c>
      <c r="MR6" s="2">
        <v>0.75</v>
      </c>
      <c r="MS6" s="1">
        <v>0.97499999999999998</v>
      </c>
      <c r="MT6" t="s">
        <v>25</v>
      </c>
      <c r="MU6" t="s">
        <v>26</v>
      </c>
      <c r="NA6" t="s">
        <v>23</v>
      </c>
      <c r="NB6" t="s">
        <v>24</v>
      </c>
      <c r="NC6" s="1">
        <v>2.5000000000000001E-2</v>
      </c>
      <c r="ND6" s="2">
        <v>0.25</v>
      </c>
      <c r="NE6" s="2">
        <v>0.5</v>
      </c>
      <c r="NF6" s="2">
        <v>0.75</v>
      </c>
      <c r="NG6" s="1">
        <v>0.97499999999999998</v>
      </c>
      <c r="NH6" t="s">
        <v>25</v>
      </c>
      <c r="NI6" t="s">
        <v>26</v>
      </c>
      <c r="NN6" t="s">
        <v>23</v>
      </c>
      <c r="NO6" t="s">
        <v>24</v>
      </c>
      <c r="NP6" s="1">
        <v>2.5000000000000001E-2</v>
      </c>
      <c r="NQ6" s="2">
        <v>0.25</v>
      </c>
      <c r="NR6" s="2">
        <v>0.5</v>
      </c>
      <c r="NS6" s="2">
        <v>0.75</v>
      </c>
      <c r="NT6" s="1">
        <v>0.97499999999999998</v>
      </c>
      <c r="NU6" t="s">
        <v>25</v>
      </c>
      <c r="NV6" t="s">
        <v>26</v>
      </c>
      <c r="NZ6" t="s">
        <v>23</v>
      </c>
      <c r="OA6" t="s">
        <v>24</v>
      </c>
      <c r="OB6" s="1">
        <v>2.5000000000000001E-2</v>
      </c>
      <c r="OC6" s="2">
        <v>0.25</v>
      </c>
      <c r="OD6" s="2">
        <v>0.5</v>
      </c>
      <c r="OE6" s="1">
        <v>0.75</v>
      </c>
      <c r="OF6" s="2">
        <v>0.97499999999999998</v>
      </c>
      <c r="OG6" s="2" t="s">
        <v>25</v>
      </c>
      <c r="OH6" s="2" t="s">
        <v>26</v>
      </c>
      <c r="OI6" s="1"/>
      <c r="OQ6" t="s">
        <v>23</v>
      </c>
      <c r="OR6" t="s">
        <v>24</v>
      </c>
      <c r="OS6" s="1">
        <v>2.5000000000000001E-2</v>
      </c>
      <c r="OT6" s="2">
        <v>0.25</v>
      </c>
      <c r="OU6" s="2">
        <v>0.5</v>
      </c>
      <c r="OV6" s="2">
        <v>0.75</v>
      </c>
      <c r="OW6" s="1">
        <v>0.97499999999999998</v>
      </c>
      <c r="OX6" t="s">
        <v>25</v>
      </c>
      <c r="OY6" t="s">
        <v>26</v>
      </c>
      <c r="PC6" t="s">
        <v>23</v>
      </c>
      <c r="PD6" t="s">
        <v>24</v>
      </c>
      <c r="PE6" s="1">
        <v>2.5000000000000001E-2</v>
      </c>
      <c r="PF6" s="2">
        <v>0.25</v>
      </c>
      <c r="PG6" s="2">
        <v>0.5</v>
      </c>
      <c r="PH6" s="2">
        <v>0.75</v>
      </c>
      <c r="PI6" s="1">
        <v>0.97499999999999998</v>
      </c>
      <c r="PJ6" t="s">
        <v>25</v>
      </c>
      <c r="PK6" t="s">
        <v>26</v>
      </c>
      <c r="PO6" t="s">
        <v>23</v>
      </c>
      <c r="PP6" t="s">
        <v>24</v>
      </c>
      <c r="PQ6" s="1">
        <v>2.5000000000000001E-2</v>
      </c>
      <c r="PR6" s="2">
        <v>0.25</v>
      </c>
      <c r="PS6" s="2">
        <v>0.5</v>
      </c>
      <c r="PT6" s="2">
        <v>0.75</v>
      </c>
      <c r="PU6" s="1">
        <v>0.97499999999999998</v>
      </c>
      <c r="PV6" t="s">
        <v>25</v>
      </c>
      <c r="PW6" t="s">
        <v>26</v>
      </c>
      <c r="QB6" t="s">
        <v>23</v>
      </c>
      <c r="QC6" t="s">
        <v>24</v>
      </c>
      <c r="QD6" s="1">
        <v>2.5000000000000001E-2</v>
      </c>
      <c r="QE6" s="2">
        <v>0.25</v>
      </c>
      <c r="QF6" s="2">
        <v>0.5</v>
      </c>
      <c r="QG6" s="2">
        <v>0.75</v>
      </c>
      <c r="QH6" s="1">
        <v>0.97499999999999998</v>
      </c>
      <c r="QI6" t="s">
        <v>25</v>
      </c>
      <c r="QJ6" t="s">
        <v>26</v>
      </c>
    </row>
    <row r="7" spans="1:454">
      <c r="A7" t="s">
        <v>27</v>
      </c>
      <c r="B7">
        <v>6.7460000000000004</v>
      </c>
      <c r="C7">
        <v>0.97799999999999998</v>
      </c>
      <c r="D7">
        <v>4.7869999999999999</v>
      </c>
      <c r="E7">
        <v>6.1059999999999999</v>
      </c>
      <c r="F7">
        <v>6.7919999999999998</v>
      </c>
      <c r="G7">
        <v>7.3760000000000003</v>
      </c>
      <c r="H7">
        <v>8.5489999999999995</v>
      </c>
      <c r="I7">
        <v>1.0169999999999999</v>
      </c>
      <c r="J7">
        <v>1800</v>
      </c>
      <c r="O7" t="s">
        <v>27</v>
      </c>
      <c r="P7">
        <v>4.383</v>
      </c>
      <c r="Q7">
        <v>1.831</v>
      </c>
      <c r="R7">
        <v>0.53600000000000003</v>
      </c>
      <c r="S7">
        <v>3.1179999999999999</v>
      </c>
      <c r="T7">
        <v>4.5750000000000002</v>
      </c>
      <c r="U7">
        <v>5.8929999999999998</v>
      </c>
      <c r="V7">
        <v>7.1779999999999999</v>
      </c>
      <c r="W7">
        <v>1.004</v>
      </c>
      <c r="X7">
        <v>1600</v>
      </c>
      <c r="AC7" t="s">
        <v>27</v>
      </c>
      <c r="AD7">
        <v>6.4710000000000001</v>
      </c>
      <c r="AE7">
        <v>0.58499999999999996</v>
      </c>
      <c r="AF7">
        <v>5.1779999999999999</v>
      </c>
      <c r="AG7">
        <v>6.0940000000000003</v>
      </c>
      <c r="AH7">
        <v>6.5469999999999997</v>
      </c>
      <c r="AI7">
        <v>6.93</v>
      </c>
      <c r="AJ7">
        <v>7.3259999999999996</v>
      </c>
      <c r="AK7">
        <v>1.0009999999999999</v>
      </c>
      <c r="AL7">
        <v>3000</v>
      </c>
      <c r="AQ7" t="s">
        <v>27</v>
      </c>
      <c r="AR7">
        <v>6.5119999999999996</v>
      </c>
      <c r="AS7">
        <v>0.56100000000000005</v>
      </c>
      <c r="AT7">
        <v>5.2389999999999999</v>
      </c>
      <c r="AU7">
        <v>6.1479999999999997</v>
      </c>
      <c r="AV7">
        <v>6.5869999999999997</v>
      </c>
      <c r="AW7">
        <v>6.9690000000000003</v>
      </c>
      <c r="AX7">
        <v>7.33</v>
      </c>
      <c r="AY7">
        <v>1.002</v>
      </c>
      <c r="AZ7">
        <v>1700</v>
      </c>
      <c r="BE7" t="s">
        <v>27</v>
      </c>
      <c r="BF7">
        <v>5.899</v>
      </c>
      <c r="BG7">
        <v>0.65600000000000003</v>
      </c>
      <c r="BH7">
        <v>4.6210000000000004</v>
      </c>
      <c r="BI7">
        <v>5.4249999999999998</v>
      </c>
      <c r="BJ7">
        <v>5.8869999999999996</v>
      </c>
      <c r="BK7">
        <v>6.37</v>
      </c>
      <c r="BL7">
        <v>7.1509999999999998</v>
      </c>
      <c r="BM7">
        <v>1.01</v>
      </c>
      <c r="BN7">
        <v>220</v>
      </c>
      <c r="BS7" t="s">
        <v>27</v>
      </c>
      <c r="BT7">
        <v>6.3259999999999996</v>
      </c>
      <c r="BU7">
        <v>0.65100000000000002</v>
      </c>
      <c r="BV7">
        <v>4.931</v>
      </c>
      <c r="BW7">
        <v>5.8860000000000001</v>
      </c>
      <c r="BX7">
        <v>6.3890000000000002</v>
      </c>
      <c r="BY7">
        <v>6.8479999999999999</v>
      </c>
      <c r="BZ7">
        <v>7.3109999999999999</v>
      </c>
      <c r="CA7">
        <v>1.002</v>
      </c>
      <c r="CB7">
        <v>1500</v>
      </c>
      <c r="CG7" t="s">
        <v>27</v>
      </c>
      <c r="CH7">
        <v>5.8710000000000004</v>
      </c>
      <c r="CI7">
        <v>0.66100000000000003</v>
      </c>
      <c r="CJ7">
        <v>4.6360000000000001</v>
      </c>
      <c r="CK7">
        <v>5.3970000000000002</v>
      </c>
      <c r="CL7">
        <v>5.8659999999999997</v>
      </c>
      <c r="CM7">
        <v>6.3490000000000002</v>
      </c>
      <c r="CN7">
        <v>7.1440000000000001</v>
      </c>
      <c r="CO7">
        <v>1.002</v>
      </c>
      <c r="CP7">
        <v>1000</v>
      </c>
      <c r="CU7" t="s">
        <v>27</v>
      </c>
      <c r="CV7">
        <v>6.5129999999999999</v>
      </c>
      <c r="CW7">
        <v>0.55800000000000005</v>
      </c>
      <c r="CX7">
        <v>5.2889999999999997</v>
      </c>
      <c r="CY7">
        <v>6.1449999999999996</v>
      </c>
      <c r="CZ7">
        <v>6.5990000000000002</v>
      </c>
      <c r="DA7">
        <v>6.9489999999999998</v>
      </c>
      <c r="DB7">
        <v>7.3330000000000002</v>
      </c>
      <c r="DC7">
        <v>1.01</v>
      </c>
      <c r="DD7">
        <v>240</v>
      </c>
      <c r="DI7" t="s">
        <v>27</v>
      </c>
      <c r="DJ7">
        <v>6.4640000000000004</v>
      </c>
      <c r="DK7">
        <v>0.57899999999999996</v>
      </c>
      <c r="DL7">
        <v>5.2469999999999999</v>
      </c>
      <c r="DM7">
        <v>6.069</v>
      </c>
      <c r="DN7">
        <v>6.53</v>
      </c>
      <c r="DO7">
        <v>6.9320000000000004</v>
      </c>
      <c r="DP7">
        <v>7.3209999999999997</v>
      </c>
      <c r="DQ7">
        <v>1.0049999999999999</v>
      </c>
      <c r="DR7">
        <v>490</v>
      </c>
      <c r="DY7" t="s">
        <v>27</v>
      </c>
      <c r="DZ7">
        <v>6.5179999999999998</v>
      </c>
      <c r="EA7">
        <v>0.56599999999999995</v>
      </c>
      <c r="EB7">
        <v>5.2850000000000001</v>
      </c>
      <c r="EC7">
        <v>6.1539999999999999</v>
      </c>
      <c r="ED7">
        <v>6.5990000000000002</v>
      </c>
      <c r="EE7">
        <v>6.9690000000000003</v>
      </c>
      <c r="EF7">
        <v>7.3419999999999996</v>
      </c>
      <c r="EG7">
        <v>1.0009999999999999</v>
      </c>
      <c r="EH7">
        <v>3000</v>
      </c>
      <c r="EK7" t="s">
        <v>27</v>
      </c>
      <c r="EL7">
        <v>5.8</v>
      </c>
      <c r="EM7">
        <v>0.75600000000000001</v>
      </c>
      <c r="EN7">
        <v>4.45</v>
      </c>
      <c r="EO7">
        <v>5.2240000000000002</v>
      </c>
      <c r="EP7">
        <v>5.7679999999999998</v>
      </c>
      <c r="EQ7">
        <v>6.3520000000000003</v>
      </c>
      <c r="ER7">
        <v>7.2149999999999999</v>
      </c>
      <c r="ES7">
        <v>1.0009999999999999</v>
      </c>
      <c r="ET7">
        <v>1500</v>
      </c>
      <c r="EY7" t="s">
        <v>27</v>
      </c>
      <c r="EZ7">
        <v>5.6189999999999998</v>
      </c>
      <c r="FA7">
        <v>0.78200000000000003</v>
      </c>
      <c r="FB7">
        <v>4.173</v>
      </c>
      <c r="FC7">
        <v>5.0439999999999996</v>
      </c>
      <c r="FD7">
        <v>5.5869999999999997</v>
      </c>
      <c r="FE7">
        <v>6.1929999999999996</v>
      </c>
      <c r="FF7">
        <v>7.1449999999999996</v>
      </c>
      <c r="FG7">
        <v>1.0009999999999999</v>
      </c>
      <c r="FH7">
        <v>3000</v>
      </c>
      <c r="FN7" t="s">
        <v>23</v>
      </c>
      <c r="FO7" t="s">
        <v>24</v>
      </c>
      <c r="FP7" s="1">
        <v>2.5000000000000001E-2</v>
      </c>
      <c r="FQ7" s="2">
        <v>0.25</v>
      </c>
      <c r="FR7" s="2">
        <v>0.5</v>
      </c>
      <c r="FS7" s="2">
        <v>0.75</v>
      </c>
      <c r="FT7" s="1">
        <v>0.97499999999999998</v>
      </c>
      <c r="FU7" t="s">
        <v>25</v>
      </c>
      <c r="FV7" t="s">
        <v>26</v>
      </c>
      <c r="GA7" t="s">
        <v>27</v>
      </c>
      <c r="GB7">
        <v>6.3380000000000001</v>
      </c>
      <c r="GC7">
        <v>0.627</v>
      </c>
      <c r="GD7">
        <v>5.0389999999999997</v>
      </c>
      <c r="GE7">
        <v>5.89</v>
      </c>
      <c r="GF7">
        <v>6.3890000000000002</v>
      </c>
      <c r="GG7">
        <v>6.8390000000000004</v>
      </c>
      <c r="GH7">
        <v>7.3239999999999998</v>
      </c>
      <c r="GI7">
        <v>1.0009999999999999</v>
      </c>
      <c r="GJ7">
        <v>3000</v>
      </c>
      <c r="GO7" t="s">
        <v>27</v>
      </c>
      <c r="GP7">
        <v>5.633</v>
      </c>
      <c r="GQ7">
        <v>0.77900000000000003</v>
      </c>
      <c r="GR7">
        <v>4.1740000000000004</v>
      </c>
      <c r="GS7">
        <v>5.0789999999999997</v>
      </c>
      <c r="GT7">
        <v>5.5949999999999998</v>
      </c>
      <c r="GU7">
        <v>6.2069999999999999</v>
      </c>
      <c r="GV7">
        <v>7.1429999999999998</v>
      </c>
      <c r="GW7">
        <v>1.002</v>
      </c>
      <c r="GX7">
        <v>1600</v>
      </c>
      <c r="HC7" t="s">
        <v>27</v>
      </c>
      <c r="HD7">
        <v>5.6429999999999998</v>
      </c>
      <c r="HE7">
        <v>0.77900000000000003</v>
      </c>
      <c r="HF7">
        <v>4.1689999999999996</v>
      </c>
      <c r="HG7">
        <v>5.0789999999999997</v>
      </c>
      <c r="HH7">
        <v>5.6280000000000001</v>
      </c>
      <c r="HI7">
        <v>6.2</v>
      </c>
      <c r="HJ7">
        <v>7.1130000000000004</v>
      </c>
      <c r="HK7">
        <v>1.002</v>
      </c>
      <c r="HL7">
        <v>2000</v>
      </c>
      <c r="HP7" s="7"/>
      <c r="HQ7" s="7" t="s">
        <v>27</v>
      </c>
      <c r="HR7" s="7">
        <v>5.6550000000000002</v>
      </c>
      <c r="HS7" s="7">
        <v>0.7</v>
      </c>
      <c r="HT7" s="7">
        <v>4.391</v>
      </c>
      <c r="HU7" s="7">
        <v>5.1440000000000001</v>
      </c>
      <c r="HV7" s="7">
        <v>5.6150000000000002</v>
      </c>
      <c r="HW7" s="7">
        <v>6.14</v>
      </c>
      <c r="HX7" s="7">
        <v>7.1079999999999997</v>
      </c>
      <c r="HY7" s="7">
        <v>1.002</v>
      </c>
      <c r="HZ7" s="7">
        <v>1000</v>
      </c>
      <c r="IA7" s="7"/>
      <c r="IE7" t="s">
        <v>27</v>
      </c>
      <c r="IF7">
        <v>5.8150000000000004</v>
      </c>
      <c r="IG7">
        <v>0.71399999999999997</v>
      </c>
      <c r="IH7">
        <v>4.5179999999999998</v>
      </c>
      <c r="II7">
        <v>5.2729999999999997</v>
      </c>
      <c r="IJ7">
        <v>5.7919999999999998</v>
      </c>
      <c r="IK7">
        <v>6.3250000000000002</v>
      </c>
      <c r="IL7">
        <v>7.1950000000000003</v>
      </c>
      <c r="IM7">
        <v>1.002</v>
      </c>
      <c r="IN7">
        <v>1800</v>
      </c>
      <c r="IS7" t="s">
        <v>27</v>
      </c>
      <c r="IT7">
        <v>5.8819999999999997</v>
      </c>
      <c r="IU7">
        <v>0.71</v>
      </c>
      <c r="IV7">
        <v>4.601</v>
      </c>
      <c r="IW7">
        <v>5.3529999999999998</v>
      </c>
      <c r="IX7">
        <v>5.8490000000000002</v>
      </c>
      <c r="IY7">
        <v>6.4139999999999997</v>
      </c>
      <c r="IZ7">
        <v>7.24</v>
      </c>
      <c r="JA7">
        <v>1.0009999999999999</v>
      </c>
      <c r="JB7">
        <v>3000</v>
      </c>
      <c r="JF7" t="s">
        <v>27</v>
      </c>
      <c r="JG7">
        <v>5.6870000000000003</v>
      </c>
      <c r="JH7">
        <v>0.72399999999999998</v>
      </c>
      <c r="JI7">
        <v>4.3730000000000002</v>
      </c>
      <c r="JJ7">
        <v>5.1680000000000001</v>
      </c>
      <c r="JK7">
        <v>5.6390000000000002</v>
      </c>
      <c r="JL7">
        <v>6.1970000000000001</v>
      </c>
      <c r="JM7">
        <v>7.1379999999999999</v>
      </c>
      <c r="JN7">
        <v>1.0009999999999999</v>
      </c>
      <c r="JO7">
        <v>3000</v>
      </c>
      <c r="JT7" t="s">
        <v>27</v>
      </c>
      <c r="JU7">
        <v>5.6689999999999996</v>
      </c>
      <c r="JV7">
        <v>0.70899999999999996</v>
      </c>
      <c r="JW7">
        <v>4.3890000000000002</v>
      </c>
      <c r="JX7">
        <v>5.1609999999999996</v>
      </c>
      <c r="JY7">
        <v>5.6109999999999998</v>
      </c>
      <c r="JZ7">
        <v>6.1669999999999998</v>
      </c>
      <c r="KA7">
        <v>7.0890000000000004</v>
      </c>
      <c r="KB7">
        <v>1.004</v>
      </c>
      <c r="KC7">
        <v>650</v>
      </c>
      <c r="KH7" t="s">
        <v>27</v>
      </c>
      <c r="KI7">
        <v>5.6079999999999997</v>
      </c>
      <c r="KJ7">
        <v>0.71799999999999997</v>
      </c>
      <c r="KK7">
        <v>4.3339999999999996</v>
      </c>
      <c r="KL7">
        <v>5.0940000000000003</v>
      </c>
      <c r="KM7">
        <v>5.5510000000000002</v>
      </c>
      <c r="KN7">
        <v>6.11</v>
      </c>
      <c r="KO7">
        <v>7.0679999999999996</v>
      </c>
      <c r="KP7">
        <v>1.0009999999999999</v>
      </c>
      <c r="KQ7">
        <v>3000</v>
      </c>
      <c r="KR7">
        <f t="shared" ref="KR7:KR70" si="0">EXP(KI7)</f>
        <v>272.59849545321288</v>
      </c>
      <c r="KS7">
        <f>SUM(KR7,KR30,KR53,KR76)</f>
        <v>2058.4163944171073</v>
      </c>
      <c r="KT7">
        <f>MEDIAN(KS7:KS29)</f>
        <v>1975.8007415717232</v>
      </c>
      <c r="KV7" t="s">
        <v>27</v>
      </c>
      <c r="KW7">
        <v>6.5469999999999997</v>
      </c>
      <c r="KX7">
        <v>0.375</v>
      </c>
      <c r="KY7">
        <v>5.827</v>
      </c>
      <c r="KZ7">
        <v>6.2839999999999998</v>
      </c>
      <c r="LA7">
        <v>6.548</v>
      </c>
      <c r="LB7">
        <v>6.806</v>
      </c>
      <c r="LC7">
        <v>7.282</v>
      </c>
      <c r="LD7">
        <v>1.006</v>
      </c>
      <c r="LE7">
        <v>390</v>
      </c>
      <c r="LJ7" t="s">
        <v>27</v>
      </c>
      <c r="LK7">
        <v>5.9370000000000003</v>
      </c>
      <c r="LL7">
        <v>0.26700000000000002</v>
      </c>
      <c r="LM7">
        <v>5.4610000000000003</v>
      </c>
      <c r="LN7">
        <v>5.75</v>
      </c>
      <c r="LO7">
        <v>5.9219999999999997</v>
      </c>
      <c r="LP7">
        <v>6.1029999999999998</v>
      </c>
      <c r="LQ7">
        <v>6.4989999999999997</v>
      </c>
      <c r="LR7">
        <v>1.0029999999999999</v>
      </c>
      <c r="LS7">
        <v>810</v>
      </c>
      <c r="LX7" t="s">
        <v>27</v>
      </c>
      <c r="LY7">
        <v>2.7290000000000001</v>
      </c>
      <c r="LZ7">
        <v>0.97199999999999998</v>
      </c>
      <c r="MA7">
        <v>0.76300000000000001</v>
      </c>
      <c r="MB7">
        <v>2.0760000000000001</v>
      </c>
      <c r="MC7">
        <v>2.7669999999999999</v>
      </c>
      <c r="MD7">
        <v>3.4209999999999998</v>
      </c>
      <c r="ME7">
        <v>4.4569999999999999</v>
      </c>
      <c r="MF7">
        <v>1.347</v>
      </c>
      <c r="MG7">
        <v>10</v>
      </c>
      <c r="ML7" t="s">
        <v>27</v>
      </c>
      <c r="MM7">
        <v>6.7549999999999999</v>
      </c>
      <c r="MN7">
        <v>0.317</v>
      </c>
      <c r="MO7">
        <v>6.1059999999999999</v>
      </c>
      <c r="MP7">
        <v>6.5350000000000001</v>
      </c>
      <c r="MQ7">
        <v>6.7720000000000002</v>
      </c>
      <c r="MR7">
        <v>6.9939999999999998</v>
      </c>
      <c r="MS7">
        <v>7.3019999999999996</v>
      </c>
      <c r="MT7">
        <v>1.0009999999999999</v>
      </c>
      <c r="MU7">
        <v>5000</v>
      </c>
      <c r="MZ7" t="s">
        <v>27</v>
      </c>
      <c r="NA7">
        <v>6.8049999999999997</v>
      </c>
      <c r="NB7">
        <v>0.29299999999999998</v>
      </c>
      <c r="NC7">
        <v>6.2080000000000002</v>
      </c>
      <c r="ND7">
        <v>6.6020000000000003</v>
      </c>
      <c r="NE7">
        <v>6.8230000000000004</v>
      </c>
      <c r="NF7">
        <v>7.0220000000000002</v>
      </c>
      <c r="NG7">
        <v>7.3090000000000002</v>
      </c>
      <c r="NH7">
        <v>1.002</v>
      </c>
      <c r="NI7">
        <v>1300</v>
      </c>
      <c r="NM7" t="s">
        <v>27</v>
      </c>
      <c r="NN7">
        <v>6.9450000000000003</v>
      </c>
      <c r="NO7">
        <v>0.27500000000000002</v>
      </c>
      <c r="NP7">
        <v>6.43</v>
      </c>
      <c r="NQ7">
        <v>6.742</v>
      </c>
      <c r="NR7">
        <v>6.9420000000000002</v>
      </c>
      <c r="NS7">
        <v>7.149</v>
      </c>
      <c r="NT7">
        <v>7.452</v>
      </c>
      <c r="NU7">
        <v>1.0009999999999999</v>
      </c>
      <c r="NV7">
        <v>6400</v>
      </c>
      <c r="NY7" t="s">
        <v>27</v>
      </c>
      <c r="NZ7">
        <v>6.8090000000000002</v>
      </c>
      <c r="OA7">
        <v>0.28999999999999998</v>
      </c>
      <c r="OB7">
        <v>6.3070000000000004</v>
      </c>
      <c r="OC7">
        <v>6.5949999999999998</v>
      </c>
      <c r="OD7">
        <v>6.7830000000000004</v>
      </c>
      <c r="OE7">
        <v>7.0069999999999997</v>
      </c>
      <c r="OF7">
        <v>7.4130000000000003</v>
      </c>
      <c r="OG7">
        <v>1.0009999999999999</v>
      </c>
      <c r="OH7">
        <v>6900</v>
      </c>
      <c r="OP7" t="s">
        <v>27</v>
      </c>
      <c r="OQ7">
        <v>7.0030000000000001</v>
      </c>
      <c r="OR7">
        <v>0.24099999999999999</v>
      </c>
      <c r="OS7">
        <v>6.4850000000000003</v>
      </c>
      <c r="OT7">
        <v>6.8369999999999997</v>
      </c>
      <c r="OU7">
        <v>7.0369999999999999</v>
      </c>
      <c r="OV7">
        <v>7.1920000000000002</v>
      </c>
      <c r="OW7">
        <v>7.3769999999999998</v>
      </c>
      <c r="OX7">
        <v>1.018</v>
      </c>
      <c r="OY7">
        <v>130</v>
      </c>
      <c r="PB7" t="s">
        <v>27</v>
      </c>
      <c r="PC7">
        <v>7.1319999999999997</v>
      </c>
      <c r="PD7">
        <v>0.17799999999999999</v>
      </c>
      <c r="PE7">
        <v>6.7270000000000003</v>
      </c>
      <c r="PF7">
        <v>7.0209999999999999</v>
      </c>
      <c r="PG7">
        <v>7.1630000000000003</v>
      </c>
      <c r="PH7">
        <v>7.2690000000000001</v>
      </c>
      <c r="PI7">
        <v>7.391</v>
      </c>
      <c r="PJ7">
        <v>1.0089999999999999</v>
      </c>
      <c r="PK7">
        <v>320</v>
      </c>
      <c r="PN7" t="s">
        <v>27</v>
      </c>
      <c r="PO7">
        <v>7.27</v>
      </c>
      <c r="PP7">
        <v>0.3</v>
      </c>
      <c r="PQ7">
        <v>6.6619999999999999</v>
      </c>
      <c r="PR7">
        <v>7.0759999999999996</v>
      </c>
      <c r="PS7">
        <v>7.2709999999999999</v>
      </c>
      <c r="PT7">
        <v>7.4729999999999999</v>
      </c>
      <c r="PU7">
        <v>7.8390000000000004</v>
      </c>
      <c r="PV7">
        <v>1.0009999999999999</v>
      </c>
      <c r="PW7">
        <v>3000</v>
      </c>
      <c r="PX7">
        <f>AVERAGE(PO7:PO29)</f>
        <v>7.1716956521739119</v>
      </c>
      <c r="QA7" t="s">
        <v>27</v>
      </c>
      <c r="QB7">
        <v>6.0119999999999996</v>
      </c>
      <c r="QC7">
        <v>0.18099999999999999</v>
      </c>
      <c r="QD7">
        <v>5.601</v>
      </c>
      <c r="QE7">
        <v>5.8959999999999999</v>
      </c>
      <c r="QF7">
        <v>6.0220000000000002</v>
      </c>
      <c r="QG7">
        <v>6.1429999999999998</v>
      </c>
      <c r="QH7">
        <v>6.3179999999999996</v>
      </c>
      <c r="QI7">
        <v>1.0069999999999999</v>
      </c>
      <c r="QJ7">
        <v>650</v>
      </c>
      <c r="QK7">
        <f>AVERAGE(QB7:QB29)</f>
        <v>6.2503913043478256</v>
      </c>
      <c r="QL7">
        <f>PO7-QB7</f>
        <v>1.258</v>
      </c>
    </row>
    <row r="8" spans="1:454">
      <c r="A8" t="s">
        <v>28</v>
      </c>
      <c r="B8">
        <v>6.944</v>
      </c>
      <c r="C8">
        <v>1.0629999999999999</v>
      </c>
      <c r="D8">
        <v>4.8769999999999998</v>
      </c>
      <c r="E8">
        <v>6.2080000000000002</v>
      </c>
      <c r="F8">
        <v>6.944</v>
      </c>
      <c r="G8">
        <v>7.6849999999999996</v>
      </c>
      <c r="H8">
        <v>8.9309999999999992</v>
      </c>
      <c r="I8">
        <v>1.028</v>
      </c>
      <c r="J8">
        <v>85</v>
      </c>
      <c r="O8" t="s">
        <v>28</v>
      </c>
      <c r="P8">
        <v>5.5229999999999997</v>
      </c>
      <c r="Q8">
        <v>1.351</v>
      </c>
      <c r="R8">
        <v>2.3250000000000002</v>
      </c>
      <c r="S8">
        <v>4.7009999999999996</v>
      </c>
      <c r="T8">
        <v>5.7880000000000003</v>
      </c>
      <c r="U8">
        <v>6.5990000000000002</v>
      </c>
      <c r="V8">
        <v>7.2919999999999998</v>
      </c>
      <c r="W8">
        <v>1.014</v>
      </c>
      <c r="X8">
        <v>2700</v>
      </c>
      <c r="AC8" t="s">
        <v>28</v>
      </c>
      <c r="AD8">
        <v>6.8159999999999998</v>
      </c>
      <c r="AE8">
        <v>0.47099999999999997</v>
      </c>
      <c r="AF8">
        <v>5.6159999999999997</v>
      </c>
      <c r="AG8">
        <v>6.577</v>
      </c>
      <c r="AH8">
        <v>6.9379999999999997</v>
      </c>
      <c r="AI8">
        <v>7.19</v>
      </c>
      <c r="AJ8">
        <v>7.3630000000000004</v>
      </c>
      <c r="AK8">
        <v>1.002</v>
      </c>
      <c r="AL8">
        <v>1300</v>
      </c>
      <c r="AQ8" t="s">
        <v>28</v>
      </c>
      <c r="AR8">
        <v>6.9119999999999999</v>
      </c>
      <c r="AS8">
        <v>0.4</v>
      </c>
      <c r="AT8">
        <v>5.9240000000000004</v>
      </c>
      <c r="AU8">
        <v>6.7119999999999997</v>
      </c>
      <c r="AV8">
        <v>7.0030000000000001</v>
      </c>
      <c r="AW8">
        <v>7.2240000000000002</v>
      </c>
      <c r="AX8">
        <v>7.3650000000000002</v>
      </c>
      <c r="AY8">
        <v>1</v>
      </c>
      <c r="AZ8">
        <v>3000</v>
      </c>
      <c r="BE8" t="s">
        <v>28</v>
      </c>
      <c r="BF8">
        <v>6.9450000000000003</v>
      </c>
      <c r="BG8">
        <v>0.35599999999999998</v>
      </c>
      <c r="BH8">
        <v>6.0789999999999997</v>
      </c>
      <c r="BI8">
        <v>6.7510000000000003</v>
      </c>
      <c r="BJ8">
        <v>7.0309999999999997</v>
      </c>
      <c r="BK8">
        <v>7.2240000000000002</v>
      </c>
      <c r="BL8">
        <v>7.367</v>
      </c>
      <c r="BM8">
        <v>1.0009999999999999</v>
      </c>
      <c r="BN8">
        <v>3000</v>
      </c>
      <c r="BS8" t="s">
        <v>28</v>
      </c>
      <c r="BT8">
        <v>6.8040000000000003</v>
      </c>
      <c r="BU8">
        <v>0.46899999999999997</v>
      </c>
      <c r="BV8">
        <v>5.6909999999999998</v>
      </c>
      <c r="BW8">
        <v>6.532</v>
      </c>
      <c r="BX8">
        <v>6.92</v>
      </c>
      <c r="BY8">
        <v>7.1849999999999996</v>
      </c>
      <c r="BZ8">
        <v>7.36</v>
      </c>
      <c r="CA8">
        <v>1.0009999999999999</v>
      </c>
      <c r="CB8">
        <v>2500</v>
      </c>
      <c r="CG8" t="s">
        <v>28</v>
      </c>
      <c r="CH8">
        <v>6.8620000000000001</v>
      </c>
      <c r="CI8">
        <v>0.40600000000000003</v>
      </c>
      <c r="CJ8">
        <v>5.88</v>
      </c>
      <c r="CK8">
        <v>6.6289999999999996</v>
      </c>
      <c r="CL8">
        <v>6.952</v>
      </c>
      <c r="CM8">
        <v>7.1879999999999997</v>
      </c>
      <c r="CN8">
        <v>7.3639999999999999</v>
      </c>
      <c r="CO8">
        <v>1.0009999999999999</v>
      </c>
      <c r="CP8">
        <v>2700</v>
      </c>
      <c r="CU8" t="s">
        <v>28</v>
      </c>
      <c r="CV8">
        <v>6.8540000000000001</v>
      </c>
      <c r="CW8">
        <v>0.45200000000000001</v>
      </c>
      <c r="CX8">
        <v>5.7359999999999998</v>
      </c>
      <c r="CY8">
        <v>6.61</v>
      </c>
      <c r="CZ8">
        <v>6.9660000000000002</v>
      </c>
      <c r="DA8">
        <v>7.2050000000000001</v>
      </c>
      <c r="DB8">
        <v>7.3680000000000003</v>
      </c>
      <c r="DC8">
        <v>1.0069999999999999</v>
      </c>
      <c r="DD8">
        <v>330</v>
      </c>
      <c r="DI8" t="s">
        <v>28</v>
      </c>
      <c r="DJ8">
        <v>6.7919999999999998</v>
      </c>
      <c r="DK8">
        <v>0.47899999999999998</v>
      </c>
      <c r="DL8">
        <v>5.593</v>
      </c>
      <c r="DM8">
        <v>6.5229999999999997</v>
      </c>
      <c r="DN8">
        <v>6.9109999999999996</v>
      </c>
      <c r="DO8">
        <v>7.17</v>
      </c>
      <c r="DP8">
        <v>7.3609999999999998</v>
      </c>
      <c r="DQ8">
        <v>1.0009999999999999</v>
      </c>
      <c r="DR8">
        <v>3000</v>
      </c>
      <c r="DY8" t="s">
        <v>28</v>
      </c>
      <c r="DZ8">
        <v>6.8639999999999999</v>
      </c>
      <c r="EA8">
        <v>0.434</v>
      </c>
      <c r="EB8">
        <v>5.7759999999999998</v>
      </c>
      <c r="EC8">
        <v>6.6390000000000002</v>
      </c>
      <c r="ED8">
        <v>6.976</v>
      </c>
      <c r="EE8">
        <v>7.2060000000000004</v>
      </c>
      <c r="EF8">
        <v>7.3620000000000001</v>
      </c>
      <c r="EG8">
        <v>1.0009999999999999</v>
      </c>
      <c r="EH8">
        <v>3000</v>
      </c>
      <c r="EK8" t="s">
        <v>28</v>
      </c>
      <c r="EL8">
        <v>6.7050000000000001</v>
      </c>
      <c r="EM8">
        <v>0.51400000000000001</v>
      </c>
      <c r="EN8">
        <v>5.4729999999999999</v>
      </c>
      <c r="EO8">
        <v>6.4009999999999998</v>
      </c>
      <c r="EP8">
        <v>6.8029999999999999</v>
      </c>
      <c r="EQ8">
        <v>7.1260000000000003</v>
      </c>
      <c r="ER8">
        <v>7.351</v>
      </c>
      <c r="ES8">
        <v>1</v>
      </c>
      <c r="ET8">
        <v>1500</v>
      </c>
      <c r="EY8" t="s">
        <v>28</v>
      </c>
      <c r="EZ8">
        <v>6.7519999999999998</v>
      </c>
      <c r="FA8">
        <v>0.48599999999999999</v>
      </c>
      <c r="FB8">
        <v>5.5339999999999998</v>
      </c>
      <c r="FC8">
        <v>6.4710000000000001</v>
      </c>
      <c r="FD8">
        <v>6.8630000000000004</v>
      </c>
      <c r="FE8">
        <v>7.1319999999999997</v>
      </c>
      <c r="FF8">
        <v>7.3540000000000001</v>
      </c>
      <c r="FG8">
        <v>1.0009999999999999</v>
      </c>
      <c r="FH8">
        <v>3000</v>
      </c>
      <c r="FM8" t="s">
        <v>248</v>
      </c>
      <c r="FN8">
        <v>0.249</v>
      </c>
      <c r="FO8">
        <v>9.8710000000000004</v>
      </c>
      <c r="FP8">
        <v>-19.82</v>
      </c>
      <c r="FQ8">
        <v>-6.4640000000000004</v>
      </c>
      <c r="FR8">
        <v>0.35299999999999998</v>
      </c>
      <c r="FS8">
        <v>6.8109999999999999</v>
      </c>
      <c r="FT8">
        <v>19.695</v>
      </c>
      <c r="FU8">
        <v>1.0009999999999999</v>
      </c>
      <c r="FV8">
        <v>3000</v>
      </c>
      <c r="GA8" t="s">
        <v>28</v>
      </c>
      <c r="GB8">
        <v>7.0789999999999997</v>
      </c>
      <c r="GC8">
        <v>0.251</v>
      </c>
      <c r="GD8">
        <v>6.4649999999999999</v>
      </c>
      <c r="GE8">
        <v>6.9390000000000001</v>
      </c>
      <c r="GF8">
        <v>7.1470000000000002</v>
      </c>
      <c r="GG8">
        <v>7.274</v>
      </c>
      <c r="GH8">
        <v>7.37</v>
      </c>
      <c r="GI8">
        <v>1.0029999999999999</v>
      </c>
      <c r="GJ8">
        <v>980</v>
      </c>
      <c r="GO8" t="s">
        <v>28</v>
      </c>
      <c r="GP8">
        <v>6.7679999999999998</v>
      </c>
      <c r="GQ8">
        <v>0.47</v>
      </c>
      <c r="GR8">
        <v>5.6050000000000004</v>
      </c>
      <c r="GS8">
        <v>6.4829999999999997</v>
      </c>
      <c r="GT8">
        <v>6.867</v>
      </c>
      <c r="GU8">
        <v>7.1459999999999999</v>
      </c>
      <c r="GV8">
        <v>7.3579999999999997</v>
      </c>
      <c r="GW8">
        <v>1.0029999999999999</v>
      </c>
      <c r="GX8">
        <v>820</v>
      </c>
      <c r="HC8" t="s">
        <v>28</v>
      </c>
      <c r="HD8">
        <v>6.7640000000000002</v>
      </c>
      <c r="HE8">
        <v>0.47299999999999998</v>
      </c>
      <c r="HF8">
        <v>5.6539999999999999</v>
      </c>
      <c r="HG8">
        <v>6.4939999999999998</v>
      </c>
      <c r="HH8">
        <v>6.8620000000000001</v>
      </c>
      <c r="HI8">
        <v>7.1429999999999998</v>
      </c>
      <c r="HJ8">
        <v>7.3579999999999997</v>
      </c>
      <c r="HK8">
        <v>1.0009999999999999</v>
      </c>
      <c r="HL8">
        <v>3000</v>
      </c>
      <c r="HP8" s="7"/>
      <c r="HQ8" s="7" t="s">
        <v>28</v>
      </c>
      <c r="HR8" s="7">
        <v>6.6639999999999997</v>
      </c>
      <c r="HS8" s="7">
        <v>0.50600000000000001</v>
      </c>
      <c r="HT8" s="7">
        <v>5.5250000000000004</v>
      </c>
      <c r="HU8" s="7">
        <v>6.34</v>
      </c>
      <c r="HV8" s="7">
        <v>6.7480000000000002</v>
      </c>
      <c r="HW8" s="7">
        <v>7.0679999999999996</v>
      </c>
      <c r="HX8" s="7">
        <v>7.3460000000000001</v>
      </c>
      <c r="HY8" s="7">
        <v>1.0009999999999999</v>
      </c>
      <c r="HZ8" s="7">
        <v>3000</v>
      </c>
      <c r="IA8" s="7"/>
      <c r="IE8" t="s">
        <v>28</v>
      </c>
      <c r="IF8">
        <v>7.0549999999999997</v>
      </c>
      <c r="IG8">
        <v>0.26</v>
      </c>
      <c r="IH8">
        <v>6.41</v>
      </c>
      <c r="II8">
        <v>6.9139999999999997</v>
      </c>
      <c r="IJ8">
        <v>7.1120000000000001</v>
      </c>
      <c r="IK8">
        <v>7.2649999999999997</v>
      </c>
      <c r="IL8">
        <v>7.3680000000000003</v>
      </c>
      <c r="IM8">
        <v>1.0029999999999999</v>
      </c>
      <c r="IN8">
        <v>690</v>
      </c>
      <c r="IS8" t="s">
        <v>28</v>
      </c>
      <c r="IT8">
        <v>7.0460000000000003</v>
      </c>
      <c r="IU8">
        <v>0.26500000000000001</v>
      </c>
      <c r="IV8">
        <v>6.4169999999999998</v>
      </c>
      <c r="IW8">
        <v>6.8879999999999999</v>
      </c>
      <c r="IX8">
        <v>7.109</v>
      </c>
      <c r="IY8">
        <v>7.26</v>
      </c>
      <c r="IZ8">
        <v>7.3650000000000002</v>
      </c>
      <c r="JA8">
        <v>1.0009999999999999</v>
      </c>
      <c r="JB8">
        <v>2800</v>
      </c>
      <c r="JF8" t="s">
        <v>28</v>
      </c>
      <c r="JG8">
        <v>6.7910000000000004</v>
      </c>
      <c r="JH8">
        <v>0.43</v>
      </c>
      <c r="JI8">
        <v>5.8010000000000002</v>
      </c>
      <c r="JJ8">
        <v>6.5270000000000001</v>
      </c>
      <c r="JK8">
        <v>6.8680000000000003</v>
      </c>
      <c r="JL8">
        <v>7.1349999999999998</v>
      </c>
      <c r="JM8">
        <v>7.3550000000000004</v>
      </c>
      <c r="JN8">
        <v>1.0009999999999999</v>
      </c>
      <c r="JO8">
        <v>3000</v>
      </c>
      <c r="JT8" t="s">
        <v>28</v>
      </c>
      <c r="JU8">
        <v>6.7460000000000004</v>
      </c>
      <c r="JV8">
        <v>0.45900000000000002</v>
      </c>
      <c r="JW8">
        <v>5.6680000000000001</v>
      </c>
      <c r="JX8">
        <v>6.4480000000000004</v>
      </c>
      <c r="JY8">
        <v>6.8259999999999996</v>
      </c>
      <c r="JZ8">
        <v>7.12</v>
      </c>
      <c r="KA8">
        <v>7.3550000000000004</v>
      </c>
      <c r="KB8">
        <v>1.0009999999999999</v>
      </c>
      <c r="KC8">
        <v>3000</v>
      </c>
      <c r="KH8" t="s">
        <v>28</v>
      </c>
      <c r="KI8">
        <v>6.7450000000000001</v>
      </c>
      <c r="KJ8">
        <v>0.46300000000000002</v>
      </c>
      <c r="KK8">
        <v>5.681</v>
      </c>
      <c r="KL8">
        <v>6.4489999999999998</v>
      </c>
      <c r="KM8">
        <v>6.8310000000000004</v>
      </c>
      <c r="KN8">
        <v>7.1269999999999998</v>
      </c>
      <c r="KO8">
        <v>7.3529999999999998</v>
      </c>
      <c r="KP8">
        <v>1.0029999999999999</v>
      </c>
      <c r="KQ8">
        <v>880</v>
      </c>
      <c r="KR8">
        <f t="shared" si="0"/>
        <v>849.79912667738051</v>
      </c>
      <c r="KS8">
        <f t="shared" ref="KS8:KS29" si="1">SUM(KR8,KR31,KR54,KR77)</f>
        <v>1927.359976390178</v>
      </c>
      <c r="KV8" t="s">
        <v>28</v>
      </c>
      <c r="KW8">
        <v>6.83</v>
      </c>
      <c r="KX8">
        <v>0.49</v>
      </c>
      <c r="KY8">
        <v>5.9249999999999998</v>
      </c>
      <c r="KZ8">
        <v>6.4930000000000003</v>
      </c>
      <c r="LA8">
        <v>6.8040000000000003</v>
      </c>
      <c r="LB8">
        <v>7.1559999999999997</v>
      </c>
      <c r="LC8">
        <v>7.8230000000000004</v>
      </c>
      <c r="LD8">
        <v>1.004</v>
      </c>
      <c r="LE8">
        <v>590</v>
      </c>
      <c r="LJ8" t="s">
        <v>28</v>
      </c>
      <c r="LK8">
        <v>6.0910000000000002</v>
      </c>
      <c r="LL8">
        <v>0.31900000000000001</v>
      </c>
      <c r="LM8">
        <v>5.524</v>
      </c>
      <c r="LN8">
        <v>5.8710000000000004</v>
      </c>
      <c r="LO8">
        <v>6.0659999999999998</v>
      </c>
      <c r="LP8">
        <v>6.2880000000000003</v>
      </c>
      <c r="LQ8">
        <v>6.7549999999999999</v>
      </c>
      <c r="LR8">
        <v>1.004</v>
      </c>
      <c r="LS8">
        <v>670</v>
      </c>
      <c r="LX8" t="s">
        <v>28</v>
      </c>
      <c r="LY8">
        <v>1.3109999999999999</v>
      </c>
      <c r="LZ8">
        <v>1.88</v>
      </c>
      <c r="MA8">
        <v>-2.9820000000000002</v>
      </c>
      <c r="MB8">
        <v>0.17499999999999999</v>
      </c>
      <c r="MC8">
        <v>1.583</v>
      </c>
      <c r="MD8">
        <v>2.7189999999999999</v>
      </c>
      <c r="ME8">
        <v>4.194</v>
      </c>
      <c r="MF8">
        <v>1.74</v>
      </c>
      <c r="MG8">
        <v>6</v>
      </c>
      <c r="ML8" t="s">
        <v>28</v>
      </c>
      <c r="MM8">
        <v>7.1580000000000004</v>
      </c>
      <c r="MN8">
        <v>0.438</v>
      </c>
      <c r="MO8">
        <v>6.3129999999999997</v>
      </c>
      <c r="MP8">
        <v>6.8559999999999999</v>
      </c>
      <c r="MQ8">
        <v>7.157</v>
      </c>
      <c r="MR8">
        <v>7.4610000000000003</v>
      </c>
      <c r="MS8">
        <v>8.0109999999999992</v>
      </c>
      <c r="MT8">
        <v>1.002</v>
      </c>
      <c r="MU8">
        <v>2800</v>
      </c>
      <c r="MZ8" t="s">
        <v>28</v>
      </c>
      <c r="NA8">
        <v>7.2460000000000004</v>
      </c>
      <c r="NB8">
        <v>0.40600000000000003</v>
      </c>
      <c r="NC8">
        <v>6.4550000000000001</v>
      </c>
      <c r="ND8">
        <v>6.9740000000000002</v>
      </c>
      <c r="NE8">
        <v>7.2510000000000003</v>
      </c>
      <c r="NF8">
        <v>7.53</v>
      </c>
      <c r="NG8">
        <v>8.0239999999999991</v>
      </c>
      <c r="NH8">
        <v>1.0029999999999999</v>
      </c>
      <c r="NI8">
        <v>930</v>
      </c>
      <c r="NM8" t="s">
        <v>28</v>
      </c>
      <c r="NN8">
        <v>6.79</v>
      </c>
      <c r="NO8">
        <v>0.26</v>
      </c>
      <c r="NP8">
        <v>6.3520000000000003</v>
      </c>
      <c r="NQ8">
        <v>6.6050000000000004</v>
      </c>
      <c r="NR8">
        <v>6.7649999999999997</v>
      </c>
      <c r="NS8">
        <v>6.9489999999999998</v>
      </c>
      <c r="NT8">
        <v>7.3559999999999999</v>
      </c>
      <c r="NU8">
        <v>1.0009999999999999</v>
      </c>
      <c r="NV8">
        <v>15000</v>
      </c>
      <c r="NY8" t="s">
        <v>28</v>
      </c>
      <c r="NZ8">
        <v>6.6139999999999999</v>
      </c>
      <c r="OA8">
        <v>0.249</v>
      </c>
      <c r="OB8">
        <v>6.1970000000000001</v>
      </c>
      <c r="OC8">
        <v>6.4370000000000003</v>
      </c>
      <c r="OD8">
        <v>6.5880000000000001</v>
      </c>
      <c r="OE8">
        <v>6.766</v>
      </c>
      <c r="OF8">
        <v>7.1669999999999998</v>
      </c>
      <c r="OG8">
        <v>1.0009999999999999</v>
      </c>
      <c r="OH8">
        <v>5400</v>
      </c>
      <c r="OP8" t="s">
        <v>28</v>
      </c>
      <c r="OQ8">
        <v>7.0069999999999997</v>
      </c>
      <c r="OR8">
        <v>0.313</v>
      </c>
      <c r="OS8">
        <v>6.3529999999999998</v>
      </c>
      <c r="OT8">
        <v>6.7960000000000003</v>
      </c>
      <c r="OU8">
        <v>7.0330000000000004</v>
      </c>
      <c r="OV8">
        <v>7.2370000000000001</v>
      </c>
      <c r="OW8">
        <v>7.5590000000000002</v>
      </c>
      <c r="OX8">
        <v>1.0129999999999999</v>
      </c>
      <c r="OY8">
        <v>200</v>
      </c>
      <c r="PB8" t="s">
        <v>28</v>
      </c>
      <c r="PC8">
        <v>7.2140000000000004</v>
      </c>
      <c r="PD8">
        <v>0.23799999999999999</v>
      </c>
      <c r="PE8">
        <v>6.7039999999999997</v>
      </c>
      <c r="PF8">
        <v>7.0579999999999998</v>
      </c>
      <c r="PG8">
        <v>7.2309999999999999</v>
      </c>
      <c r="PH8">
        <v>7.3840000000000003</v>
      </c>
      <c r="PI8">
        <v>7.6379999999999999</v>
      </c>
      <c r="PJ8">
        <v>1.01</v>
      </c>
      <c r="PK8">
        <v>310</v>
      </c>
      <c r="PN8" t="s">
        <v>28</v>
      </c>
      <c r="PO8">
        <v>7.0919999999999996</v>
      </c>
      <c r="PP8">
        <v>0.23499999999999999</v>
      </c>
      <c r="PQ8">
        <v>6.6210000000000004</v>
      </c>
      <c r="PR8">
        <v>6.9390000000000001</v>
      </c>
      <c r="PS8">
        <v>7.0940000000000003</v>
      </c>
      <c r="PT8">
        <v>7.2510000000000003</v>
      </c>
      <c r="PU8">
        <v>7.5469999999999997</v>
      </c>
      <c r="PV8">
        <v>1.002</v>
      </c>
      <c r="PW8">
        <v>1000</v>
      </c>
      <c r="QA8" t="s">
        <v>28</v>
      </c>
      <c r="QB8">
        <v>6.4420000000000002</v>
      </c>
      <c r="QC8">
        <v>0.15</v>
      </c>
      <c r="QD8">
        <v>6.1449999999999996</v>
      </c>
      <c r="QE8">
        <v>6.3369999999999997</v>
      </c>
      <c r="QF8">
        <v>6.4589999999999996</v>
      </c>
      <c r="QG8">
        <v>6.5540000000000003</v>
      </c>
      <c r="QH8">
        <v>6.7</v>
      </c>
      <c r="QI8">
        <v>1.1020000000000001</v>
      </c>
      <c r="QJ8">
        <v>25</v>
      </c>
      <c r="QL8">
        <f t="shared" ref="QL8:QL71" si="2">PO8-QB8</f>
        <v>0.64999999999999947</v>
      </c>
    </row>
    <row r="9" spans="1:454">
      <c r="A9" t="s">
        <v>29</v>
      </c>
      <c r="B9">
        <v>6.9480000000000004</v>
      </c>
      <c r="C9">
        <v>1.0029999999999999</v>
      </c>
      <c r="D9">
        <v>4.984</v>
      </c>
      <c r="E9">
        <v>6.2679999999999998</v>
      </c>
      <c r="F9">
        <v>6.9930000000000003</v>
      </c>
      <c r="G9">
        <v>7.6360000000000001</v>
      </c>
      <c r="H9">
        <v>8.875</v>
      </c>
      <c r="I9">
        <v>1.008</v>
      </c>
      <c r="J9">
        <v>820</v>
      </c>
      <c r="O9" t="s">
        <v>29</v>
      </c>
      <c r="P9">
        <v>5.4039999999999999</v>
      </c>
      <c r="Q9">
        <v>1.403</v>
      </c>
      <c r="R9">
        <v>2.1800000000000002</v>
      </c>
      <c r="S9">
        <v>4.5679999999999996</v>
      </c>
      <c r="T9">
        <v>5.641</v>
      </c>
      <c r="U9">
        <v>6.5590000000000002</v>
      </c>
      <c r="V9">
        <v>7.2709999999999999</v>
      </c>
      <c r="W9">
        <v>1.0029999999999999</v>
      </c>
      <c r="X9">
        <v>1200</v>
      </c>
      <c r="AC9" t="s">
        <v>29</v>
      </c>
      <c r="AD9">
        <v>6.5620000000000003</v>
      </c>
      <c r="AE9">
        <v>0.58599999999999997</v>
      </c>
      <c r="AF9">
        <v>5.2119999999999997</v>
      </c>
      <c r="AG9">
        <v>6.1870000000000003</v>
      </c>
      <c r="AH9">
        <v>6.6520000000000001</v>
      </c>
      <c r="AI9">
        <v>7.0419999999999998</v>
      </c>
      <c r="AJ9">
        <v>7.3540000000000001</v>
      </c>
      <c r="AK9">
        <v>1.0109999999999999</v>
      </c>
      <c r="AL9">
        <v>300</v>
      </c>
      <c r="AQ9" t="s">
        <v>29</v>
      </c>
      <c r="AR9">
        <v>6.524</v>
      </c>
      <c r="AS9">
        <v>0.59099999999999997</v>
      </c>
      <c r="AT9">
        <v>5.1589999999999998</v>
      </c>
      <c r="AU9">
        <v>6.1349999999999998</v>
      </c>
      <c r="AV9">
        <v>6.6139999999999999</v>
      </c>
      <c r="AW9">
        <v>7.0039999999999996</v>
      </c>
      <c r="AX9">
        <v>7.3449999999999998</v>
      </c>
      <c r="AY9">
        <v>1.0029999999999999</v>
      </c>
      <c r="AZ9">
        <v>840</v>
      </c>
      <c r="BE9" t="s">
        <v>29</v>
      </c>
      <c r="BF9">
        <v>6.57</v>
      </c>
      <c r="BG9">
        <v>0.505</v>
      </c>
      <c r="BH9">
        <v>5.4710000000000001</v>
      </c>
      <c r="BI9">
        <v>6.2290000000000001</v>
      </c>
      <c r="BJ9">
        <v>6.6180000000000003</v>
      </c>
      <c r="BK9">
        <v>6.968</v>
      </c>
      <c r="BL9">
        <v>7.3380000000000001</v>
      </c>
      <c r="BM9">
        <v>1.006</v>
      </c>
      <c r="BN9">
        <v>400</v>
      </c>
      <c r="BS9" t="s">
        <v>29</v>
      </c>
      <c r="BT9">
        <v>6.6050000000000004</v>
      </c>
      <c r="BU9">
        <v>0.55000000000000004</v>
      </c>
      <c r="BV9">
        <v>5.3330000000000002</v>
      </c>
      <c r="BW9">
        <v>6.2590000000000003</v>
      </c>
      <c r="BX9">
        <v>6.6950000000000003</v>
      </c>
      <c r="BY9">
        <v>7.0439999999999996</v>
      </c>
      <c r="BZ9">
        <v>7.3490000000000002</v>
      </c>
      <c r="CA9">
        <v>1.004</v>
      </c>
      <c r="CB9">
        <v>660</v>
      </c>
      <c r="CG9" t="s">
        <v>29</v>
      </c>
      <c r="CH9">
        <v>6.5490000000000004</v>
      </c>
      <c r="CI9">
        <v>0.54500000000000004</v>
      </c>
      <c r="CJ9">
        <v>5.3440000000000003</v>
      </c>
      <c r="CK9">
        <v>6.1970000000000001</v>
      </c>
      <c r="CL9">
        <v>6.6159999999999997</v>
      </c>
      <c r="CM9">
        <v>6.99</v>
      </c>
      <c r="CN9">
        <v>7.3280000000000003</v>
      </c>
      <c r="CO9">
        <v>1.0009999999999999</v>
      </c>
      <c r="CP9">
        <v>3000</v>
      </c>
      <c r="CU9" t="s">
        <v>29</v>
      </c>
      <c r="CV9">
        <v>6.54</v>
      </c>
      <c r="CW9">
        <v>0.58099999999999996</v>
      </c>
      <c r="CX9">
        <v>5.2569999999999997</v>
      </c>
      <c r="CY9">
        <v>6.1559999999999997</v>
      </c>
      <c r="CZ9">
        <v>6.6189999999999998</v>
      </c>
      <c r="DA9">
        <v>7.024</v>
      </c>
      <c r="DB9">
        <v>7.3449999999999998</v>
      </c>
      <c r="DC9">
        <v>1.0009999999999999</v>
      </c>
      <c r="DD9">
        <v>2600</v>
      </c>
      <c r="DI9" t="s">
        <v>29</v>
      </c>
      <c r="DJ9">
        <v>6.5910000000000002</v>
      </c>
      <c r="DK9">
        <v>0.57499999999999996</v>
      </c>
      <c r="DL9">
        <v>5.2949999999999999</v>
      </c>
      <c r="DM9">
        <v>6.22</v>
      </c>
      <c r="DN9">
        <v>6.7039999999999997</v>
      </c>
      <c r="DO9">
        <v>7.0510000000000002</v>
      </c>
      <c r="DP9">
        <v>7.3540000000000001</v>
      </c>
      <c r="DQ9">
        <v>1.0009999999999999</v>
      </c>
      <c r="DR9">
        <v>3000</v>
      </c>
      <c r="DY9" t="s">
        <v>29</v>
      </c>
      <c r="DZ9">
        <v>6.5359999999999996</v>
      </c>
      <c r="EA9">
        <v>0.57799999999999996</v>
      </c>
      <c r="EB9">
        <v>5.2469999999999999</v>
      </c>
      <c r="EC9">
        <v>6.1630000000000003</v>
      </c>
      <c r="ED9">
        <v>6.6159999999999997</v>
      </c>
      <c r="EE9">
        <v>7.0069999999999997</v>
      </c>
      <c r="EF9">
        <v>7.3449999999999998</v>
      </c>
      <c r="EG9">
        <v>1.0009999999999999</v>
      </c>
      <c r="EH9">
        <v>3000</v>
      </c>
      <c r="EK9" t="s">
        <v>29</v>
      </c>
      <c r="EL9">
        <v>6.3090000000000002</v>
      </c>
      <c r="EM9">
        <v>0.61099999999999999</v>
      </c>
      <c r="EN9">
        <v>5.0620000000000003</v>
      </c>
      <c r="EO9">
        <v>5.8940000000000001</v>
      </c>
      <c r="EP9">
        <v>6.335</v>
      </c>
      <c r="EQ9">
        <v>6.7789999999999999</v>
      </c>
      <c r="ER9">
        <v>7.3109999999999999</v>
      </c>
      <c r="ES9">
        <v>1</v>
      </c>
      <c r="ET9">
        <v>1500</v>
      </c>
      <c r="EY9" t="s">
        <v>29</v>
      </c>
      <c r="EZ9">
        <v>6.149</v>
      </c>
      <c r="FA9">
        <v>0.68899999999999995</v>
      </c>
      <c r="FB9">
        <v>4.71</v>
      </c>
      <c r="FC9">
        <v>5.6749999999999998</v>
      </c>
      <c r="FD9">
        <v>6.1719999999999997</v>
      </c>
      <c r="FE9">
        <v>6.6790000000000003</v>
      </c>
      <c r="FF9">
        <v>7.2859999999999996</v>
      </c>
      <c r="FG9">
        <v>1.0009999999999999</v>
      </c>
      <c r="FH9">
        <v>3000</v>
      </c>
      <c r="FM9" t="s">
        <v>249</v>
      </c>
      <c r="FN9">
        <v>1E-3</v>
      </c>
      <c r="FO9">
        <v>10.101000000000001</v>
      </c>
      <c r="FP9">
        <v>-19.748999999999999</v>
      </c>
      <c r="FQ9">
        <v>-6.8940000000000001</v>
      </c>
      <c r="FR9">
        <v>0.187</v>
      </c>
      <c r="FS9">
        <v>6.6449999999999996</v>
      </c>
      <c r="FT9">
        <v>19.948</v>
      </c>
      <c r="FU9">
        <v>1.002</v>
      </c>
      <c r="FV9">
        <v>1400</v>
      </c>
      <c r="GA9" t="s">
        <v>29</v>
      </c>
      <c r="GB9">
        <v>6.9939999999999998</v>
      </c>
      <c r="GC9">
        <v>0.29799999999999999</v>
      </c>
      <c r="GD9">
        <v>6.2919999999999998</v>
      </c>
      <c r="GE9">
        <v>6.8220000000000001</v>
      </c>
      <c r="GF9">
        <v>7.056</v>
      </c>
      <c r="GG9">
        <v>7.226</v>
      </c>
      <c r="GH9">
        <v>7.3659999999999997</v>
      </c>
      <c r="GI9">
        <v>1.002</v>
      </c>
      <c r="GJ9">
        <v>1700</v>
      </c>
      <c r="GO9" t="s">
        <v>29</v>
      </c>
      <c r="GP9">
        <v>6.17</v>
      </c>
      <c r="GQ9">
        <v>0.67600000000000005</v>
      </c>
      <c r="GR9">
        <v>4.7190000000000003</v>
      </c>
      <c r="GS9">
        <v>5.6909999999999998</v>
      </c>
      <c r="GT9">
        <v>6.1929999999999996</v>
      </c>
      <c r="GU9">
        <v>6.7060000000000004</v>
      </c>
      <c r="GV9">
        <v>7.2869999999999999</v>
      </c>
      <c r="GW9">
        <v>1.002</v>
      </c>
      <c r="GX9">
        <v>1100</v>
      </c>
      <c r="HC9" t="s">
        <v>29</v>
      </c>
      <c r="HD9">
        <v>6.1669999999999998</v>
      </c>
      <c r="HE9">
        <v>0.67300000000000004</v>
      </c>
      <c r="HF9">
        <v>4.75</v>
      </c>
      <c r="HG9">
        <v>5.7190000000000003</v>
      </c>
      <c r="HH9">
        <v>6.1970000000000001</v>
      </c>
      <c r="HI9">
        <v>6.694</v>
      </c>
      <c r="HJ9">
        <v>7.2839999999999998</v>
      </c>
      <c r="HK9">
        <v>1.0009999999999999</v>
      </c>
      <c r="HL9">
        <v>3000</v>
      </c>
      <c r="HP9" s="7"/>
      <c r="HQ9" s="7" t="s">
        <v>29</v>
      </c>
      <c r="HR9" s="7">
        <v>5.734</v>
      </c>
      <c r="HS9" s="7">
        <v>0.71599999999999997</v>
      </c>
      <c r="HT9" s="7">
        <v>4.33</v>
      </c>
      <c r="HU9" s="7">
        <v>5.2060000000000004</v>
      </c>
      <c r="HV9" s="7">
        <v>5.718</v>
      </c>
      <c r="HW9" s="7">
        <v>6.25</v>
      </c>
      <c r="HX9" s="7">
        <v>7.0890000000000004</v>
      </c>
      <c r="HY9" s="7">
        <v>1.0009999999999999</v>
      </c>
      <c r="HZ9" s="7">
        <v>2200</v>
      </c>
      <c r="IA9" s="7"/>
      <c r="IE9" t="s">
        <v>29</v>
      </c>
      <c r="IF9">
        <v>6.6879999999999997</v>
      </c>
      <c r="IG9">
        <v>0.39300000000000002</v>
      </c>
      <c r="IH9">
        <v>5.8710000000000004</v>
      </c>
      <c r="II9">
        <v>6.423</v>
      </c>
      <c r="IJ9">
        <v>6.7089999999999996</v>
      </c>
      <c r="IK9">
        <v>6.9960000000000004</v>
      </c>
      <c r="IL9">
        <v>7.3330000000000002</v>
      </c>
      <c r="IM9">
        <v>1.0009999999999999</v>
      </c>
      <c r="IN9">
        <v>3000</v>
      </c>
      <c r="IS9" t="s">
        <v>29</v>
      </c>
      <c r="IT9">
        <v>6.7050000000000001</v>
      </c>
      <c r="IU9">
        <v>0.41</v>
      </c>
      <c r="IV9">
        <v>5.8479999999999999</v>
      </c>
      <c r="IW9">
        <v>6.4139999999999997</v>
      </c>
      <c r="IX9">
        <v>6.7460000000000004</v>
      </c>
      <c r="IY9">
        <v>7.032</v>
      </c>
      <c r="IZ9">
        <v>7.3390000000000004</v>
      </c>
      <c r="JA9">
        <v>1.0009999999999999</v>
      </c>
      <c r="JB9">
        <v>3000</v>
      </c>
      <c r="JF9" t="s">
        <v>29</v>
      </c>
      <c r="JG9">
        <v>6.056</v>
      </c>
      <c r="JH9">
        <v>0.63700000000000001</v>
      </c>
      <c r="JI9">
        <v>4.8129999999999997</v>
      </c>
      <c r="JJ9">
        <v>5.6040000000000001</v>
      </c>
      <c r="JK9">
        <v>6.0570000000000004</v>
      </c>
      <c r="JL9">
        <v>6.524</v>
      </c>
      <c r="JM9">
        <v>7.2469999999999999</v>
      </c>
      <c r="JN9">
        <v>1.002</v>
      </c>
      <c r="JO9">
        <v>1900</v>
      </c>
      <c r="JT9" t="s">
        <v>29</v>
      </c>
      <c r="JU9">
        <v>6.0789999999999997</v>
      </c>
      <c r="JV9">
        <v>0.63600000000000001</v>
      </c>
      <c r="JW9">
        <v>4.8419999999999996</v>
      </c>
      <c r="JX9">
        <v>5.633</v>
      </c>
      <c r="JY9">
        <v>6.0869999999999997</v>
      </c>
      <c r="JZ9">
        <v>6.5389999999999997</v>
      </c>
      <c r="KA9">
        <v>7.234</v>
      </c>
      <c r="KB9">
        <v>1.0009999999999999</v>
      </c>
      <c r="KC9">
        <v>3000</v>
      </c>
      <c r="KH9" t="s">
        <v>29</v>
      </c>
      <c r="KI9">
        <v>6.03</v>
      </c>
      <c r="KJ9">
        <v>0.63500000000000001</v>
      </c>
      <c r="KK9">
        <v>4.7930000000000001</v>
      </c>
      <c r="KL9">
        <v>5.5759999999999996</v>
      </c>
      <c r="KM9">
        <v>6.0309999999999997</v>
      </c>
      <c r="KN9">
        <v>6.4859999999999998</v>
      </c>
      <c r="KO9">
        <v>7.2190000000000003</v>
      </c>
      <c r="KP9">
        <v>1.0009999999999999</v>
      </c>
      <c r="KQ9">
        <v>2200</v>
      </c>
      <c r="KR9">
        <f t="shared" si="0"/>
        <v>415.71502938198608</v>
      </c>
      <c r="KS9">
        <f t="shared" si="1"/>
        <v>2167.8580748970962</v>
      </c>
      <c r="KV9" t="s">
        <v>29</v>
      </c>
      <c r="KW9">
        <v>6.3179999999999996</v>
      </c>
      <c r="KX9">
        <v>0.58799999999999997</v>
      </c>
      <c r="KY9">
        <v>5.226</v>
      </c>
      <c r="KZ9">
        <v>5.9219999999999997</v>
      </c>
      <c r="LA9">
        <v>6.3010000000000002</v>
      </c>
      <c r="LB9">
        <v>6.6980000000000004</v>
      </c>
      <c r="LC9">
        <v>7.5110000000000001</v>
      </c>
      <c r="LD9">
        <v>1.004</v>
      </c>
      <c r="LE9">
        <v>590</v>
      </c>
      <c r="LJ9" t="s">
        <v>29</v>
      </c>
      <c r="LK9">
        <v>5.8140000000000001</v>
      </c>
      <c r="LL9">
        <v>0.39400000000000002</v>
      </c>
      <c r="LM9">
        <v>5.0949999999999998</v>
      </c>
      <c r="LN9">
        <v>5.5389999999999997</v>
      </c>
      <c r="LO9">
        <v>5.7960000000000003</v>
      </c>
      <c r="LP9">
        <v>6.0739999999999998</v>
      </c>
      <c r="LQ9">
        <v>6.6269999999999998</v>
      </c>
      <c r="LR9">
        <v>1.002</v>
      </c>
      <c r="LS9">
        <v>1600</v>
      </c>
      <c r="LX9" t="s">
        <v>29</v>
      </c>
      <c r="LY9">
        <v>3.8740000000000001</v>
      </c>
      <c r="LZ9">
        <v>2.5259999999999998</v>
      </c>
      <c r="MA9">
        <v>-0.73399999999999999</v>
      </c>
      <c r="MB9">
        <v>2.0739999999999998</v>
      </c>
      <c r="MC9">
        <v>3.802</v>
      </c>
      <c r="MD9">
        <v>5.6180000000000003</v>
      </c>
      <c r="ME9">
        <v>8.9390000000000001</v>
      </c>
      <c r="MF9">
        <v>2.0630000000000002</v>
      </c>
      <c r="MG9">
        <v>5</v>
      </c>
      <c r="ML9" t="s">
        <v>29</v>
      </c>
      <c r="MM9">
        <v>6.4290000000000003</v>
      </c>
      <c r="MN9">
        <v>0.51500000000000001</v>
      </c>
      <c r="MO9">
        <v>5.4560000000000004</v>
      </c>
      <c r="MP9">
        <v>6.0739999999999998</v>
      </c>
      <c r="MQ9">
        <v>6.4169999999999998</v>
      </c>
      <c r="MR9">
        <v>6.7709999999999999</v>
      </c>
      <c r="MS9">
        <v>7.47</v>
      </c>
      <c r="MT9">
        <v>1.0009999999999999</v>
      </c>
      <c r="MU9">
        <v>140000</v>
      </c>
      <c r="MZ9" t="s">
        <v>29</v>
      </c>
      <c r="NA9">
        <v>6.45</v>
      </c>
      <c r="NB9">
        <v>0.5</v>
      </c>
      <c r="NC9">
        <v>5.5140000000000002</v>
      </c>
      <c r="ND9">
        <v>6.1079999999999997</v>
      </c>
      <c r="NE9">
        <v>6.4349999999999996</v>
      </c>
      <c r="NF9">
        <v>6.7830000000000004</v>
      </c>
      <c r="NG9">
        <v>7.444</v>
      </c>
      <c r="NH9">
        <v>1.002</v>
      </c>
      <c r="NI9">
        <v>2800</v>
      </c>
      <c r="NM9" t="s">
        <v>29</v>
      </c>
      <c r="NN9">
        <v>7.07</v>
      </c>
      <c r="NO9">
        <v>0.441</v>
      </c>
      <c r="NP9">
        <v>6.2629999999999999</v>
      </c>
      <c r="NQ9">
        <v>6.7560000000000002</v>
      </c>
      <c r="NR9">
        <v>7.0519999999999996</v>
      </c>
      <c r="NS9">
        <v>7.3680000000000003</v>
      </c>
      <c r="NT9">
        <v>7.9710000000000001</v>
      </c>
      <c r="NU9">
        <v>1.0009999999999999</v>
      </c>
      <c r="NV9">
        <v>7000</v>
      </c>
      <c r="NY9" t="s">
        <v>29</v>
      </c>
      <c r="NZ9">
        <v>6.9660000000000002</v>
      </c>
      <c r="OA9">
        <v>0.44400000000000001</v>
      </c>
      <c r="OB9">
        <v>6.1989999999999998</v>
      </c>
      <c r="OC9">
        <v>6.65</v>
      </c>
      <c r="OD9">
        <v>6.9249999999999998</v>
      </c>
      <c r="OE9">
        <v>7.2480000000000002</v>
      </c>
      <c r="OF9">
        <v>7.9320000000000004</v>
      </c>
      <c r="OG9">
        <v>1.0009999999999999</v>
      </c>
      <c r="OH9">
        <v>12000</v>
      </c>
      <c r="OP9" t="s">
        <v>29</v>
      </c>
      <c r="OQ9">
        <v>7</v>
      </c>
      <c r="OR9">
        <v>0.32</v>
      </c>
      <c r="OS9">
        <v>6.375</v>
      </c>
      <c r="OT9">
        <v>6.7910000000000004</v>
      </c>
      <c r="OU9">
        <v>7</v>
      </c>
      <c r="OV9">
        <v>7.2050000000000001</v>
      </c>
      <c r="OW9">
        <v>7.641</v>
      </c>
      <c r="OX9">
        <v>1.0109999999999999</v>
      </c>
      <c r="OY9">
        <v>220</v>
      </c>
      <c r="PB9" t="s">
        <v>29</v>
      </c>
      <c r="PC9">
        <v>7.0650000000000004</v>
      </c>
      <c r="PD9">
        <v>0.28599999999999998</v>
      </c>
      <c r="PE9">
        <v>6.5119999999999996</v>
      </c>
      <c r="PF9">
        <v>6.8769999999999998</v>
      </c>
      <c r="PG9">
        <v>7.0609999999999999</v>
      </c>
      <c r="PH9">
        <v>7.2460000000000004</v>
      </c>
      <c r="PI9">
        <v>7.6420000000000003</v>
      </c>
      <c r="PJ9">
        <v>1.008</v>
      </c>
      <c r="PK9">
        <v>630</v>
      </c>
      <c r="PN9" t="s">
        <v>29</v>
      </c>
      <c r="PO9">
        <v>7.266</v>
      </c>
      <c r="PP9">
        <v>0.29099999999999998</v>
      </c>
      <c r="PQ9">
        <v>6.6749999999999998</v>
      </c>
      <c r="PR9">
        <v>7.0750000000000002</v>
      </c>
      <c r="PS9">
        <v>7.2679999999999998</v>
      </c>
      <c r="PT9">
        <v>7.4630000000000001</v>
      </c>
      <c r="PU9">
        <v>7.8140000000000001</v>
      </c>
      <c r="PV9">
        <v>1.0009999999999999</v>
      </c>
      <c r="PW9">
        <v>3000</v>
      </c>
      <c r="QA9" t="s">
        <v>29</v>
      </c>
      <c r="QB9">
        <v>6.0229999999999997</v>
      </c>
      <c r="QC9">
        <v>0.17799999999999999</v>
      </c>
      <c r="QD9">
        <v>5.6180000000000003</v>
      </c>
      <c r="QE9">
        <v>5.9080000000000004</v>
      </c>
      <c r="QF9">
        <v>6.0330000000000004</v>
      </c>
      <c r="QG9">
        <v>6.1529999999999996</v>
      </c>
      <c r="QH9">
        <v>6.3259999999999996</v>
      </c>
      <c r="QI9">
        <v>1.008</v>
      </c>
      <c r="QJ9">
        <v>560</v>
      </c>
      <c r="QL9">
        <f t="shared" si="2"/>
        <v>1.2430000000000003</v>
      </c>
    </row>
    <row r="10" spans="1:454">
      <c r="A10" t="s">
        <v>30</v>
      </c>
      <c r="B10">
        <v>6.58</v>
      </c>
      <c r="C10">
        <v>0.99</v>
      </c>
      <c r="D10">
        <v>4.508</v>
      </c>
      <c r="E10">
        <v>5.9329999999999998</v>
      </c>
      <c r="F10">
        <v>6.6230000000000002</v>
      </c>
      <c r="G10">
        <v>7.2389999999999999</v>
      </c>
      <c r="H10">
        <v>8.3550000000000004</v>
      </c>
      <c r="I10">
        <v>1.0189999999999999</v>
      </c>
      <c r="J10">
        <v>3000</v>
      </c>
      <c r="O10" t="s">
        <v>30</v>
      </c>
      <c r="P10">
        <v>2.9929999999999999</v>
      </c>
      <c r="Q10">
        <v>1.637</v>
      </c>
      <c r="R10">
        <v>0.27700000000000002</v>
      </c>
      <c r="S10">
        <v>1.7170000000000001</v>
      </c>
      <c r="T10">
        <v>2.9089999999999998</v>
      </c>
      <c r="U10">
        <v>4.1310000000000002</v>
      </c>
      <c r="V10">
        <v>6.3789999999999996</v>
      </c>
      <c r="W10">
        <v>1.002</v>
      </c>
      <c r="X10">
        <v>1600</v>
      </c>
      <c r="AC10" t="s">
        <v>30</v>
      </c>
      <c r="AD10">
        <v>5.8120000000000003</v>
      </c>
      <c r="AE10">
        <v>0.76900000000000002</v>
      </c>
      <c r="AF10">
        <v>4.3</v>
      </c>
      <c r="AG10">
        <v>5.2590000000000003</v>
      </c>
      <c r="AH10">
        <v>5.8440000000000003</v>
      </c>
      <c r="AI10">
        <v>6.36</v>
      </c>
      <c r="AJ10">
        <v>7.2030000000000003</v>
      </c>
      <c r="AK10">
        <v>1.0049999999999999</v>
      </c>
      <c r="AL10">
        <v>500</v>
      </c>
      <c r="AQ10" t="s">
        <v>30</v>
      </c>
      <c r="AR10">
        <v>5.87</v>
      </c>
      <c r="AS10">
        <v>0.72499999999999998</v>
      </c>
      <c r="AT10">
        <v>4.4610000000000003</v>
      </c>
      <c r="AU10">
        <v>5.3479999999999999</v>
      </c>
      <c r="AV10">
        <v>5.9020000000000001</v>
      </c>
      <c r="AW10">
        <v>6.3970000000000002</v>
      </c>
      <c r="AX10">
        <v>7.1920000000000002</v>
      </c>
      <c r="AY10">
        <v>1.0009999999999999</v>
      </c>
      <c r="AZ10">
        <v>3000</v>
      </c>
      <c r="BE10" t="s">
        <v>30</v>
      </c>
      <c r="BF10">
        <v>6.1769999999999996</v>
      </c>
      <c r="BG10">
        <v>0.60199999999999998</v>
      </c>
      <c r="BH10">
        <v>5.016</v>
      </c>
      <c r="BI10">
        <v>5.7380000000000004</v>
      </c>
      <c r="BJ10">
        <v>6.1950000000000003</v>
      </c>
      <c r="BK10">
        <v>6.6369999999999996</v>
      </c>
      <c r="BL10">
        <v>7.258</v>
      </c>
      <c r="BM10">
        <v>1.006</v>
      </c>
      <c r="BN10">
        <v>390</v>
      </c>
      <c r="BS10" t="s">
        <v>30</v>
      </c>
      <c r="BT10">
        <v>5.6319999999999997</v>
      </c>
      <c r="BU10">
        <v>0.751</v>
      </c>
      <c r="BV10">
        <v>4.226</v>
      </c>
      <c r="BW10">
        <v>5.0999999999999996</v>
      </c>
      <c r="BX10">
        <v>5.6159999999999997</v>
      </c>
      <c r="BY10">
        <v>6.1840000000000002</v>
      </c>
      <c r="BZ10">
        <v>7.05</v>
      </c>
      <c r="CA10">
        <v>1.0009999999999999</v>
      </c>
      <c r="CB10">
        <v>3000</v>
      </c>
      <c r="CG10" t="s">
        <v>30</v>
      </c>
      <c r="CH10">
        <v>6.0289999999999999</v>
      </c>
      <c r="CI10">
        <v>0.64400000000000002</v>
      </c>
      <c r="CJ10">
        <v>4.7409999999999997</v>
      </c>
      <c r="CK10">
        <v>5.5869999999999997</v>
      </c>
      <c r="CL10">
        <v>6.0430000000000001</v>
      </c>
      <c r="CM10">
        <v>6.4939999999999998</v>
      </c>
      <c r="CN10">
        <v>7.1959999999999997</v>
      </c>
      <c r="CO10">
        <v>1.014</v>
      </c>
      <c r="CP10">
        <v>160</v>
      </c>
      <c r="CU10" t="s">
        <v>30</v>
      </c>
      <c r="CV10">
        <v>6.1859999999999999</v>
      </c>
      <c r="CW10">
        <v>0.73699999999999999</v>
      </c>
      <c r="CX10">
        <v>4.6230000000000002</v>
      </c>
      <c r="CY10">
        <v>5.6749999999999998</v>
      </c>
      <c r="CZ10">
        <v>6.2629999999999999</v>
      </c>
      <c r="DA10">
        <v>6.7869999999999999</v>
      </c>
      <c r="DB10">
        <v>7.2990000000000004</v>
      </c>
      <c r="DC10">
        <v>1.012</v>
      </c>
      <c r="DD10">
        <v>180</v>
      </c>
      <c r="DI10" t="s">
        <v>30</v>
      </c>
      <c r="DJ10">
        <v>5.8520000000000003</v>
      </c>
      <c r="DK10">
        <v>0.76400000000000001</v>
      </c>
      <c r="DL10">
        <v>4.3220000000000001</v>
      </c>
      <c r="DM10">
        <v>5.3159999999999998</v>
      </c>
      <c r="DN10">
        <v>5.875</v>
      </c>
      <c r="DO10">
        <v>6.415</v>
      </c>
      <c r="DP10">
        <v>7.2160000000000002</v>
      </c>
      <c r="DQ10">
        <v>1.002</v>
      </c>
      <c r="DR10">
        <v>1300</v>
      </c>
      <c r="DY10" t="s">
        <v>30</v>
      </c>
      <c r="DZ10">
        <v>5.9130000000000003</v>
      </c>
      <c r="EA10">
        <v>0.73699999999999999</v>
      </c>
      <c r="EB10">
        <v>4.4219999999999997</v>
      </c>
      <c r="EC10">
        <v>5.42</v>
      </c>
      <c r="ED10">
        <v>5.9470000000000001</v>
      </c>
      <c r="EE10">
        <v>6.4560000000000004</v>
      </c>
      <c r="EF10">
        <v>7.2009999999999996</v>
      </c>
      <c r="EG10">
        <v>1.004</v>
      </c>
      <c r="EH10">
        <v>640</v>
      </c>
      <c r="EK10" t="s">
        <v>30</v>
      </c>
      <c r="EL10">
        <v>5.0279999999999996</v>
      </c>
      <c r="EM10">
        <v>0.60099999999999998</v>
      </c>
      <c r="EN10">
        <v>3.8479999999999999</v>
      </c>
      <c r="EO10">
        <v>4.6100000000000003</v>
      </c>
      <c r="EP10">
        <v>5.0330000000000004</v>
      </c>
      <c r="EQ10">
        <v>5.4180000000000001</v>
      </c>
      <c r="ER10">
        <v>6.2469999999999999</v>
      </c>
      <c r="ES10">
        <v>1.0029999999999999</v>
      </c>
      <c r="ET10">
        <v>810</v>
      </c>
      <c r="EY10" t="s">
        <v>30</v>
      </c>
      <c r="EZ10">
        <v>5.9089999999999998</v>
      </c>
      <c r="FA10">
        <v>0.746</v>
      </c>
      <c r="FB10">
        <v>4.4139999999999997</v>
      </c>
      <c r="FC10">
        <v>5.3979999999999997</v>
      </c>
      <c r="FD10">
        <v>5.9210000000000003</v>
      </c>
      <c r="FE10">
        <v>6.4619999999999997</v>
      </c>
      <c r="FF10">
        <v>7.2190000000000003</v>
      </c>
      <c r="FG10">
        <v>1.0009999999999999</v>
      </c>
      <c r="FH10">
        <v>3000</v>
      </c>
      <c r="FM10" t="s">
        <v>250</v>
      </c>
      <c r="FN10">
        <v>-0.16200000000000001</v>
      </c>
      <c r="FO10">
        <v>9.8450000000000006</v>
      </c>
      <c r="FP10">
        <v>-19.661999999999999</v>
      </c>
      <c r="FQ10">
        <v>-6.8040000000000003</v>
      </c>
      <c r="FR10">
        <v>0.113</v>
      </c>
      <c r="FS10">
        <v>6.4009999999999998</v>
      </c>
      <c r="FT10">
        <v>19.451000000000001</v>
      </c>
      <c r="FU10">
        <v>1.0009999999999999</v>
      </c>
      <c r="FV10">
        <v>3000</v>
      </c>
      <c r="GA10" t="s">
        <v>30</v>
      </c>
      <c r="GB10">
        <v>6.319</v>
      </c>
      <c r="GC10">
        <v>0.501</v>
      </c>
      <c r="GD10">
        <v>5.3330000000000002</v>
      </c>
      <c r="GE10">
        <v>5.9649999999999999</v>
      </c>
      <c r="GF10">
        <v>6.3289999999999997</v>
      </c>
      <c r="GG10">
        <v>6.68</v>
      </c>
      <c r="GH10">
        <v>7.2569999999999997</v>
      </c>
      <c r="GI10">
        <v>1.0009999999999999</v>
      </c>
      <c r="GJ10">
        <v>3000</v>
      </c>
      <c r="GO10" t="s">
        <v>30</v>
      </c>
      <c r="GP10">
        <v>5.9089999999999998</v>
      </c>
      <c r="GQ10">
        <v>0.73799999999999999</v>
      </c>
      <c r="GR10">
        <v>4.4690000000000003</v>
      </c>
      <c r="GS10">
        <v>5.3869999999999996</v>
      </c>
      <c r="GT10">
        <v>5.9160000000000004</v>
      </c>
      <c r="GU10">
        <v>6.4630000000000001</v>
      </c>
      <c r="GV10">
        <v>7.2329999999999997</v>
      </c>
      <c r="GW10">
        <v>1.006</v>
      </c>
      <c r="GX10">
        <v>410</v>
      </c>
      <c r="HC10" t="s">
        <v>30</v>
      </c>
      <c r="HD10">
        <v>5.9580000000000002</v>
      </c>
      <c r="HE10">
        <v>0.71899999999999997</v>
      </c>
      <c r="HF10">
        <v>4.5140000000000002</v>
      </c>
      <c r="HG10">
        <v>5.468</v>
      </c>
      <c r="HH10">
        <v>5.9790000000000001</v>
      </c>
      <c r="HI10">
        <v>6.4889999999999999</v>
      </c>
      <c r="HJ10">
        <v>7.2270000000000003</v>
      </c>
      <c r="HK10">
        <v>1.0009999999999999</v>
      </c>
      <c r="HL10">
        <v>3000</v>
      </c>
      <c r="HP10" s="7"/>
      <c r="HQ10" s="7" t="s">
        <v>30</v>
      </c>
      <c r="HR10" s="7">
        <v>5.6109999999999998</v>
      </c>
      <c r="HS10" s="7">
        <v>0.755</v>
      </c>
      <c r="HT10" s="7">
        <v>4.1870000000000003</v>
      </c>
      <c r="HU10" s="7">
        <v>5.0780000000000003</v>
      </c>
      <c r="HV10" s="7">
        <v>5.6</v>
      </c>
      <c r="HW10" s="7">
        <v>6.1349999999999998</v>
      </c>
      <c r="HX10" s="7">
        <v>7.1189999999999998</v>
      </c>
      <c r="HY10" s="7">
        <v>1.0009999999999999</v>
      </c>
      <c r="HZ10" s="7">
        <v>3000</v>
      </c>
      <c r="IA10" s="7"/>
      <c r="IE10" t="s">
        <v>30</v>
      </c>
      <c r="IF10">
        <v>6.39</v>
      </c>
      <c r="IG10">
        <v>0.48599999999999999</v>
      </c>
      <c r="IH10">
        <v>5.468</v>
      </c>
      <c r="II10">
        <v>6.04</v>
      </c>
      <c r="IJ10">
        <v>6.3719999999999999</v>
      </c>
      <c r="IK10">
        <v>6.7489999999999997</v>
      </c>
      <c r="IL10">
        <v>7.2720000000000002</v>
      </c>
      <c r="IM10">
        <v>1.0009999999999999</v>
      </c>
      <c r="IN10">
        <v>2700</v>
      </c>
      <c r="IS10" t="s">
        <v>30</v>
      </c>
      <c r="IT10">
        <v>6.3460000000000001</v>
      </c>
      <c r="IU10">
        <v>0.48799999999999999</v>
      </c>
      <c r="IV10">
        <v>5.4320000000000004</v>
      </c>
      <c r="IW10">
        <v>5.99</v>
      </c>
      <c r="IX10">
        <v>6.34</v>
      </c>
      <c r="IY10">
        <v>6.7</v>
      </c>
      <c r="IZ10">
        <v>7.27</v>
      </c>
      <c r="JA10">
        <v>1.0029999999999999</v>
      </c>
      <c r="JB10">
        <v>920</v>
      </c>
      <c r="JF10" t="s">
        <v>30</v>
      </c>
      <c r="JG10">
        <v>5.9470000000000001</v>
      </c>
      <c r="JH10">
        <v>0.65700000000000003</v>
      </c>
      <c r="JI10">
        <v>4.6719999999999997</v>
      </c>
      <c r="JJ10">
        <v>5.4749999999999996</v>
      </c>
      <c r="JK10">
        <v>5.9550000000000001</v>
      </c>
      <c r="JL10">
        <v>6.4130000000000003</v>
      </c>
      <c r="JM10">
        <v>7.1669999999999998</v>
      </c>
      <c r="JN10">
        <v>1.002</v>
      </c>
      <c r="JO10">
        <v>1700</v>
      </c>
      <c r="JT10" t="s">
        <v>30</v>
      </c>
      <c r="JU10">
        <v>5.851</v>
      </c>
      <c r="JV10">
        <v>0.70199999999999996</v>
      </c>
      <c r="JW10">
        <v>4.4969999999999999</v>
      </c>
      <c r="JX10">
        <v>5.3650000000000002</v>
      </c>
      <c r="JY10">
        <v>5.8470000000000004</v>
      </c>
      <c r="JZ10">
        <v>6.3620000000000001</v>
      </c>
      <c r="KA10">
        <v>7.1669999999999998</v>
      </c>
      <c r="KB10">
        <v>1.002</v>
      </c>
      <c r="KC10">
        <v>1300</v>
      </c>
      <c r="KH10" t="s">
        <v>30</v>
      </c>
      <c r="KI10">
        <v>5.81</v>
      </c>
      <c r="KJ10">
        <v>0.70599999999999996</v>
      </c>
      <c r="KK10">
        <v>4.4889999999999999</v>
      </c>
      <c r="KL10">
        <v>5.3049999999999997</v>
      </c>
      <c r="KM10">
        <v>5.7839999999999998</v>
      </c>
      <c r="KN10">
        <v>6.3259999999999996</v>
      </c>
      <c r="KO10">
        <v>7.1639999999999997</v>
      </c>
      <c r="KP10">
        <v>1.0029999999999999</v>
      </c>
      <c r="KQ10">
        <v>760</v>
      </c>
      <c r="KR10">
        <f t="shared" si="0"/>
        <v>333.61912567456767</v>
      </c>
      <c r="KS10">
        <f t="shared" si="1"/>
        <v>2027.9878743286081</v>
      </c>
      <c r="KV10" t="s">
        <v>30</v>
      </c>
      <c r="KW10">
        <v>6.673</v>
      </c>
      <c r="KX10">
        <v>0.36899999999999999</v>
      </c>
      <c r="KY10">
        <v>5.9470000000000001</v>
      </c>
      <c r="KZ10">
        <v>6.4130000000000003</v>
      </c>
      <c r="LA10">
        <v>6.665</v>
      </c>
      <c r="LB10">
        <v>6.9390000000000001</v>
      </c>
      <c r="LC10">
        <v>7.3730000000000002</v>
      </c>
      <c r="LD10">
        <v>1.0049999999999999</v>
      </c>
      <c r="LE10">
        <v>410</v>
      </c>
      <c r="LJ10" t="s">
        <v>30</v>
      </c>
      <c r="LK10">
        <v>6.0060000000000002</v>
      </c>
      <c r="LL10">
        <v>0.25800000000000001</v>
      </c>
      <c r="LM10">
        <v>5.5369999999999999</v>
      </c>
      <c r="LN10">
        <v>5.827</v>
      </c>
      <c r="LO10">
        <v>5.9850000000000003</v>
      </c>
      <c r="LP10">
        <v>6.165</v>
      </c>
      <c r="LQ10">
        <v>6.5449999999999999</v>
      </c>
      <c r="LR10">
        <v>1.004</v>
      </c>
      <c r="LS10">
        <v>630</v>
      </c>
      <c r="LX10" t="s">
        <v>30</v>
      </c>
      <c r="LY10">
        <v>2.0990000000000002</v>
      </c>
      <c r="LZ10">
        <v>0.90700000000000003</v>
      </c>
      <c r="MA10">
        <v>0.16800000000000001</v>
      </c>
      <c r="MB10">
        <v>1.524</v>
      </c>
      <c r="MC10">
        <v>2.1589999999999998</v>
      </c>
      <c r="MD10">
        <v>2.7690000000000001</v>
      </c>
      <c r="ME10">
        <v>3.6829999999999998</v>
      </c>
      <c r="MF10">
        <v>1.117</v>
      </c>
      <c r="MG10">
        <v>23</v>
      </c>
      <c r="ML10" t="s">
        <v>30</v>
      </c>
      <c r="MM10">
        <v>6.9340000000000002</v>
      </c>
      <c r="MN10">
        <v>0.317</v>
      </c>
      <c r="MO10">
        <v>6.282</v>
      </c>
      <c r="MP10">
        <v>6.7130000000000001</v>
      </c>
      <c r="MQ10">
        <v>6.9530000000000003</v>
      </c>
      <c r="MR10">
        <v>7.18</v>
      </c>
      <c r="MS10">
        <v>7.4630000000000001</v>
      </c>
      <c r="MT10">
        <v>1.002</v>
      </c>
      <c r="MU10">
        <v>2700</v>
      </c>
      <c r="MZ10" t="s">
        <v>30</v>
      </c>
      <c r="NA10">
        <v>7.0010000000000003</v>
      </c>
      <c r="NB10">
        <v>0.28699999999999998</v>
      </c>
      <c r="NC10">
        <v>6.4050000000000002</v>
      </c>
      <c r="ND10">
        <v>6.8090000000000002</v>
      </c>
      <c r="NE10">
        <v>7.0220000000000002</v>
      </c>
      <c r="NF10">
        <v>7.22</v>
      </c>
      <c r="NG10">
        <v>7.4630000000000001</v>
      </c>
      <c r="NH10">
        <v>1.0029999999999999</v>
      </c>
      <c r="NI10">
        <v>870</v>
      </c>
      <c r="NM10" t="s">
        <v>30</v>
      </c>
      <c r="NN10">
        <v>6.8760000000000003</v>
      </c>
      <c r="NO10">
        <v>0.23100000000000001</v>
      </c>
      <c r="NP10">
        <v>6.4459999999999997</v>
      </c>
      <c r="NQ10">
        <v>6.7069999999999999</v>
      </c>
      <c r="NR10">
        <v>6.8730000000000002</v>
      </c>
      <c r="NS10">
        <v>7.05</v>
      </c>
      <c r="NT10">
        <v>7.2990000000000004</v>
      </c>
      <c r="NU10">
        <v>1.0009999999999999</v>
      </c>
      <c r="NV10">
        <v>7600</v>
      </c>
      <c r="NY10" t="s">
        <v>30</v>
      </c>
      <c r="NZ10">
        <v>6.7229999999999999</v>
      </c>
      <c r="OA10">
        <v>0.24099999999999999</v>
      </c>
      <c r="OB10">
        <v>6.3079999999999998</v>
      </c>
      <c r="OC10">
        <v>6.5430000000000001</v>
      </c>
      <c r="OD10">
        <v>6.7</v>
      </c>
      <c r="OE10">
        <v>6.8869999999999996</v>
      </c>
      <c r="OF10">
        <v>7.2240000000000002</v>
      </c>
      <c r="OG10">
        <v>1.0009999999999999</v>
      </c>
      <c r="OH10">
        <v>5100</v>
      </c>
      <c r="OP10" t="s">
        <v>30</v>
      </c>
      <c r="OQ10">
        <v>7.0049999999999999</v>
      </c>
      <c r="OR10">
        <v>0.25</v>
      </c>
      <c r="OS10">
        <v>6.4740000000000002</v>
      </c>
      <c r="OT10">
        <v>6.8330000000000002</v>
      </c>
      <c r="OU10">
        <v>7.0380000000000003</v>
      </c>
      <c r="OV10">
        <v>7.2030000000000003</v>
      </c>
      <c r="OW10">
        <v>7.3869999999999996</v>
      </c>
      <c r="OX10">
        <v>1.018</v>
      </c>
      <c r="OY10">
        <v>140</v>
      </c>
      <c r="PB10" t="s">
        <v>30</v>
      </c>
      <c r="PC10">
        <v>7.1680000000000001</v>
      </c>
      <c r="PD10">
        <v>0.17599999999999999</v>
      </c>
      <c r="PE10">
        <v>6.7649999999999997</v>
      </c>
      <c r="PF10">
        <v>7.056</v>
      </c>
      <c r="PG10">
        <v>7.2009999999999996</v>
      </c>
      <c r="PH10">
        <v>7.306</v>
      </c>
      <c r="PI10">
        <v>7.4160000000000004</v>
      </c>
      <c r="PJ10">
        <v>1.0089999999999999</v>
      </c>
      <c r="PK10">
        <v>260</v>
      </c>
      <c r="PN10" t="s">
        <v>30</v>
      </c>
      <c r="PO10">
        <v>7.1109999999999998</v>
      </c>
      <c r="PP10">
        <v>0.20499999999999999</v>
      </c>
      <c r="PQ10">
        <v>6.681</v>
      </c>
      <c r="PR10">
        <v>6.9740000000000002</v>
      </c>
      <c r="PS10">
        <v>7.12</v>
      </c>
      <c r="PT10">
        <v>7.2530000000000001</v>
      </c>
      <c r="PU10">
        <v>7.4930000000000003</v>
      </c>
      <c r="PV10">
        <v>1.002</v>
      </c>
      <c r="PW10">
        <v>1000</v>
      </c>
      <c r="QA10" t="s">
        <v>30</v>
      </c>
      <c r="QB10">
        <v>6.3979999999999997</v>
      </c>
      <c r="QC10">
        <v>0.14599999999999999</v>
      </c>
      <c r="QD10">
        <v>6.1139999999999999</v>
      </c>
      <c r="QE10">
        <v>6.2969999999999997</v>
      </c>
      <c r="QF10">
        <v>6.4119999999999999</v>
      </c>
      <c r="QG10">
        <v>6.5060000000000002</v>
      </c>
      <c r="QH10">
        <v>6.6509999999999998</v>
      </c>
      <c r="QI10">
        <v>1.0900000000000001</v>
      </c>
      <c r="QJ10">
        <v>28</v>
      </c>
      <c r="QL10">
        <f t="shared" si="2"/>
        <v>0.71300000000000008</v>
      </c>
    </row>
    <row r="11" spans="1:454">
      <c r="A11" t="s">
        <v>31</v>
      </c>
      <c r="B11">
        <v>6.8630000000000004</v>
      </c>
      <c r="C11">
        <v>0.96199999999999997</v>
      </c>
      <c r="D11">
        <v>4.9889999999999999</v>
      </c>
      <c r="E11">
        <v>6.2169999999999996</v>
      </c>
      <c r="F11">
        <v>6.907</v>
      </c>
      <c r="G11">
        <v>7.4690000000000003</v>
      </c>
      <c r="H11">
        <v>8.6940000000000008</v>
      </c>
      <c r="I11">
        <v>1.0149999999999999</v>
      </c>
      <c r="J11">
        <v>410</v>
      </c>
      <c r="O11" t="s">
        <v>31</v>
      </c>
      <c r="P11">
        <v>5.242</v>
      </c>
      <c r="Q11">
        <v>1.391</v>
      </c>
      <c r="R11">
        <v>2.056</v>
      </c>
      <c r="S11">
        <v>4.3319999999999999</v>
      </c>
      <c r="T11">
        <v>5.4009999999999998</v>
      </c>
      <c r="U11">
        <v>6.3529999999999998</v>
      </c>
      <c r="V11">
        <v>7.2729999999999997</v>
      </c>
      <c r="W11">
        <v>1.012</v>
      </c>
      <c r="X11">
        <v>380</v>
      </c>
      <c r="AC11" t="s">
        <v>31</v>
      </c>
      <c r="AD11">
        <v>6.54</v>
      </c>
      <c r="AE11">
        <v>0.56999999999999995</v>
      </c>
      <c r="AF11">
        <v>5.2130000000000001</v>
      </c>
      <c r="AG11">
        <v>6.1849999999999996</v>
      </c>
      <c r="AH11">
        <v>6.6219999999999999</v>
      </c>
      <c r="AI11">
        <v>6.9889999999999999</v>
      </c>
      <c r="AJ11">
        <v>7.3449999999999998</v>
      </c>
      <c r="AK11">
        <v>1.0009999999999999</v>
      </c>
      <c r="AL11">
        <v>2800</v>
      </c>
      <c r="AQ11" t="s">
        <v>31</v>
      </c>
      <c r="AR11">
        <v>6.6180000000000003</v>
      </c>
      <c r="AS11">
        <v>0.51900000000000002</v>
      </c>
      <c r="AT11">
        <v>5.4320000000000004</v>
      </c>
      <c r="AU11">
        <v>6.2830000000000004</v>
      </c>
      <c r="AV11">
        <v>6.6950000000000003</v>
      </c>
      <c r="AW11">
        <v>7.0339999999999998</v>
      </c>
      <c r="AX11">
        <v>7.3479999999999999</v>
      </c>
      <c r="AY11">
        <v>1.0009999999999999</v>
      </c>
      <c r="AZ11">
        <v>3000</v>
      </c>
      <c r="BE11" t="s">
        <v>31</v>
      </c>
      <c r="BF11">
        <v>6.7380000000000004</v>
      </c>
      <c r="BG11">
        <v>0.443</v>
      </c>
      <c r="BH11">
        <v>5.7169999999999996</v>
      </c>
      <c r="BI11">
        <v>6.4610000000000003</v>
      </c>
      <c r="BJ11">
        <v>6.8019999999999996</v>
      </c>
      <c r="BK11">
        <v>7.0919999999999996</v>
      </c>
      <c r="BL11">
        <v>7.3550000000000004</v>
      </c>
      <c r="BM11">
        <v>1.0029999999999999</v>
      </c>
      <c r="BN11">
        <v>770</v>
      </c>
      <c r="BS11" t="s">
        <v>31</v>
      </c>
      <c r="BT11">
        <v>6.5439999999999996</v>
      </c>
      <c r="BU11">
        <v>0.55900000000000005</v>
      </c>
      <c r="BV11">
        <v>5.274</v>
      </c>
      <c r="BW11">
        <v>6.1760000000000002</v>
      </c>
      <c r="BX11">
        <v>6.617</v>
      </c>
      <c r="BY11">
        <v>6.9880000000000004</v>
      </c>
      <c r="BZ11">
        <v>7.3339999999999996</v>
      </c>
      <c r="CA11">
        <v>1.0009999999999999</v>
      </c>
      <c r="CB11">
        <v>3000</v>
      </c>
      <c r="CG11" t="s">
        <v>31</v>
      </c>
      <c r="CH11">
        <v>6.6269999999999998</v>
      </c>
      <c r="CI11">
        <v>0.502</v>
      </c>
      <c r="CJ11">
        <v>5.5069999999999997</v>
      </c>
      <c r="CK11">
        <v>6.2969999999999997</v>
      </c>
      <c r="CL11">
        <v>6.6929999999999996</v>
      </c>
      <c r="CM11">
        <v>7.0350000000000001</v>
      </c>
      <c r="CN11">
        <v>7.3419999999999996</v>
      </c>
      <c r="CO11">
        <v>1.002</v>
      </c>
      <c r="CP11">
        <v>1800</v>
      </c>
      <c r="CU11" t="s">
        <v>31</v>
      </c>
      <c r="CV11">
        <v>6.5990000000000002</v>
      </c>
      <c r="CW11">
        <v>0.52200000000000002</v>
      </c>
      <c r="CX11">
        <v>5.375</v>
      </c>
      <c r="CY11">
        <v>6.2850000000000001</v>
      </c>
      <c r="CZ11">
        <v>6.673</v>
      </c>
      <c r="DA11">
        <v>6.9950000000000001</v>
      </c>
      <c r="DB11">
        <v>7.3419999999999996</v>
      </c>
      <c r="DC11">
        <v>1.002</v>
      </c>
      <c r="DD11">
        <v>1000</v>
      </c>
      <c r="DI11" t="s">
        <v>31</v>
      </c>
      <c r="DJ11">
        <v>6.569</v>
      </c>
      <c r="DK11">
        <v>0.54400000000000004</v>
      </c>
      <c r="DL11">
        <v>5.3120000000000003</v>
      </c>
      <c r="DM11">
        <v>6.2140000000000004</v>
      </c>
      <c r="DN11">
        <v>6.6559999999999997</v>
      </c>
      <c r="DO11">
        <v>7.0039999999999996</v>
      </c>
      <c r="DP11">
        <v>7.327</v>
      </c>
      <c r="DQ11">
        <v>1.0009999999999999</v>
      </c>
      <c r="DR11">
        <v>3000</v>
      </c>
      <c r="DY11" t="s">
        <v>31</v>
      </c>
      <c r="DZ11">
        <v>6.5549999999999997</v>
      </c>
      <c r="EA11">
        <v>0.54500000000000004</v>
      </c>
      <c r="EB11">
        <v>5.319</v>
      </c>
      <c r="EC11">
        <v>6.2210000000000001</v>
      </c>
      <c r="ED11">
        <v>6.6310000000000002</v>
      </c>
      <c r="EE11">
        <v>6.9889999999999999</v>
      </c>
      <c r="EF11">
        <v>7.3390000000000004</v>
      </c>
      <c r="EG11">
        <v>1.0009999999999999</v>
      </c>
      <c r="EH11">
        <v>3000</v>
      </c>
      <c r="EK11" t="s">
        <v>31</v>
      </c>
      <c r="EL11">
        <v>5.5860000000000003</v>
      </c>
      <c r="EM11">
        <v>0.67200000000000004</v>
      </c>
      <c r="EN11">
        <v>4.3250000000000002</v>
      </c>
      <c r="EO11">
        <v>5.117</v>
      </c>
      <c r="EP11">
        <v>5.5549999999999997</v>
      </c>
      <c r="EQ11">
        <v>6.0090000000000003</v>
      </c>
      <c r="ER11">
        <v>6.9939999999999998</v>
      </c>
      <c r="ES11">
        <v>1</v>
      </c>
      <c r="ET11">
        <v>1500</v>
      </c>
      <c r="EY11" t="s">
        <v>31</v>
      </c>
      <c r="EZ11">
        <v>5.9550000000000001</v>
      </c>
      <c r="FA11">
        <v>0.7</v>
      </c>
      <c r="FB11">
        <v>4.5119999999999996</v>
      </c>
      <c r="FC11">
        <v>5.4619999999999997</v>
      </c>
      <c r="FD11">
        <v>5.9660000000000002</v>
      </c>
      <c r="FE11">
        <v>6.46</v>
      </c>
      <c r="FF11">
        <v>7.2130000000000001</v>
      </c>
      <c r="FG11">
        <v>1</v>
      </c>
      <c r="FH11">
        <v>3000</v>
      </c>
      <c r="FM11" t="s">
        <v>251</v>
      </c>
      <c r="FN11">
        <v>1.0999999999999999E-2</v>
      </c>
      <c r="FO11">
        <v>9.9459999999999997</v>
      </c>
      <c r="FP11">
        <v>-19.343</v>
      </c>
      <c r="FQ11">
        <v>-6.4169999999999998</v>
      </c>
      <c r="FR11">
        <v>-0.221</v>
      </c>
      <c r="FS11">
        <v>6.7370000000000001</v>
      </c>
      <c r="FT11">
        <v>19.835000000000001</v>
      </c>
      <c r="FU11">
        <v>1.0009999999999999</v>
      </c>
      <c r="FV11">
        <v>3000</v>
      </c>
      <c r="GA11" t="s">
        <v>31</v>
      </c>
      <c r="GB11">
        <v>6.8319999999999999</v>
      </c>
      <c r="GC11">
        <v>0.36899999999999999</v>
      </c>
      <c r="GD11">
        <v>5.9880000000000004</v>
      </c>
      <c r="GE11">
        <v>6.5940000000000003</v>
      </c>
      <c r="GF11">
        <v>6.8849999999999998</v>
      </c>
      <c r="GG11">
        <v>7.1280000000000001</v>
      </c>
      <c r="GH11">
        <v>7.35</v>
      </c>
      <c r="GI11">
        <v>1.002</v>
      </c>
      <c r="GJ11">
        <v>1700</v>
      </c>
      <c r="GO11" t="s">
        <v>31</v>
      </c>
      <c r="GP11">
        <v>5.9550000000000001</v>
      </c>
      <c r="GQ11">
        <v>0.69299999999999995</v>
      </c>
      <c r="GR11">
        <v>4.57</v>
      </c>
      <c r="GS11">
        <v>5.4770000000000003</v>
      </c>
      <c r="GT11">
        <v>5.9660000000000002</v>
      </c>
      <c r="GU11">
        <v>6.4560000000000004</v>
      </c>
      <c r="GV11">
        <v>7.21</v>
      </c>
      <c r="GW11">
        <v>1.006</v>
      </c>
      <c r="GX11">
        <v>350</v>
      </c>
      <c r="HC11" t="s">
        <v>31</v>
      </c>
      <c r="HD11">
        <v>6.0149999999999997</v>
      </c>
      <c r="HE11">
        <v>0.68300000000000005</v>
      </c>
      <c r="HF11">
        <v>4.6369999999999996</v>
      </c>
      <c r="HG11">
        <v>5.5410000000000004</v>
      </c>
      <c r="HH11">
        <v>6.032</v>
      </c>
      <c r="HI11">
        <v>6.5229999999999997</v>
      </c>
      <c r="HJ11">
        <v>7.2439999999999998</v>
      </c>
      <c r="HK11">
        <v>1.0029999999999999</v>
      </c>
      <c r="HL11">
        <v>780</v>
      </c>
      <c r="HP11" s="7"/>
      <c r="HQ11" s="7" t="s">
        <v>31</v>
      </c>
      <c r="HR11" s="7">
        <v>5.5519999999999996</v>
      </c>
      <c r="HS11" s="7">
        <v>0.69</v>
      </c>
      <c r="HT11" s="7">
        <v>4.2460000000000004</v>
      </c>
      <c r="HU11" s="7">
        <v>5.07</v>
      </c>
      <c r="HV11" s="7">
        <v>5.5359999999999996</v>
      </c>
      <c r="HW11" s="7">
        <v>6.0250000000000004</v>
      </c>
      <c r="HX11" s="7">
        <v>6.9370000000000003</v>
      </c>
      <c r="HY11" s="7">
        <v>1.0009999999999999</v>
      </c>
      <c r="HZ11" s="7">
        <v>3000</v>
      </c>
      <c r="IA11" s="7"/>
      <c r="IE11" t="s">
        <v>31</v>
      </c>
      <c r="IF11">
        <v>6.5069999999999997</v>
      </c>
      <c r="IG11">
        <v>0.42</v>
      </c>
      <c r="IH11">
        <v>5.694</v>
      </c>
      <c r="II11">
        <v>6.2069999999999999</v>
      </c>
      <c r="IJ11">
        <v>6.5039999999999996</v>
      </c>
      <c r="IK11">
        <v>6.8239999999999998</v>
      </c>
      <c r="IL11">
        <v>7.2779999999999996</v>
      </c>
      <c r="IM11">
        <v>1.002</v>
      </c>
      <c r="IN11">
        <v>1300</v>
      </c>
      <c r="IS11" t="s">
        <v>31</v>
      </c>
      <c r="IT11">
        <v>6.5529999999999999</v>
      </c>
      <c r="IU11">
        <v>0.42799999999999999</v>
      </c>
      <c r="IV11">
        <v>5.7</v>
      </c>
      <c r="IW11">
        <v>6.2569999999999997</v>
      </c>
      <c r="IX11">
        <v>6.5590000000000002</v>
      </c>
      <c r="IY11">
        <v>6.8810000000000002</v>
      </c>
      <c r="IZ11">
        <v>7.3029999999999999</v>
      </c>
      <c r="JA11">
        <v>1.006</v>
      </c>
      <c r="JB11">
        <v>370</v>
      </c>
      <c r="JF11" t="s">
        <v>31</v>
      </c>
      <c r="JG11">
        <v>5.8970000000000002</v>
      </c>
      <c r="JH11">
        <v>0.6</v>
      </c>
      <c r="JI11">
        <v>4.7610000000000001</v>
      </c>
      <c r="JJ11">
        <v>5.4740000000000002</v>
      </c>
      <c r="JK11">
        <v>5.883</v>
      </c>
      <c r="JL11">
        <v>6.3239999999999998</v>
      </c>
      <c r="JM11">
        <v>7.0670000000000002</v>
      </c>
      <c r="JN11">
        <v>1.0009999999999999</v>
      </c>
      <c r="JO11">
        <v>3000</v>
      </c>
      <c r="JT11" t="s">
        <v>31</v>
      </c>
      <c r="JU11">
        <v>5.7770000000000001</v>
      </c>
      <c r="JV11">
        <v>0.64900000000000002</v>
      </c>
      <c r="JW11">
        <v>4.5380000000000003</v>
      </c>
      <c r="JX11">
        <v>5.3259999999999996</v>
      </c>
      <c r="JY11">
        <v>5.77</v>
      </c>
      <c r="JZ11">
        <v>6.23</v>
      </c>
      <c r="KA11">
        <v>7.0720000000000001</v>
      </c>
      <c r="KB11">
        <v>1.0029999999999999</v>
      </c>
      <c r="KC11">
        <v>990</v>
      </c>
      <c r="KH11" t="s">
        <v>31</v>
      </c>
      <c r="KI11">
        <v>5.7569999999999997</v>
      </c>
      <c r="KJ11">
        <v>0.63500000000000001</v>
      </c>
      <c r="KK11">
        <v>4.5789999999999997</v>
      </c>
      <c r="KL11">
        <v>5.3179999999999996</v>
      </c>
      <c r="KM11">
        <v>5.726</v>
      </c>
      <c r="KN11">
        <v>6.1909999999999998</v>
      </c>
      <c r="KO11">
        <v>7.0129999999999999</v>
      </c>
      <c r="KP11">
        <v>1.0029999999999999</v>
      </c>
      <c r="KQ11">
        <v>950</v>
      </c>
      <c r="KR11">
        <f t="shared" si="0"/>
        <v>316.39771057157992</v>
      </c>
      <c r="KS11">
        <f t="shared" si="1"/>
        <v>1639.4931019733681</v>
      </c>
      <c r="KV11" t="s">
        <v>31</v>
      </c>
      <c r="KW11">
        <v>6.516</v>
      </c>
      <c r="KX11">
        <v>0.39100000000000001</v>
      </c>
      <c r="KY11">
        <v>5.7670000000000003</v>
      </c>
      <c r="KZ11">
        <v>6.2439999999999998</v>
      </c>
      <c r="LA11">
        <v>6.5149999999999997</v>
      </c>
      <c r="LB11">
        <v>6.7839999999999998</v>
      </c>
      <c r="LC11">
        <v>7.2910000000000004</v>
      </c>
      <c r="LD11">
        <v>1.0049999999999999</v>
      </c>
      <c r="LE11">
        <v>410</v>
      </c>
      <c r="LJ11" t="s">
        <v>31</v>
      </c>
      <c r="LK11">
        <v>5.9210000000000003</v>
      </c>
      <c r="LL11">
        <v>0.27800000000000002</v>
      </c>
      <c r="LM11">
        <v>5.4290000000000003</v>
      </c>
      <c r="LN11">
        <v>5.7309999999999999</v>
      </c>
      <c r="LO11">
        <v>5.9080000000000004</v>
      </c>
      <c r="LP11">
        <v>6.093</v>
      </c>
      <c r="LQ11">
        <v>6.5019999999999998</v>
      </c>
      <c r="LR11">
        <v>1.0029999999999999</v>
      </c>
      <c r="LS11">
        <v>900</v>
      </c>
      <c r="LX11" t="s">
        <v>31</v>
      </c>
      <c r="LY11">
        <v>2.883</v>
      </c>
      <c r="LZ11">
        <v>1.1339999999999999</v>
      </c>
      <c r="MA11">
        <v>0.60799999999999998</v>
      </c>
      <c r="MB11">
        <v>2.1110000000000002</v>
      </c>
      <c r="MC11">
        <v>2.91</v>
      </c>
      <c r="MD11">
        <v>3.7040000000000002</v>
      </c>
      <c r="ME11">
        <v>4.8860000000000001</v>
      </c>
      <c r="MF11">
        <v>1.548</v>
      </c>
      <c r="MG11">
        <v>7</v>
      </c>
      <c r="ML11" t="s">
        <v>31</v>
      </c>
      <c r="MM11">
        <v>6.7110000000000003</v>
      </c>
      <c r="MN11">
        <v>0.33200000000000002</v>
      </c>
      <c r="MO11">
        <v>6.04</v>
      </c>
      <c r="MP11">
        <v>6.4820000000000002</v>
      </c>
      <c r="MQ11">
        <v>6.7249999999999996</v>
      </c>
      <c r="MR11">
        <v>6.9530000000000003</v>
      </c>
      <c r="MS11">
        <v>7.31</v>
      </c>
      <c r="MT11">
        <v>1.0009999999999999</v>
      </c>
      <c r="MU11">
        <v>6700</v>
      </c>
      <c r="MZ11" t="s">
        <v>31</v>
      </c>
      <c r="NA11">
        <v>6.7569999999999997</v>
      </c>
      <c r="NB11">
        <v>0.31</v>
      </c>
      <c r="NC11">
        <v>6.1349999999999998</v>
      </c>
      <c r="ND11">
        <v>6.5410000000000004</v>
      </c>
      <c r="NE11">
        <v>6.77</v>
      </c>
      <c r="NF11">
        <v>6.98</v>
      </c>
      <c r="NG11">
        <v>7.3209999999999997</v>
      </c>
      <c r="NH11">
        <v>1.002</v>
      </c>
      <c r="NI11">
        <v>1600</v>
      </c>
      <c r="NM11" t="s">
        <v>31</v>
      </c>
      <c r="NN11">
        <v>6.9619999999999997</v>
      </c>
      <c r="NO11">
        <v>0.29299999999999998</v>
      </c>
      <c r="NP11">
        <v>6.4160000000000004</v>
      </c>
      <c r="NQ11">
        <v>6.7480000000000002</v>
      </c>
      <c r="NR11">
        <v>6.9569999999999999</v>
      </c>
      <c r="NS11">
        <v>7.1760000000000002</v>
      </c>
      <c r="NT11">
        <v>7.5170000000000003</v>
      </c>
      <c r="NU11">
        <v>1.0009999999999999</v>
      </c>
      <c r="NV11">
        <v>6400</v>
      </c>
      <c r="NY11" t="s">
        <v>31</v>
      </c>
      <c r="NZ11">
        <v>6.83</v>
      </c>
      <c r="OA11">
        <v>0.307</v>
      </c>
      <c r="OB11">
        <v>6.2990000000000004</v>
      </c>
      <c r="OC11">
        <v>6.6050000000000004</v>
      </c>
      <c r="OD11">
        <v>6.8019999999999996</v>
      </c>
      <c r="OE11">
        <v>7.0369999999999999</v>
      </c>
      <c r="OF11">
        <v>7.4740000000000002</v>
      </c>
      <c r="OG11">
        <v>1.0009999999999999</v>
      </c>
      <c r="OH11">
        <v>7500</v>
      </c>
      <c r="OP11" t="s">
        <v>31</v>
      </c>
      <c r="OQ11">
        <v>7.0030000000000001</v>
      </c>
      <c r="OR11">
        <v>0.245</v>
      </c>
      <c r="OS11">
        <v>6.4779999999999998</v>
      </c>
      <c r="OT11">
        <v>6.8330000000000002</v>
      </c>
      <c r="OU11">
        <v>7.0330000000000004</v>
      </c>
      <c r="OV11">
        <v>7.1890000000000001</v>
      </c>
      <c r="OW11">
        <v>7.399</v>
      </c>
      <c r="OX11">
        <v>1.0169999999999999</v>
      </c>
      <c r="OY11">
        <v>140</v>
      </c>
      <c r="PB11" t="s">
        <v>31</v>
      </c>
      <c r="PC11">
        <v>7.1230000000000002</v>
      </c>
      <c r="PD11">
        <v>0.187</v>
      </c>
      <c r="PE11">
        <v>6.7119999999999997</v>
      </c>
      <c r="PF11">
        <v>7.0090000000000003</v>
      </c>
      <c r="PG11">
        <v>7.149</v>
      </c>
      <c r="PH11">
        <v>7.26</v>
      </c>
      <c r="PI11">
        <v>7.4180000000000001</v>
      </c>
      <c r="PJ11">
        <v>1.008</v>
      </c>
      <c r="PK11">
        <v>360</v>
      </c>
      <c r="PN11" t="s">
        <v>31</v>
      </c>
      <c r="PO11">
        <v>7.101</v>
      </c>
      <c r="PP11">
        <v>0.219</v>
      </c>
      <c r="PQ11">
        <v>6.6520000000000001</v>
      </c>
      <c r="PR11">
        <v>6.9580000000000002</v>
      </c>
      <c r="PS11">
        <v>7.1050000000000004</v>
      </c>
      <c r="PT11">
        <v>7.2519999999999998</v>
      </c>
      <c r="PU11">
        <v>7.516</v>
      </c>
      <c r="PV11">
        <v>1.002</v>
      </c>
      <c r="PW11">
        <v>1000</v>
      </c>
      <c r="QA11" t="s">
        <v>31</v>
      </c>
      <c r="QB11">
        <v>6.42</v>
      </c>
      <c r="QC11">
        <v>0.14799999999999999</v>
      </c>
      <c r="QD11">
        <v>6.13</v>
      </c>
      <c r="QE11">
        <v>6.3159999999999998</v>
      </c>
      <c r="QF11">
        <v>6.4349999999999996</v>
      </c>
      <c r="QG11">
        <v>6.53</v>
      </c>
      <c r="QH11">
        <v>6.6740000000000004</v>
      </c>
      <c r="QI11">
        <v>1.0960000000000001</v>
      </c>
      <c r="QJ11">
        <v>26</v>
      </c>
      <c r="QL11">
        <f t="shared" si="2"/>
        <v>0.68100000000000005</v>
      </c>
    </row>
    <row r="12" spans="1:454">
      <c r="A12" t="s">
        <v>32</v>
      </c>
      <c r="B12">
        <v>6.8540000000000001</v>
      </c>
      <c r="C12">
        <v>1.042</v>
      </c>
      <c r="D12">
        <v>4.7990000000000004</v>
      </c>
      <c r="E12">
        <v>6.1429999999999998</v>
      </c>
      <c r="F12">
        <v>6.8570000000000002</v>
      </c>
      <c r="G12">
        <v>7.5650000000000004</v>
      </c>
      <c r="H12">
        <v>8.8230000000000004</v>
      </c>
      <c r="I12">
        <v>1.022</v>
      </c>
      <c r="J12">
        <v>130</v>
      </c>
      <c r="O12" t="s">
        <v>32</v>
      </c>
      <c r="P12">
        <v>5.3230000000000004</v>
      </c>
      <c r="Q12">
        <v>1.41</v>
      </c>
      <c r="R12">
        <v>2.1320000000000001</v>
      </c>
      <c r="S12">
        <v>4.4290000000000003</v>
      </c>
      <c r="T12">
        <v>5.5579999999999998</v>
      </c>
      <c r="U12">
        <v>6.4530000000000003</v>
      </c>
      <c r="V12">
        <v>7.2830000000000004</v>
      </c>
      <c r="W12">
        <v>1.006</v>
      </c>
      <c r="X12">
        <v>1600</v>
      </c>
      <c r="AC12" t="s">
        <v>32</v>
      </c>
      <c r="AD12">
        <v>6.7919999999999998</v>
      </c>
      <c r="AE12">
        <v>0.47299999999999998</v>
      </c>
      <c r="AF12">
        <v>5.6529999999999996</v>
      </c>
      <c r="AG12">
        <v>6.532</v>
      </c>
      <c r="AH12">
        <v>6.9</v>
      </c>
      <c r="AI12">
        <v>7.1630000000000003</v>
      </c>
      <c r="AJ12">
        <v>7.3620000000000001</v>
      </c>
      <c r="AK12">
        <v>1.002</v>
      </c>
      <c r="AL12">
        <v>1300</v>
      </c>
      <c r="AQ12" t="s">
        <v>32</v>
      </c>
      <c r="AR12">
        <v>6.8730000000000002</v>
      </c>
      <c r="AS12">
        <v>0.40699999999999997</v>
      </c>
      <c r="AT12">
        <v>5.88</v>
      </c>
      <c r="AU12">
        <v>6.6319999999999997</v>
      </c>
      <c r="AV12">
        <v>6.9729999999999999</v>
      </c>
      <c r="AW12">
        <v>7.1959999999999997</v>
      </c>
      <c r="AX12">
        <v>7.3620000000000001</v>
      </c>
      <c r="AY12">
        <v>1.0009999999999999</v>
      </c>
      <c r="AZ12">
        <v>3000</v>
      </c>
      <c r="BE12" t="s">
        <v>32</v>
      </c>
      <c r="BF12">
        <v>6.9969999999999999</v>
      </c>
      <c r="BG12">
        <v>0.32200000000000001</v>
      </c>
      <c r="BH12">
        <v>6.1760000000000002</v>
      </c>
      <c r="BI12">
        <v>6.835</v>
      </c>
      <c r="BJ12">
        <v>7.0780000000000003</v>
      </c>
      <c r="BK12">
        <v>7.2469999999999999</v>
      </c>
      <c r="BL12">
        <v>7.3689999999999998</v>
      </c>
      <c r="BM12">
        <v>1.0009999999999999</v>
      </c>
      <c r="BN12">
        <v>3000</v>
      </c>
      <c r="BS12" t="s">
        <v>32</v>
      </c>
      <c r="BT12">
        <v>6.766</v>
      </c>
      <c r="BU12">
        <v>0.47399999999999998</v>
      </c>
      <c r="BV12">
        <v>5.6319999999999997</v>
      </c>
      <c r="BW12">
        <v>6.4950000000000001</v>
      </c>
      <c r="BX12">
        <v>6.8689999999999998</v>
      </c>
      <c r="BY12">
        <v>7.14</v>
      </c>
      <c r="BZ12">
        <v>7.3540000000000001</v>
      </c>
      <c r="CA12">
        <v>1.0009999999999999</v>
      </c>
      <c r="CB12">
        <v>3000</v>
      </c>
      <c r="CG12" t="s">
        <v>32</v>
      </c>
      <c r="CH12">
        <v>6.9240000000000004</v>
      </c>
      <c r="CI12">
        <v>0.36499999999999999</v>
      </c>
      <c r="CJ12">
        <v>6.0250000000000004</v>
      </c>
      <c r="CK12">
        <v>6.7210000000000001</v>
      </c>
      <c r="CL12">
        <v>7.0069999999999997</v>
      </c>
      <c r="CM12">
        <v>7.2119999999999997</v>
      </c>
      <c r="CN12">
        <v>7.3630000000000004</v>
      </c>
      <c r="CO12">
        <v>1.002</v>
      </c>
      <c r="CP12">
        <v>1100</v>
      </c>
      <c r="CU12" t="s">
        <v>32</v>
      </c>
      <c r="CV12">
        <v>6.8390000000000004</v>
      </c>
      <c r="CW12">
        <v>0.45400000000000001</v>
      </c>
      <c r="CX12">
        <v>5.7359999999999998</v>
      </c>
      <c r="CY12">
        <v>6.5780000000000003</v>
      </c>
      <c r="CZ12">
        <v>6.9560000000000004</v>
      </c>
      <c r="DA12">
        <v>7.2039999999999997</v>
      </c>
      <c r="DB12">
        <v>7.3639999999999999</v>
      </c>
      <c r="DC12">
        <v>1.0149999999999999</v>
      </c>
      <c r="DD12">
        <v>190</v>
      </c>
      <c r="DI12" t="s">
        <v>32</v>
      </c>
      <c r="DJ12">
        <v>6.7709999999999999</v>
      </c>
      <c r="DK12">
        <v>0.47699999999999998</v>
      </c>
      <c r="DL12">
        <v>5.6630000000000003</v>
      </c>
      <c r="DM12">
        <v>6.5</v>
      </c>
      <c r="DN12">
        <v>6.8710000000000004</v>
      </c>
      <c r="DO12">
        <v>7.1550000000000002</v>
      </c>
      <c r="DP12">
        <v>7.3579999999999997</v>
      </c>
      <c r="DQ12">
        <v>1.0029999999999999</v>
      </c>
      <c r="DR12">
        <v>1400</v>
      </c>
      <c r="DY12" t="s">
        <v>32</v>
      </c>
      <c r="DZ12">
        <v>6.8179999999999996</v>
      </c>
      <c r="EA12">
        <v>0.45100000000000001</v>
      </c>
      <c r="EB12">
        <v>5.7080000000000002</v>
      </c>
      <c r="EC12">
        <v>6.5640000000000001</v>
      </c>
      <c r="ED12">
        <v>6.9260000000000002</v>
      </c>
      <c r="EE12">
        <v>7.17</v>
      </c>
      <c r="EF12">
        <v>7.3639999999999999</v>
      </c>
      <c r="EG12">
        <v>1.0029999999999999</v>
      </c>
      <c r="EH12">
        <v>1200</v>
      </c>
      <c r="EK12" t="s">
        <v>32</v>
      </c>
      <c r="EL12">
        <v>6.5490000000000004</v>
      </c>
      <c r="EM12">
        <v>0.54600000000000004</v>
      </c>
      <c r="EN12">
        <v>5.3129999999999997</v>
      </c>
      <c r="EO12">
        <v>6.2089999999999996</v>
      </c>
      <c r="EP12">
        <v>6.6180000000000003</v>
      </c>
      <c r="EQ12">
        <v>6.9829999999999997</v>
      </c>
      <c r="ER12">
        <v>7.3390000000000004</v>
      </c>
      <c r="ES12">
        <v>1.002</v>
      </c>
      <c r="ET12">
        <v>930</v>
      </c>
      <c r="EY12" t="s">
        <v>32</v>
      </c>
      <c r="EZ12">
        <v>6.35</v>
      </c>
      <c r="FA12">
        <v>0.63600000000000001</v>
      </c>
      <c r="FB12">
        <v>4.9649999999999999</v>
      </c>
      <c r="FC12">
        <v>5.9050000000000002</v>
      </c>
      <c r="FD12">
        <v>6.4210000000000003</v>
      </c>
      <c r="FE12">
        <v>6.8620000000000001</v>
      </c>
      <c r="FF12">
        <v>7.3070000000000004</v>
      </c>
      <c r="FG12">
        <v>1.002</v>
      </c>
      <c r="FH12">
        <v>2000</v>
      </c>
      <c r="FM12" t="s">
        <v>185</v>
      </c>
      <c r="FN12">
        <v>7.2</v>
      </c>
      <c r="FO12">
        <v>0.11899999999999999</v>
      </c>
      <c r="FP12">
        <v>6.931</v>
      </c>
      <c r="FQ12">
        <v>7.12</v>
      </c>
      <c r="FR12">
        <v>7.2169999999999996</v>
      </c>
      <c r="FS12">
        <v>7.298</v>
      </c>
      <c r="FT12">
        <v>7.37</v>
      </c>
      <c r="FU12">
        <v>1.0009999999999999</v>
      </c>
      <c r="FV12">
        <v>3000</v>
      </c>
      <c r="GA12" t="s">
        <v>32</v>
      </c>
      <c r="GB12">
        <v>7.0679999999999996</v>
      </c>
      <c r="GC12">
        <v>0.25800000000000001</v>
      </c>
      <c r="GD12">
        <v>6.4260000000000002</v>
      </c>
      <c r="GE12">
        <v>6.9390000000000001</v>
      </c>
      <c r="GF12">
        <v>7.1310000000000002</v>
      </c>
      <c r="GG12">
        <v>7.2690000000000001</v>
      </c>
      <c r="GH12">
        <v>7.37</v>
      </c>
      <c r="GI12">
        <v>1.0029999999999999</v>
      </c>
      <c r="GJ12">
        <v>1200</v>
      </c>
      <c r="GO12" t="s">
        <v>32</v>
      </c>
      <c r="GP12">
        <v>6.2930000000000001</v>
      </c>
      <c r="GQ12">
        <v>0.64600000000000002</v>
      </c>
      <c r="GR12">
        <v>4.9370000000000003</v>
      </c>
      <c r="GS12">
        <v>5.85</v>
      </c>
      <c r="GT12">
        <v>6.35</v>
      </c>
      <c r="GU12">
        <v>6.8029999999999999</v>
      </c>
      <c r="GV12">
        <v>7.3159999999999998</v>
      </c>
      <c r="GW12">
        <v>1.0049999999999999</v>
      </c>
      <c r="GX12">
        <v>450</v>
      </c>
      <c r="HC12" t="s">
        <v>32</v>
      </c>
      <c r="HD12">
        <v>6.3520000000000003</v>
      </c>
      <c r="HE12">
        <v>0.61699999999999999</v>
      </c>
      <c r="HF12">
        <v>5.048</v>
      </c>
      <c r="HG12">
        <v>5.9459999999999997</v>
      </c>
      <c r="HH12">
        <v>6.4180000000000001</v>
      </c>
      <c r="HI12">
        <v>6.8330000000000002</v>
      </c>
      <c r="HJ12">
        <v>7.3040000000000003</v>
      </c>
      <c r="HK12">
        <v>1.0009999999999999</v>
      </c>
      <c r="HL12">
        <v>3000</v>
      </c>
      <c r="HP12" s="7"/>
      <c r="HQ12" s="7" t="s">
        <v>32</v>
      </c>
      <c r="HR12" s="7">
        <v>6.2279999999999998</v>
      </c>
      <c r="HS12" s="7">
        <v>0.59499999999999997</v>
      </c>
      <c r="HT12" s="7">
        <v>5.024</v>
      </c>
      <c r="HU12" s="7">
        <v>5.8019999999999996</v>
      </c>
      <c r="HV12" s="7">
        <v>6.2409999999999997</v>
      </c>
      <c r="HW12" s="7">
        <v>6.6879999999999997</v>
      </c>
      <c r="HX12" s="7">
        <v>7.2729999999999997</v>
      </c>
      <c r="HY12" s="7">
        <v>1.0009999999999999</v>
      </c>
      <c r="HZ12" s="7">
        <v>3000</v>
      </c>
      <c r="IA12" s="7"/>
      <c r="IE12" t="s">
        <v>32</v>
      </c>
      <c r="IF12">
        <v>6.8810000000000002</v>
      </c>
      <c r="IG12">
        <v>0.32300000000000001</v>
      </c>
      <c r="IH12">
        <v>6.173</v>
      </c>
      <c r="II12">
        <v>6.6710000000000003</v>
      </c>
      <c r="IJ12">
        <v>6.92</v>
      </c>
      <c r="IK12">
        <v>7.1360000000000001</v>
      </c>
      <c r="IL12">
        <v>7.3540000000000001</v>
      </c>
      <c r="IM12">
        <v>1.0009999999999999</v>
      </c>
      <c r="IN12">
        <v>3000</v>
      </c>
      <c r="IS12" t="s">
        <v>32</v>
      </c>
      <c r="IT12">
        <v>6.89</v>
      </c>
      <c r="IU12">
        <v>0.33500000000000002</v>
      </c>
      <c r="IV12">
        <v>6.1360000000000001</v>
      </c>
      <c r="IW12">
        <v>6.6760000000000002</v>
      </c>
      <c r="IX12">
        <v>6.9420000000000002</v>
      </c>
      <c r="IY12">
        <v>7.1580000000000004</v>
      </c>
      <c r="IZ12">
        <v>7.3559999999999999</v>
      </c>
      <c r="JA12">
        <v>1.0009999999999999</v>
      </c>
      <c r="JB12">
        <v>3000</v>
      </c>
      <c r="JF12" t="s">
        <v>32</v>
      </c>
      <c r="JG12">
        <v>6.4790000000000001</v>
      </c>
      <c r="JH12">
        <v>0.52200000000000002</v>
      </c>
      <c r="JI12">
        <v>5.37</v>
      </c>
      <c r="JJ12">
        <v>6.1230000000000002</v>
      </c>
      <c r="JK12">
        <v>6.5069999999999997</v>
      </c>
      <c r="JL12">
        <v>6.891</v>
      </c>
      <c r="JM12">
        <v>7.3220000000000001</v>
      </c>
      <c r="JN12">
        <v>1.002</v>
      </c>
      <c r="JO12">
        <v>2000</v>
      </c>
      <c r="JT12" t="s">
        <v>32</v>
      </c>
      <c r="JU12">
        <v>6.3520000000000003</v>
      </c>
      <c r="JV12">
        <v>0.56799999999999995</v>
      </c>
      <c r="JW12">
        <v>5.1619999999999999</v>
      </c>
      <c r="JX12">
        <v>5.9569999999999999</v>
      </c>
      <c r="JY12">
        <v>6.3879999999999999</v>
      </c>
      <c r="JZ12">
        <v>6.798</v>
      </c>
      <c r="KA12">
        <v>7.3019999999999996</v>
      </c>
      <c r="KB12">
        <v>1.0009999999999999</v>
      </c>
      <c r="KC12">
        <v>2100</v>
      </c>
      <c r="KH12" t="s">
        <v>32</v>
      </c>
      <c r="KI12">
        <v>6.3579999999999997</v>
      </c>
      <c r="KJ12">
        <v>0.56399999999999995</v>
      </c>
      <c r="KK12">
        <v>5.2039999999999997</v>
      </c>
      <c r="KL12">
        <v>5.96</v>
      </c>
      <c r="KM12">
        <v>6.3810000000000002</v>
      </c>
      <c r="KN12">
        <v>6.7949999999999999</v>
      </c>
      <c r="KO12">
        <v>7.306</v>
      </c>
      <c r="KP12">
        <v>1.002</v>
      </c>
      <c r="KQ12">
        <v>1400</v>
      </c>
      <c r="KR12">
        <f t="shared" si="0"/>
        <v>577.09101940304174</v>
      </c>
      <c r="KS12">
        <f t="shared" si="1"/>
        <v>1687.2808410208361</v>
      </c>
      <c r="KV12" t="s">
        <v>32</v>
      </c>
      <c r="KW12">
        <v>6.8120000000000003</v>
      </c>
      <c r="KX12">
        <v>0.47199999999999998</v>
      </c>
      <c r="KY12">
        <v>5.9390000000000001</v>
      </c>
      <c r="KZ12">
        <v>6.4870000000000001</v>
      </c>
      <c r="LA12">
        <v>6.7880000000000003</v>
      </c>
      <c r="LB12">
        <v>7.1280000000000001</v>
      </c>
      <c r="LC12">
        <v>7.7679999999999998</v>
      </c>
      <c r="LD12">
        <v>1.004</v>
      </c>
      <c r="LE12">
        <v>560</v>
      </c>
      <c r="LJ12" t="s">
        <v>32</v>
      </c>
      <c r="LK12">
        <v>6.0810000000000004</v>
      </c>
      <c r="LL12">
        <v>0.309</v>
      </c>
      <c r="LM12">
        <v>5.53</v>
      </c>
      <c r="LN12">
        <v>5.8680000000000003</v>
      </c>
      <c r="LO12">
        <v>6.0590000000000002</v>
      </c>
      <c r="LP12">
        <v>6.2750000000000004</v>
      </c>
      <c r="LQ12">
        <v>6.7249999999999996</v>
      </c>
      <c r="LR12">
        <v>1.004</v>
      </c>
      <c r="LS12">
        <v>650</v>
      </c>
      <c r="LX12" t="s">
        <v>32</v>
      </c>
      <c r="LY12">
        <v>1.399</v>
      </c>
      <c r="LZ12">
        <v>1.7529999999999999</v>
      </c>
      <c r="MA12">
        <v>-2.5990000000000002</v>
      </c>
      <c r="MB12">
        <v>0.33900000000000002</v>
      </c>
      <c r="MC12">
        <v>1.667</v>
      </c>
      <c r="MD12">
        <v>2.7109999999999999</v>
      </c>
      <c r="ME12">
        <v>4.0970000000000004</v>
      </c>
      <c r="MF12">
        <v>1.698</v>
      </c>
      <c r="MG12">
        <v>6</v>
      </c>
      <c r="ML12" t="s">
        <v>32</v>
      </c>
      <c r="MM12">
        <v>7.133</v>
      </c>
      <c r="MN12">
        <v>0.42</v>
      </c>
      <c r="MO12">
        <v>6.3179999999999996</v>
      </c>
      <c r="MP12">
        <v>6.8419999999999996</v>
      </c>
      <c r="MQ12">
        <v>7.1340000000000003</v>
      </c>
      <c r="MR12">
        <v>7.4260000000000002</v>
      </c>
      <c r="MS12">
        <v>7.944</v>
      </c>
      <c r="MT12">
        <v>1.002</v>
      </c>
      <c r="MU12">
        <v>2800</v>
      </c>
      <c r="MZ12" t="s">
        <v>32</v>
      </c>
      <c r="NA12">
        <v>7.2190000000000003</v>
      </c>
      <c r="NB12">
        <v>0.38900000000000001</v>
      </c>
      <c r="NC12">
        <v>6.4420000000000002</v>
      </c>
      <c r="ND12">
        <v>6.9560000000000004</v>
      </c>
      <c r="NE12">
        <v>7.2270000000000003</v>
      </c>
      <c r="NF12">
        <v>7.4889999999999999</v>
      </c>
      <c r="NG12">
        <v>7.9580000000000002</v>
      </c>
      <c r="NH12">
        <v>1.0029999999999999</v>
      </c>
      <c r="NI12">
        <v>910</v>
      </c>
      <c r="NM12" t="s">
        <v>32</v>
      </c>
      <c r="NN12">
        <v>6.8</v>
      </c>
      <c r="NO12">
        <v>0.252</v>
      </c>
      <c r="NP12">
        <v>6.3710000000000004</v>
      </c>
      <c r="NQ12">
        <v>6.6189999999999998</v>
      </c>
      <c r="NR12">
        <v>6.7779999999999996</v>
      </c>
      <c r="NS12">
        <v>6.9560000000000004</v>
      </c>
      <c r="NT12">
        <v>7.343</v>
      </c>
      <c r="NU12">
        <v>1.0009999999999999</v>
      </c>
      <c r="NV12">
        <v>14000</v>
      </c>
      <c r="NY12" t="s">
        <v>32</v>
      </c>
      <c r="NZ12">
        <v>6.6260000000000003</v>
      </c>
      <c r="OA12">
        <v>0.24399999999999999</v>
      </c>
      <c r="OB12">
        <v>6.2169999999999996</v>
      </c>
      <c r="OC12">
        <v>6.452</v>
      </c>
      <c r="OD12">
        <v>6.601</v>
      </c>
      <c r="OE12">
        <v>6.7770000000000001</v>
      </c>
      <c r="OF12">
        <v>7.1660000000000004</v>
      </c>
      <c r="OG12">
        <v>1.0009999999999999</v>
      </c>
      <c r="OH12">
        <v>5200</v>
      </c>
      <c r="OP12" t="s">
        <v>32</v>
      </c>
      <c r="OQ12">
        <v>7.0069999999999997</v>
      </c>
      <c r="OR12">
        <v>0.30399999999999999</v>
      </c>
      <c r="OS12">
        <v>6.3769999999999998</v>
      </c>
      <c r="OT12">
        <v>6.8040000000000003</v>
      </c>
      <c r="OU12">
        <v>7.0330000000000004</v>
      </c>
      <c r="OV12">
        <v>7.2309999999999999</v>
      </c>
      <c r="OW12">
        <v>7.5359999999999996</v>
      </c>
      <c r="OX12">
        <v>1.014</v>
      </c>
      <c r="OY12">
        <v>190</v>
      </c>
      <c r="PB12" t="s">
        <v>32</v>
      </c>
      <c r="PC12">
        <v>7.2080000000000002</v>
      </c>
      <c r="PD12">
        <v>0.22900000000000001</v>
      </c>
      <c r="PE12">
        <v>6.7229999999999999</v>
      </c>
      <c r="PF12">
        <v>7.0609999999999999</v>
      </c>
      <c r="PG12">
        <v>7.226</v>
      </c>
      <c r="PH12">
        <v>7.3719999999999999</v>
      </c>
      <c r="PI12">
        <v>7.6050000000000004</v>
      </c>
      <c r="PJ12">
        <v>1.01</v>
      </c>
      <c r="PK12">
        <v>310</v>
      </c>
      <c r="PN12" t="s">
        <v>32</v>
      </c>
      <c r="PO12">
        <v>7.1109999999999998</v>
      </c>
      <c r="PP12">
        <v>0.20499999999999999</v>
      </c>
      <c r="PQ12">
        <v>6.681</v>
      </c>
      <c r="PR12">
        <v>6.9740000000000002</v>
      </c>
      <c r="PS12">
        <v>7.12</v>
      </c>
      <c r="PT12">
        <v>7.2530000000000001</v>
      </c>
      <c r="PU12">
        <v>7.4930000000000003</v>
      </c>
      <c r="PV12">
        <v>1.002</v>
      </c>
      <c r="PW12">
        <v>1000</v>
      </c>
      <c r="QA12" t="s">
        <v>32</v>
      </c>
      <c r="QB12">
        <v>6.3979999999999997</v>
      </c>
      <c r="QC12">
        <v>0.14599999999999999</v>
      </c>
      <c r="QD12">
        <v>6.1139999999999999</v>
      </c>
      <c r="QE12">
        <v>6.2969999999999997</v>
      </c>
      <c r="QF12">
        <v>6.4119999999999999</v>
      </c>
      <c r="QG12">
        <v>6.5060000000000002</v>
      </c>
      <c r="QH12">
        <v>6.6509999999999998</v>
      </c>
      <c r="QI12">
        <v>1.0900000000000001</v>
      </c>
      <c r="QJ12">
        <v>28</v>
      </c>
      <c r="QL12">
        <f t="shared" si="2"/>
        <v>0.71300000000000008</v>
      </c>
    </row>
    <row r="13" spans="1:454">
      <c r="A13" t="s">
        <v>33</v>
      </c>
      <c r="B13">
        <v>6.65</v>
      </c>
      <c r="C13">
        <v>1.075</v>
      </c>
      <c r="D13">
        <v>4.3150000000000004</v>
      </c>
      <c r="E13">
        <v>5.9770000000000003</v>
      </c>
      <c r="F13">
        <v>6.6589999999999998</v>
      </c>
      <c r="G13">
        <v>7.3860000000000001</v>
      </c>
      <c r="H13">
        <v>8.4949999999999992</v>
      </c>
      <c r="I13">
        <v>1.0189999999999999</v>
      </c>
      <c r="J13">
        <v>380</v>
      </c>
      <c r="O13" t="s">
        <v>33</v>
      </c>
      <c r="P13">
        <v>4.1820000000000004</v>
      </c>
      <c r="Q13">
        <v>1.74</v>
      </c>
      <c r="R13">
        <v>0.73199999999999998</v>
      </c>
      <c r="S13">
        <v>2.9289999999999998</v>
      </c>
      <c r="T13">
        <v>4.266</v>
      </c>
      <c r="U13">
        <v>5.5739999999999998</v>
      </c>
      <c r="V13">
        <v>7.1059999999999999</v>
      </c>
      <c r="W13">
        <v>1.002</v>
      </c>
      <c r="X13">
        <v>2400</v>
      </c>
      <c r="AC13" t="s">
        <v>33</v>
      </c>
      <c r="AD13">
        <v>6.3789999999999996</v>
      </c>
      <c r="AE13">
        <v>0.69599999999999995</v>
      </c>
      <c r="AF13">
        <v>4.8410000000000002</v>
      </c>
      <c r="AG13">
        <v>5.92</v>
      </c>
      <c r="AH13">
        <v>6.4809999999999999</v>
      </c>
      <c r="AI13">
        <v>6.9450000000000003</v>
      </c>
      <c r="AJ13">
        <v>7.343</v>
      </c>
      <c r="AK13">
        <v>1.0049999999999999</v>
      </c>
      <c r="AL13">
        <v>450</v>
      </c>
      <c r="AQ13" t="s">
        <v>33</v>
      </c>
      <c r="AR13">
        <v>6.5049999999999999</v>
      </c>
      <c r="AS13">
        <v>0.61499999999999999</v>
      </c>
      <c r="AT13">
        <v>5.1180000000000003</v>
      </c>
      <c r="AU13">
        <v>6.1230000000000002</v>
      </c>
      <c r="AV13">
        <v>6.6079999999999997</v>
      </c>
      <c r="AW13">
        <v>6.9980000000000002</v>
      </c>
      <c r="AX13">
        <v>7.3460000000000001</v>
      </c>
      <c r="AY13">
        <v>1.0009999999999999</v>
      </c>
      <c r="AZ13">
        <v>3000</v>
      </c>
      <c r="BE13" t="s">
        <v>33</v>
      </c>
      <c r="BF13">
        <v>6.6070000000000002</v>
      </c>
      <c r="BG13">
        <v>0.52</v>
      </c>
      <c r="BH13">
        <v>5.4509999999999996</v>
      </c>
      <c r="BI13">
        <v>6.274</v>
      </c>
      <c r="BJ13">
        <v>6.6820000000000004</v>
      </c>
      <c r="BK13">
        <v>7.024</v>
      </c>
      <c r="BL13">
        <v>7.343</v>
      </c>
      <c r="BM13">
        <v>1.002</v>
      </c>
      <c r="BN13">
        <v>1300</v>
      </c>
      <c r="BS13" t="s">
        <v>33</v>
      </c>
      <c r="BT13">
        <v>6.25</v>
      </c>
      <c r="BU13">
        <v>0.73099999999999998</v>
      </c>
      <c r="BV13">
        <v>4.6749999999999998</v>
      </c>
      <c r="BW13">
        <v>5.7510000000000003</v>
      </c>
      <c r="BX13">
        <v>6.3479999999999999</v>
      </c>
      <c r="BY13">
        <v>6.8380000000000001</v>
      </c>
      <c r="BZ13">
        <v>7.3280000000000003</v>
      </c>
      <c r="CA13">
        <v>1.0009999999999999</v>
      </c>
      <c r="CB13">
        <v>3000</v>
      </c>
      <c r="CG13" t="s">
        <v>33</v>
      </c>
      <c r="CH13">
        <v>6.5</v>
      </c>
      <c r="CI13">
        <v>0.57099999999999995</v>
      </c>
      <c r="CJ13">
        <v>5.2229999999999999</v>
      </c>
      <c r="CK13">
        <v>6.1289999999999996</v>
      </c>
      <c r="CL13">
        <v>6.5640000000000001</v>
      </c>
      <c r="CM13">
        <v>6.9589999999999996</v>
      </c>
      <c r="CN13">
        <v>7.3449999999999998</v>
      </c>
      <c r="CO13">
        <v>1.0009999999999999</v>
      </c>
      <c r="CP13">
        <v>2100</v>
      </c>
      <c r="CU13" t="s">
        <v>33</v>
      </c>
      <c r="CV13">
        <v>6.5620000000000003</v>
      </c>
      <c r="CW13">
        <v>0.63700000000000001</v>
      </c>
      <c r="CX13">
        <v>5.0999999999999996</v>
      </c>
      <c r="CY13">
        <v>6.1749999999999998</v>
      </c>
      <c r="CZ13">
        <v>6.6920000000000002</v>
      </c>
      <c r="DA13">
        <v>7.0860000000000003</v>
      </c>
      <c r="DB13">
        <v>7.3689999999999998</v>
      </c>
      <c r="DC13">
        <v>1.004</v>
      </c>
      <c r="DD13">
        <v>760</v>
      </c>
      <c r="DI13" t="s">
        <v>33</v>
      </c>
      <c r="DJ13">
        <v>6.3730000000000002</v>
      </c>
      <c r="DK13">
        <v>0.69099999999999995</v>
      </c>
      <c r="DL13">
        <v>4.9039999999999999</v>
      </c>
      <c r="DM13">
        <v>5.915</v>
      </c>
      <c r="DN13">
        <v>6.47</v>
      </c>
      <c r="DO13">
        <v>6.931</v>
      </c>
      <c r="DP13">
        <v>7.3390000000000004</v>
      </c>
      <c r="DQ13">
        <v>1.0029999999999999</v>
      </c>
      <c r="DR13">
        <v>780</v>
      </c>
      <c r="DY13" t="s">
        <v>33</v>
      </c>
      <c r="DZ13">
        <v>6.4119999999999999</v>
      </c>
      <c r="EA13">
        <v>0.67600000000000005</v>
      </c>
      <c r="EB13">
        <v>4.9000000000000004</v>
      </c>
      <c r="EC13">
        <v>5.9749999999999996</v>
      </c>
      <c r="ED13">
        <v>6.5049999999999999</v>
      </c>
      <c r="EE13">
        <v>6.97</v>
      </c>
      <c r="EF13">
        <v>7.3380000000000001</v>
      </c>
      <c r="EG13">
        <v>1.002</v>
      </c>
      <c r="EH13">
        <v>1000</v>
      </c>
      <c r="EK13" t="s">
        <v>33</v>
      </c>
      <c r="EL13">
        <v>5.274</v>
      </c>
      <c r="EM13">
        <v>0.82799999999999996</v>
      </c>
      <c r="EN13">
        <v>3.7410000000000001</v>
      </c>
      <c r="EO13">
        <v>4.7350000000000003</v>
      </c>
      <c r="EP13">
        <v>5.2149999999999999</v>
      </c>
      <c r="EQ13">
        <v>5.8140000000000001</v>
      </c>
      <c r="ER13">
        <v>7.02</v>
      </c>
      <c r="ES13">
        <v>1.002</v>
      </c>
      <c r="ET13">
        <v>1000</v>
      </c>
      <c r="EY13" t="s">
        <v>33</v>
      </c>
      <c r="EZ13">
        <v>5.8719999999999999</v>
      </c>
      <c r="FA13">
        <v>0.72499999999999998</v>
      </c>
      <c r="FB13">
        <v>4.4139999999999997</v>
      </c>
      <c r="FC13">
        <v>5.351</v>
      </c>
      <c r="FD13">
        <v>5.8929999999999998</v>
      </c>
      <c r="FE13">
        <v>6.41</v>
      </c>
      <c r="FF13">
        <v>7.1849999999999996</v>
      </c>
      <c r="FG13">
        <v>1.0009999999999999</v>
      </c>
      <c r="FH13">
        <v>3000</v>
      </c>
      <c r="FM13" t="s">
        <v>186</v>
      </c>
      <c r="FN13">
        <v>7.3289999999999997</v>
      </c>
      <c r="FO13">
        <v>4.3999999999999997E-2</v>
      </c>
      <c r="FP13">
        <v>7.218</v>
      </c>
      <c r="FQ13">
        <v>7.306</v>
      </c>
      <c r="FR13">
        <v>7.3410000000000002</v>
      </c>
      <c r="FS13">
        <v>7.3630000000000004</v>
      </c>
      <c r="FT13">
        <v>7.3789999999999996</v>
      </c>
      <c r="FU13">
        <v>1.0009999999999999</v>
      </c>
      <c r="FV13">
        <v>3000</v>
      </c>
      <c r="GA13" t="s">
        <v>33</v>
      </c>
      <c r="GB13">
        <v>6.6260000000000003</v>
      </c>
      <c r="GC13">
        <v>0.44500000000000001</v>
      </c>
      <c r="GD13">
        <v>5.6589999999999998</v>
      </c>
      <c r="GE13">
        <v>6.3220000000000001</v>
      </c>
      <c r="GF13">
        <v>6.6689999999999996</v>
      </c>
      <c r="GG13">
        <v>6.9790000000000001</v>
      </c>
      <c r="GH13">
        <v>7.3150000000000004</v>
      </c>
      <c r="GI13">
        <v>1.002</v>
      </c>
      <c r="GJ13">
        <v>1100</v>
      </c>
      <c r="GO13" t="s">
        <v>33</v>
      </c>
      <c r="GP13">
        <v>5.8639999999999999</v>
      </c>
      <c r="GQ13">
        <v>0.745</v>
      </c>
      <c r="GR13">
        <v>4.3680000000000003</v>
      </c>
      <c r="GS13">
        <v>5.3460000000000001</v>
      </c>
      <c r="GT13">
        <v>5.8739999999999997</v>
      </c>
      <c r="GU13">
        <v>6.42</v>
      </c>
      <c r="GV13">
        <v>7.2080000000000002</v>
      </c>
      <c r="GW13">
        <v>1.0049999999999999</v>
      </c>
      <c r="GX13">
        <v>430</v>
      </c>
      <c r="HC13" t="s">
        <v>33</v>
      </c>
      <c r="HD13">
        <v>5.923</v>
      </c>
      <c r="HE13">
        <v>0.71499999999999997</v>
      </c>
      <c r="HF13">
        <v>4.548</v>
      </c>
      <c r="HG13">
        <v>5.4160000000000004</v>
      </c>
      <c r="HH13">
        <v>5.9329999999999998</v>
      </c>
      <c r="HI13">
        <v>6.4480000000000004</v>
      </c>
      <c r="HJ13">
        <v>7.226</v>
      </c>
      <c r="HK13">
        <v>1.0009999999999999</v>
      </c>
      <c r="HL13">
        <v>3000</v>
      </c>
      <c r="HP13" s="7"/>
      <c r="HQ13" s="7" t="s">
        <v>33</v>
      </c>
      <c r="HR13" s="7">
        <v>5.73</v>
      </c>
      <c r="HS13" s="7">
        <v>0.70799999999999996</v>
      </c>
      <c r="HT13" s="7">
        <v>4.4249999999999998</v>
      </c>
      <c r="HU13" s="7">
        <v>5.2190000000000003</v>
      </c>
      <c r="HV13" s="7">
        <v>5.694</v>
      </c>
      <c r="HW13" s="7">
        <v>6.2210000000000001</v>
      </c>
      <c r="HX13" s="7">
        <v>7.1349999999999998</v>
      </c>
      <c r="HY13" s="7">
        <v>1.0009999999999999</v>
      </c>
      <c r="HZ13" s="7">
        <v>3000</v>
      </c>
      <c r="IA13" s="7"/>
      <c r="IE13" t="s">
        <v>33</v>
      </c>
      <c r="IF13">
        <v>6.3719999999999999</v>
      </c>
      <c r="IG13">
        <v>0.47699999999999998</v>
      </c>
      <c r="IH13">
        <v>5.4249999999999998</v>
      </c>
      <c r="II13">
        <v>6.0389999999999997</v>
      </c>
      <c r="IJ13">
        <v>6.3579999999999997</v>
      </c>
      <c r="IK13">
        <v>6.7270000000000003</v>
      </c>
      <c r="IL13">
        <v>7.2709999999999999</v>
      </c>
      <c r="IM13">
        <v>1.002</v>
      </c>
      <c r="IN13">
        <v>1600</v>
      </c>
      <c r="IS13" t="s">
        <v>33</v>
      </c>
      <c r="IT13">
        <v>6.3760000000000003</v>
      </c>
      <c r="IU13">
        <v>0.47899999999999998</v>
      </c>
      <c r="IV13">
        <v>5.4429999999999996</v>
      </c>
      <c r="IW13">
        <v>6.0380000000000003</v>
      </c>
      <c r="IX13">
        <v>6.3689999999999998</v>
      </c>
      <c r="IY13">
        <v>6.7249999999999996</v>
      </c>
      <c r="IZ13">
        <v>7.2649999999999997</v>
      </c>
      <c r="JA13">
        <v>1.004</v>
      </c>
      <c r="JB13">
        <v>520</v>
      </c>
      <c r="JF13" t="s">
        <v>33</v>
      </c>
      <c r="JG13">
        <v>6.0270000000000001</v>
      </c>
      <c r="JH13">
        <v>0.63300000000000001</v>
      </c>
      <c r="JI13">
        <v>4.8049999999999997</v>
      </c>
      <c r="JJ13">
        <v>5.5880000000000001</v>
      </c>
      <c r="JK13">
        <v>6.016</v>
      </c>
      <c r="JL13">
        <v>6.4770000000000003</v>
      </c>
      <c r="JM13">
        <v>7.2249999999999996</v>
      </c>
      <c r="JN13">
        <v>1.0009999999999999</v>
      </c>
      <c r="JO13">
        <v>3000</v>
      </c>
      <c r="JT13" t="s">
        <v>33</v>
      </c>
      <c r="JU13">
        <v>5.9379999999999997</v>
      </c>
      <c r="JV13">
        <v>0.68100000000000005</v>
      </c>
      <c r="JW13">
        <v>4.6509999999999998</v>
      </c>
      <c r="JX13">
        <v>5.4359999999999999</v>
      </c>
      <c r="JY13">
        <v>5.9420000000000002</v>
      </c>
      <c r="JZ13">
        <v>6.4379999999999997</v>
      </c>
      <c r="KA13">
        <v>7.1980000000000004</v>
      </c>
      <c r="KB13">
        <v>1.0009999999999999</v>
      </c>
      <c r="KC13">
        <v>3000</v>
      </c>
      <c r="KH13" t="s">
        <v>33</v>
      </c>
      <c r="KI13">
        <v>5.9219999999999997</v>
      </c>
      <c r="KJ13">
        <v>0.68</v>
      </c>
      <c r="KK13">
        <v>4.6669999999999998</v>
      </c>
      <c r="KL13">
        <v>5.415</v>
      </c>
      <c r="KM13">
        <v>5.899</v>
      </c>
      <c r="KN13">
        <v>6.4219999999999997</v>
      </c>
      <c r="KO13">
        <v>7.21</v>
      </c>
      <c r="KP13">
        <v>1.002</v>
      </c>
      <c r="KQ13">
        <v>1400</v>
      </c>
      <c r="KR13">
        <f t="shared" si="0"/>
        <v>373.15728262415956</v>
      </c>
      <c r="KS13">
        <f t="shared" si="1"/>
        <v>1807.7815884090662</v>
      </c>
      <c r="KV13" t="s">
        <v>33</v>
      </c>
      <c r="KW13">
        <v>6.8570000000000002</v>
      </c>
      <c r="KX13">
        <v>0.52</v>
      </c>
      <c r="KY13">
        <v>5.8890000000000002</v>
      </c>
      <c r="KZ13">
        <v>6.4950000000000001</v>
      </c>
      <c r="LA13">
        <v>6.8220000000000001</v>
      </c>
      <c r="LB13">
        <v>7.2009999999999996</v>
      </c>
      <c r="LC13">
        <v>7.9029999999999996</v>
      </c>
      <c r="LD13">
        <v>1.004</v>
      </c>
      <c r="LE13">
        <v>630</v>
      </c>
      <c r="LJ13" t="s">
        <v>33</v>
      </c>
      <c r="LK13">
        <v>6.1059999999999999</v>
      </c>
      <c r="LL13">
        <v>0.33500000000000002</v>
      </c>
      <c r="LM13">
        <v>5.5140000000000002</v>
      </c>
      <c r="LN13">
        <v>5.8780000000000001</v>
      </c>
      <c r="LO13">
        <v>6.0819999999999999</v>
      </c>
      <c r="LP13">
        <v>6.3120000000000003</v>
      </c>
      <c r="LQ13">
        <v>6.81</v>
      </c>
      <c r="LR13">
        <v>1.0029999999999999</v>
      </c>
      <c r="LS13">
        <v>690</v>
      </c>
      <c r="LX13" t="s">
        <v>33</v>
      </c>
      <c r="LY13">
        <v>1.175</v>
      </c>
      <c r="LZ13">
        <v>2.081</v>
      </c>
      <c r="MA13">
        <v>-3.6160000000000001</v>
      </c>
      <c r="MB13">
        <v>-8.5000000000000006E-2</v>
      </c>
      <c r="MC13">
        <v>1.466</v>
      </c>
      <c r="MD13">
        <v>2.7530000000000001</v>
      </c>
      <c r="ME13">
        <v>4.343</v>
      </c>
      <c r="MF13">
        <v>1.794</v>
      </c>
      <c r="MG13">
        <v>6</v>
      </c>
      <c r="ML13" t="s">
        <v>33</v>
      </c>
      <c r="MM13">
        <v>7.1970000000000001</v>
      </c>
      <c r="MN13">
        <v>0.46600000000000003</v>
      </c>
      <c r="MO13">
        <v>6.3029999999999999</v>
      </c>
      <c r="MP13">
        <v>6.8739999999999997</v>
      </c>
      <c r="MQ13">
        <v>7.1929999999999996</v>
      </c>
      <c r="MR13">
        <v>7.5170000000000003</v>
      </c>
      <c r="MS13">
        <v>8.1150000000000002</v>
      </c>
      <c r="MT13">
        <v>1.002</v>
      </c>
      <c r="MU13">
        <v>3000</v>
      </c>
      <c r="MZ13" t="s">
        <v>33</v>
      </c>
      <c r="NA13">
        <v>7.2880000000000003</v>
      </c>
      <c r="NB13">
        <v>0.435</v>
      </c>
      <c r="NC13">
        <v>6.4340000000000002</v>
      </c>
      <c r="ND13">
        <v>6.9960000000000004</v>
      </c>
      <c r="NE13">
        <v>7.2859999999999996</v>
      </c>
      <c r="NF13">
        <v>7.593</v>
      </c>
      <c r="NG13">
        <v>8.1300000000000008</v>
      </c>
      <c r="NH13">
        <v>1.0029999999999999</v>
      </c>
      <c r="NI13">
        <v>960</v>
      </c>
      <c r="NM13" t="s">
        <v>33</v>
      </c>
      <c r="NN13">
        <v>6.7750000000000004</v>
      </c>
      <c r="NO13">
        <v>0.27400000000000002</v>
      </c>
      <c r="NP13">
        <v>6.3170000000000002</v>
      </c>
      <c r="NQ13">
        <v>6.5830000000000002</v>
      </c>
      <c r="NR13">
        <v>6.7469999999999999</v>
      </c>
      <c r="NS13">
        <v>6.9390000000000001</v>
      </c>
      <c r="NT13">
        <v>7.3789999999999996</v>
      </c>
      <c r="NU13">
        <v>1.0009999999999999</v>
      </c>
      <c r="NV13">
        <v>16000</v>
      </c>
      <c r="NY13" t="s">
        <v>33</v>
      </c>
      <c r="NZ13">
        <v>6.5960000000000001</v>
      </c>
      <c r="OA13">
        <v>0.25900000000000001</v>
      </c>
      <c r="OB13">
        <v>6.1619999999999999</v>
      </c>
      <c r="OC13">
        <v>6.4119999999999999</v>
      </c>
      <c r="OD13">
        <v>6.569</v>
      </c>
      <c r="OE13">
        <v>6.7510000000000003</v>
      </c>
      <c r="OF13">
        <v>7.1689999999999996</v>
      </c>
      <c r="OG13">
        <v>1.0009999999999999</v>
      </c>
      <c r="OH13">
        <v>5700</v>
      </c>
      <c r="OP13" t="s">
        <v>33</v>
      </c>
      <c r="OQ13">
        <v>7.008</v>
      </c>
      <c r="OR13">
        <v>0.32700000000000001</v>
      </c>
      <c r="OS13">
        <v>6.3209999999999997</v>
      </c>
      <c r="OT13">
        <v>6.7869999999999999</v>
      </c>
      <c r="OU13">
        <v>7.0330000000000004</v>
      </c>
      <c r="OV13">
        <v>7.242</v>
      </c>
      <c r="OW13">
        <v>7.5910000000000002</v>
      </c>
      <c r="OX13">
        <v>1.012</v>
      </c>
      <c r="OY13">
        <v>220</v>
      </c>
      <c r="PB13" t="s">
        <v>33</v>
      </c>
      <c r="PC13">
        <v>7.2210000000000001</v>
      </c>
      <c r="PD13">
        <v>0.253</v>
      </c>
      <c r="PE13">
        <v>6.6829999999999998</v>
      </c>
      <c r="PF13">
        <v>7.0570000000000004</v>
      </c>
      <c r="PG13">
        <v>7.2370000000000001</v>
      </c>
      <c r="PH13">
        <v>7.3979999999999997</v>
      </c>
      <c r="PI13">
        <v>7.6790000000000003</v>
      </c>
      <c r="PJ13">
        <v>1.0089999999999999</v>
      </c>
      <c r="PK13">
        <v>330</v>
      </c>
      <c r="PN13" t="s">
        <v>33</v>
      </c>
      <c r="PO13">
        <v>7.0880000000000001</v>
      </c>
      <c r="PP13">
        <v>0.24299999999999999</v>
      </c>
      <c r="PQ13">
        <v>6.5960000000000001</v>
      </c>
      <c r="PR13">
        <v>6.9279999999999999</v>
      </c>
      <c r="PS13">
        <v>7.0890000000000004</v>
      </c>
      <c r="PT13">
        <v>7.2510000000000003</v>
      </c>
      <c r="PU13">
        <v>7.5590000000000002</v>
      </c>
      <c r="PV13">
        <v>1.002</v>
      </c>
      <c r="PW13">
        <v>1000</v>
      </c>
      <c r="QA13" t="s">
        <v>33</v>
      </c>
      <c r="QB13">
        <v>6.4530000000000003</v>
      </c>
      <c r="QC13">
        <v>0.152</v>
      </c>
      <c r="QD13">
        <v>6.1529999999999996</v>
      </c>
      <c r="QE13">
        <v>6.3470000000000004</v>
      </c>
      <c r="QF13">
        <v>6.4690000000000003</v>
      </c>
      <c r="QG13">
        <v>6.5659999999999998</v>
      </c>
      <c r="QH13">
        <v>6.7130000000000001</v>
      </c>
      <c r="QI13">
        <v>1.1040000000000001</v>
      </c>
      <c r="QJ13">
        <v>24</v>
      </c>
      <c r="QL13">
        <f t="shared" si="2"/>
        <v>0.63499999999999979</v>
      </c>
    </row>
    <row r="14" spans="1:454">
      <c r="A14" t="s">
        <v>34</v>
      </c>
      <c r="B14">
        <v>6.8869999999999996</v>
      </c>
      <c r="C14">
        <v>0.99399999999999999</v>
      </c>
      <c r="D14">
        <v>4.984</v>
      </c>
      <c r="E14">
        <v>6.21</v>
      </c>
      <c r="F14">
        <v>6.923</v>
      </c>
      <c r="G14">
        <v>7.548</v>
      </c>
      <c r="H14">
        <v>8.8209999999999997</v>
      </c>
      <c r="I14">
        <v>1.006</v>
      </c>
      <c r="J14">
        <v>850</v>
      </c>
      <c r="O14" t="s">
        <v>34</v>
      </c>
      <c r="P14">
        <v>4.6399999999999997</v>
      </c>
      <c r="Q14">
        <v>1.623</v>
      </c>
      <c r="R14">
        <v>1.1539999999999999</v>
      </c>
      <c r="S14">
        <v>3.5270000000000001</v>
      </c>
      <c r="T14">
        <v>4.7789999999999999</v>
      </c>
      <c r="U14">
        <v>5.915</v>
      </c>
      <c r="V14">
        <v>7.181</v>
      </c>
      <c r="W14">
        <v>1.01</v>
      </c>
      <c r="X14">
        <v>360</v>
      </c>
      <c r="AC14" t="s">
        <v>34</v>
      </c>
      <c r="AD14">
        <v>6.4260000000000002</v>
      </c>
      <c r="AE14">
        <v>0.61899999999999999</v>
      </c>
      <c r="AF14">
        <v>5.109</v>
      </c>
      <c r="AG14">
        <v>6.0010000000000003</v>
      </c>
      <c r="AH14">
        <v>6.4930000000000003</v>
      </c>
      <c r="AI14">
        <v>6.9260000000000002</v>
      </c>
      <c r="AJ14">
        <v>7.335</v>
      </c>
      <c r="AK14">
        <v>1.004</v>
      </c>
      <c r="AL14">
        <v>570</v>
      </c>
      <c r="AQ14" t="s">
        <v>34</v>
      </c>
      <c r="AR14">
        <v>6.4340000000000002</v>
      </c>
      <c r="AS14">
        <v>0.60099999999999998</v>
      </c>
      <c r="AT14">
        <v>5.0869999999999997</v>
      </c>
      <c r="AU14">
        <v>6.0529999999999999</v>
      </c>
      <c r="AV14">
        <v>6.5069999999999997</v>
      </c>
      <c r="AW14">
        <v>6.9</v>
      </c>
      <c r="AX14">
        <v>7.327</v>
      </c>
      <c r="AY14">
        <v>1.0009999999999999</v>
      </c>
      <c r="AZ14">
        <v>3000</v>
      </c>
      <c r="BE14" t="s">
        <v>34</v>
      </c>
      <c r="BF14">
        <v>5.8310000000000004</v>
      </c>
      <c r="BG14">
        <v>0.65300000000000002</v>
      </c>
      <c r="BH14">
        <v>4.5780000000000003</v>
      </c>
      <c r="BI14">
        <v>5.3840000000000003</v>
      </c>
      <c r="BJ14">
        <v>5.8319999999999999</v>
      </c>
      <c r="BK14">
        <v>6.28</v>
      </c>
      <c r="BL14">
        <v>7.0960000000000001</v>
      </c>
      <c r="BM14">
        <v>1.014</v>
      </c>
      <c r="BN14">
        <v>150</v>
      </c>
      <c r="BS14" t="s">
        <v>34</v>
      </c>
      <c r="BT14">
        <v>6.42</v>
      </c>
      <c r="BU14">
        <v>0.61799999999999999</v>
      </c>
      <c r="BV14">
        <v>5.0419999999999998</v>
      </c>
      <c r="BW14">
        <v>6.0039999999999996</v>
      </c>
      <c r="BX14">
        <v>6.49</v>
      </c>
      <c r="BY14">
        <v>6.9169999999999998</v>
      </c>
      <c r="BZ14">
        <v>7.3330000000000002</v>
      </c>
      <c r="CA14">
        <v>1.0029999999999999</v>
      </c>
      <c r="CB14">
        <v>890</v>
      </c>
      <c r="CG14" t="s">
        <v>34</v>
      </c>
      <c r="CH14">
        <v>5.8209999999999997</v>
      </c>
      <c r="CI14">
        <v>0.68600000000000005</v>
      </c>
      <c r="CJ14">
        <v>4.4690000000000003</v>
      </c>
      <c r="CK14">
        <v>5.35</v>
      </c>
      <c r="CL14">
        <v>5.8179999999999996</v>
      </c>
      <c r="CM14">
        <v>6.3129999999999997</v>
      </c>
      <c r="CN14">
        <v>7.1150000000000002</v>
      </c>
      <c r="CO14">
        <v>1.004</v>
      </c>
      <c r="CP14">
        <v>630</v>
      </c>
      <c r="CU14" t="s">
        <v>34</v>
      </c>
      <c r="CV14">
        <v>6.415</v>
      </c>
      <c r="CW14">
        <v>0.59699999999999998</v>
      </c>
      <c r="CX14">
        <v>5.069</v>
      </c>
      <c r="CY14">
        <v>6.0460000000000003</v>
      </c>
      <c r="CZ14">
        <v>6.476</v>
      </c>
      <c r="DA14">
        <v>6.8710000000000004</v>
      </c>
      <c r="DB14">
        <v>7.327</v>
      </c>
      <c r="DC14">
        <v>1.002</v>
      </c>
      <c r="DD14">
        <v>1600</v>
      </c>
      <c r="DI14" t="s">
        <v>34</v>
      </c>
      <c r="DJ14">
        <v>6.431</v>
      </c>
      <c r="DK14">
        <v>0.60899999999999999</v>
      </c>
      <c r="DL14">
        <v>5.085</v>
      </c>
      <c r="DM14">
        <v>6.0359999999999996</v>
      </c>
      <c r="DN14">
        <v>6.5039999999999996</v>
      </c>
      <c r="DO14">
        <v>6.9180000000000001</v>
      </c>
      <c r="DP14">
        <v>7.327</v>
      </c>
      <c r="DQ14">
        <v>1.0009999999999999</v>
      </c>
      <c r="DR14">
        <v>3000</v>
      </c>
      <c r="DY14" t="s">
        <v>34</v>
      </c>
      <c r="DZ14">
        <v>6.4169999999999998</v>
      </c>
      <c r="EA14">
        <v>0.61</v>
      </c>
      <c r="EB14">
        <v>5.1180000000000003</v>
      </c>
      <c r="EC14">
        <v>6.0049999999999999</v>
      </c>
      <c r="ED14">
        <v>6.476</v>
      </c>
      <c r="EE14">
        <v>6.9130000000000003</v>
      </c>
      <c r="EF14">
        <v>7.3310000000000004</v>
      </c>
      <c r="EG14">
        <v>1.0009999999999999</v>
      </c>
      <c r="EH14">
        <v>3000</v>
      </c>
      <c r="EK14" t="s">
        <v>34</v>
      </c>
      <c r="EL14">
        <v>6.1929999999999996</v>
      </c>
      <c r="EM14">
        <v>0.56899999999999995</v>
      </c>
      <c r="EN14">
        <v>5.03</v>
      </c>
      <c r="EO14">
        <v>5.8029999999999999</v>
      </c>
      <c r="EP14">
        <v>6.21</v>
      </c>
      <c r="EQ14">
        <v>6.601</v>
      </c>
      <c r="ER14">
        <v>7.2460000000000004</v>
      </c>
      <c r="ES14">
        <v>1.006</v>
      </c>
      <c r="ET14">
        <v>360</v>
      </c>
      <c r="EY14" t="s">
        <v>34</v>
      </c>
      <c r="EZ14">
        <v>6.5359999999999996</v>
      </c>
      <c r="FA14">
        <v>0.58799999999999997</v>
      </c>
      <c r="FB14">
        <v>5.2160000000000002</v>
      </c>
      <c r="FC14">
        <v>6.1589999999999998</v>
      </c>
      <c r="FD14">
        <v>6.6239999999999997</v>
      </c>
      <c r="FE14">
        <v>7.008</v>
      </c>
      <c r="FF14">
        <v>7.3419999999999996</v>
      </c>
      <c r="FG14">
        <v>1.0009999999999999</v>
      </c>
      <c r="FH14">
        <v>3000</v>
      </c>
      <c r="FM14" t="s">
        <v>187</v>
      </c>
      <c r="FN14">
        <v>3.331</v>
      </c>
      <c r="FO14">
        <v>0.66400000000000003</v>
      </c>
      <c r="FP14">
        <v>1.9039999999999999</v>
      </c>
      <c r="FQ14">
        <v>2.9</v>
      </c>
      <c r="FR14">
        <v>3.3929999999999998</v>
      </c>
      <c r="FS14">
        <v>3.8210000000000002</v>
      </c>
      <c r="FT14">
        <v>4.4420000000000002</v>
      </c>
      <c r="FU14">
        <v>1.024</v>
      </c>
      <c r="FV14">
        <v>140</v>
      </c>
      <c r="GA14" t="s">
        <v>34</v>
      </c>
      <c r="GB14">
        <v>6.8949999999999996</v>
      </c>
      <c r="GC14">
        <v>0.35399999999999998</v>
      </c>
      <c r="GD14">
        <v>6.09</v>
      </c>
      <c r="GE14">
        <v>6.6779999999999999</v>
      </c>
      <c r="GF14">
        <v>6.9669999999999996</v>
      </c>
      <c r="GG14">
        <v>7.18</v>
      </c>
      <c r="GH14">
        <v>7.3579999999999997</v>
      </c>
      <c r="GI14">
        <v>1.0009999999999999</v>
      </c>
      <c r="GJ14">
        <v>2700</v>
      </c>
      <c r="GO14" t="s">
        <v>34</v>
      </c>
      <c r="GP14">
        <v>6.5289999999999999</v>
      </c>
      <c r="GQ14">
        <v>0.59099999999999997</v>
      </c>
      <c r="GR14">
        <v>5.2110000000000003</v>
      </c>
      <c r="GS14">
        <v>6.125</v>
      </c>
      <c r="GT14">
        <v>6.6269999999999998</v>
      </c>
      <c r="GU14">
        <v>7.0129999999999999</v>
      </c>
      <c r="GV14">
        <v>7.3460000000000001</v>
      </c>
      <c r="GW14">
        <v>1.0009999999999999</v>
      </c>
      <c r="GX14">
        <v>2000</v>
      </c>
      <c r="HC14" t="s">
        <v>34</v>
      </c>
      <c r="HD14">
        <v>6.5229999999999997</v>
      </c>
      <c r="HE14">
        <v>0.58599999999999997</v>
      </c>
      <c r="HF14">
        <v>5.2140000000000004</v>
      </c>
      <c r="HG14">
        <v>6.1459999999999999</v>
      </c>
      <c r="HH14">
        <v>6.6189999999999998</v>
      </c>
      <c r="HI14">
        <v>6.9909999999999997</v>
      </c>
      <c r="HJ14">
        <v>7.3410000000000002</v>
      </c>
      <c r="HK14">
        <v>1.002</v>
      </c>
      <c r="HL14">
        <v>1900</v>
      </c>
      <c r="HP14" s="7"/>
      <c r="HQ14" s="7" t="s">
        <v>34</v>
      </c>
      <c r="HR14" s="7">
        <v>6.3879999999999999</v>
      </c>
      <c r="HS14" s="7">
        <v>0.624</v>
      </c>
      <c r="HT14" s="7">
        <v>5.0739999999999998</v>
      </c>
      <c r="HU14" s="7">
        <v>5.9450000000000003</v>
      </c>
      <c r="HV14" s="7">
        <v>6.45</v>
      </c>
      <c r="HW14" s="7">
        <v>6.891</v>
      </c>
      <c r="HX14" s="7">
        <v>7.327</v>
      </c>
      <c r="HY14" s="7">
        <v>1.002</v>
      </c>
      <c r="HZ14" s="7">
        <v>1500</v>
      </c>
      <c r="IA14" s="7"/>
      <c r="IE14" t="s">
        <v>34</v>
      </c>
      <c r="IF14">
        <v>6.9630000000000001</v>
      </c>
      <c r="IG14">
        <v>0.312</v>
      </c>
      <c r="IH14">
        <v>6.2670000000000003</v>
      </c>
      <c r="II14">
        <v>6.77</v>
      </c>
      <c r="IJ14">
        <v>7.0250000000000004</v>
      </c>
      <c r="IK14">
        <v>7.2190000000000003</v>
      </c>
      <c r="IL14">
        <v>7.3630000000000004</v>
      </c>
      <c r="IM14">
        <v>1.002</v>
      </c>
      <c r="IN14">
        <v>3000</v>
      </c>
      <c r="IS14" t="s">
        <v>34</v>
      </c>
      <c r="IT14">
        <v>6.9729999999999999</v>
      </c>
      <c r="IU14">
        <v>0.313</v>
      </c>
      <c r="IV14">
        <v>6.2080000000000002</v>
      </c>
      <c r="IW14">
        <v>6.7779999999999996</v>
      </c>
      <c r="IX14">
        <v>7.04</v>
      </c>
      <c r="IY14">
        <v>7.2320000000000002</v>
      </c>
      <c r="IZ14">
        <v>7.3659999999999997</v>
      </c>
      <c r="JA14">
        <v>1.002</v>
      </c>
      <c r="JB14">
        <v>1500</v>
      </c>
      <c r="JF14" t="s">
        <v>34</v>
      </c>
      <c r="JG14">
        <v>6.5890000000000004</v>
      </c>
      <c r="JH14">
        <v>0.53300000000000003</v>
      </c>
      <c r="JI14">
        <v>5.36</v>
      </c>
      <c r="JJ14">
        <v>6.2590000000000003</v>
      </c>
      <c r="JK14">
        <v>6.66</v>
      </c>
      <c r="JL14">
        <v>7.0149999999999997</v>
      </c>
      <c r="JM14">
        <v>7.3419999999999996</v>
      </c>
      <c r="JN14">
        <v>1.0009999999999999</v>
      </c>
      <c r="JO14">
        <v>2900</v>
      </c>
      <c r="JT14" t="s">
        <v>34</v>
      </c>
      <c r="JU14">
        <v>6.5679999999999996</v>
      </c>
      <c r="JV14">
        <v>0.53600000000000003</v>
      </c>
      <c r="JW14">
        <v>5.3959999999999999</v>
      </c>
      <c r="JX14">
        <v>6.2169999999999996</v>
      </c>
      <c r="JY14">
        <v>6.6449999999999996</v>
      </c>
      <c r="JZ14">
        <v>6.9980000000000002</v>
      </c>
      <c r="KA14">
        <v>7.3380000000000001</v>
      </c>
      <c r="KB14">
        <v>1.0009999999999999</v>
      </c>
      <c r="KC14">
        <v>3000</v>
      </c>
      <c r="KH14" t="s">
        <v>34</v>
      </c>
      <c r="KI14">
        <v>6.5970000000000004</v>
      </c>
      <c r="KJ14">
        <v>0.52800000000000002</v>
      </c>
      <c r="KK14">
        <v>5.4020000000000001</v>
      </c>
      <c r="KL14">
        <v>6.2549999999999999</v>
      </c>
      <c r="KM14">
        <v>6.6660000000000004</v>
      </c>
      <c r="KN14">
        <v>7.0350000000000001</v>
      </c>
      <c r="KO14">
        <v>7.343</v>
      </c>
      <c r="KP14">
        <v>1.0029999999999999</v>
      </c>
      <c r="KQ14">
        <v>710</v>
      </c>
      <c r="KR14">
        <f t="shared" si="0"/>
        <v>732.89320829714995</v>
      </c>
      <c r="KS14">
        <f t="shared" si="1"/>
        <v>2291.3135617399071</v>
      </c>
      <c r="KV14" t="s">
        <v>34</v>
      </c>
      <c r="KW14">
        <v>6.39</v>
      </c>
      <c r="KX14">
        <v>0.504</v>
      </c>
      <c r="KY14">
        <v>5.4450000000000003</v>
      </c>
      <c r="KZ14">
        <v>6.0439999999999996</v>
      </c>
      <c r="LA14">
        <v>6.3710000000000004</v>
      </c>
      <c r="LB14">
        <v>6.71</v>
      </c>
      <c r="LC14">
        <v>7.4119999999999999</v>
      </c>
      <c r="LD14">
        <v>1.004</v>
      </c>
      <c r="LE14">
        <v>520</v>
      </c>
      <c r="LJ14" t="s">
        <v>34</v>
      </c>
      <c r="LK14">
        <v>5.8520000000000003</v>
      </c>
      <c r="LL14">
        <v>0.34399999999999997</v>
      </c>
      <c r="LM14">
        <v>5.2249999999999996</v>
      </c>
      <c r="LN14">
        <v>5.6120000000000001</v>
      </c>
      <c r="LO14">
        <v>5.8390000000000004</v>
      </c>
      <c r="LP14">
        <v>6.077</v>
      </c>
      <c r="LQ14">
        <v>6.57</v>
      </c>
      <c r="LR14">
        <v>1.002</v>
      </c>
      <c r="LS14">
        <v>1400</v>
      </c>
      <c r="LX14" t="s">
        <v>34</v>
      </c>
      <c r="LY14">
        <v>3.5169999999999999</v>
      </c>
      <c r="LZ14">
        <v>1.992</v>
      </c>
      <c r="MA14">
        <v>-0.26</v>
      </c>
      <c r="MB14">
        <v>2.1040000000000001</v>
      </c>
      <c r="MC14">
        <v>3.4820000000000002</v>
      </c>
      <c r="MD14">
        <v>4.9269999999999996</v>
      </c>
      <c r="ME14">
        <v>7.4189999999999996</v>
      </c>
      <c r="MF14">
        <v>1.9810000000000001</v>
      </c>
      <c r="MG14">
        <v>5</v>
      </c>
      <c r="ML14" t="s">
        <v>34</v>
      </c>
      <c r="MM14">
        <v>6.5309999999999997</v>
      </c>
      <c r="MN14">
        <v>0.437</v>
      </c>
      <c r="MO14">
        <v>5.6950000000000003</v>
      </c>
      <c r="MP14">
        <v>6.2290000000000001</v>
      </c>
      <c r="MQ14">
        <v>6.524</v>
      </c>
      <c r="MR14">
        <v>6.8259999999999996</v>
      </c>
      <c r="MS14">
        <v>7.4009999999999998</v>
      </c>
      <c r="MT14">
        <v>1.0009999999999999</v>
      </c>
      <c r="MU14">
        <v>34000</v>
      </c>
      <c r="MZ14" t="s">
        <v>34</v>
      </c>
      <c r="NA14">
        <v>6.56</v>
      </c>
      <c r="NB14">
        <v>0.42099999999999999</v>
      </c>
      <c r="NC14">
        <v>5.7610000000000001</v>
      </c>
      <c r="ND14">
        <v>6.2640000000000002</v>
      </c>
      <c r="NE14">
        <v>6.5540000000000003</v>
      </c>
      <c r="NF14">
        <v>6.8449999999999998</v>
      </c>
      <c r="NG14">
        <v>7.3860000000000001</v>
      </c>
      <c r="NH14">
        <v>1.002</v>
      </c>
      <c r="NI14">
        <v>2500</v>
      </c>
      <c r="NM14" t="s">
        <v>34</v>
      </c>
      <c r="NN14">
        <v>7.0309999999999997</v>
      </c>
      <c r="NO14">
        <v>0.38300000000000001</v>
      </c>
      <c r="NP14">
        <v>6.33</v>
      </c>
      <c r="NQ14">
        <v>6.7549999999999999</v>
      </c>
      <c r="NR14">
        <v>7.0170000000000003</v>
      </c>
      <c r="NS14">
        <v>7.2949999999999999</v>
      </c>
      <c r="NT14">
        <v>7.8040000000000003</v>
      </c>
      <c r="NU14">
        <v>1.0009999999999999</v>
      </c>
      <c r="NV14">
        <v>6700</v>
      </c>
      <c r="NY14" t="s">
        <v>34</v>
      </c>
      <c r="NZ14">
        <v>6.9169999999999998</v>
      </c>
      <c r="OA14">
        <v>0.39100000000000001</v>
      </c>
      <c r="OB14">
        <v>6.2430000000000003</v>
      </c>
      <c r="OC14">
        <v>6.6360000000000001</v>
      </c>
      <c r="OD14">
        <v>6.8810000000000002</v>
      </c>
      <c r="OE14">
        <v>7.17</v>
      </c>
      <c r="OF14">
        <v>7.7610000000000001</v>
      </c>
      <c r="OG14">
        <v>1.0009999999999999</v>
      </c>
      <c r="OH14">
        <v>11000</v>
      </c>
      <c r="OP14" t="s">
        <v>34</v>
      </c>
      <c r="OQ14">
        <v>7.0010000000000003</v>
      </c>
      <c r="OR14">
        <v>0.28499999999999998</v>
      </c>
      <c r="OS14">
        <v>6.4290000000000003</v>
      </c>
      <c r="OT14">
        <v>6.8140000000000001</v>
      </c>
      <c r="OU14">
        <v>7.0110000000000001</v>
      </c>
      <c r="OV14">
        <v>7.1970000000000001</v>
      </c>
      <c r="OW14">
        <v>7.5430000000000001</v>
      </c>
      <c r="OX14">
        <v>1.0129999999999999</v>
      </c>
      <c r="OY14">
        <v>180</v>
      </c>
      <c r="PB14" t="s">
        <v>34</v>
      </c>
      <c r="PC14">
        <v>7.0860000000000003</v>
      </c>
      <c r="PD14">
        <v>0.24399999999999999</v>
      </c>
      <c r="PE14">
        <v>6.5949999999999998</v>
      </c>
      <c r="PF14">
        <v>6.9279999999999999</v>
      </c>
      <c r="PG14">
        <v>7.0910000000000002</v>
      </c>
      <c r="PH14">
        <v>7.2439999999999998</v>
      </c>
      <c r="PI14">
        <v>7.5579999999999998</v>
      </c>
      <c r="PJ14">
        <v>1.008</v>
      </c>
      <c r="PK14">
        <v>530</v>
      </c>
      <c r="PN14" t="s">
        <v>34</v>
      </c>
      <c r="PO14">
        <v>7.2249999999999996</v>
      </c>
      <c r="PP14">
        <v>0.215</v>
      </c>
      <c r="PQ14">
        <v>6.7690000000000001</v>
      </c>
      <c r="PR14">
        <v>7.0810000000000004</v>
      </c>
      <c r="PS14">
        <v>7.2460000000000004</v>
      </c>
      <c r="PT14">
        <v>7.3730000000000002</v>
      </c>
      <c r="PU14">
        <v>7.601</v>
      </c>
      <c r="PV14">
        <v>1.0009999999999999</v>
      </c>
      <c r="PW14">
        <v>3000</v>
      </c>
      <c r="QA14" t="s">
        <v>34</v>
      </c>
      <c r="QB14">
        <v>6.1219999999999999</v>
      </c>
      <c r="QC14">
        <v>0.159</v>
      </c>
      <c r="QD14">
        <v>5.7670000000000003</v>
      </c>
      <c r="QE14">
        <v>6.0179999999999998</v>
      </c>
      <c r="QF14">
        <v>6.1289999999999996</v>
      </c>
      <c r="QG14">
        <v>6.2389999999999999</v>
      </c>
      <c r="QH14">
        <v>6.4020000000000001</v>
      </c>
      <c r="QI14">
        <v>1.0169999999999999</v>
      </c>
      <c r="QJ14">
        <v>160</v>
      </c>
      <c r="QL14">
        <f t="shared" si="2"/>
        <v>1.1029999999999998</v>
      </c>
    </row>
    <row r="15" spans="1:454">
      <c r="A15" t="s">
        <v>35</v>
      </c>
      <c r="B15">
        <v>6.6790000000000003</v>
      </c>
      <c r="C15">
        <v>1.111</v>
      </c>
      <c r="D15">
        <v>4.4509999999999996</v>
      </c>
      <c r="E15">
        <v>5.9720000000000004</v>
      </c>
      <c r="F15">
        <v>6.6929999999999996</v>
      </c>
      <c r="G15">
        <v>7.4390000000000001</v>
      </c>
      <c r="H15">
        <v>8.6359999999999992</v>
      </c>
      <c r="I15">
        <v>1.016</v>
      </c>
      <c r="J15">
        <v>200</v>
      </c>
      <c r="O15" t="s">
        <v>35</v>
      </c>
      <c r="P15">
        <v>4.5949999999999998</v>
      </c>
      <c r="Q15">
        <v>1.71</v>
      </c>
      <c r="R15">
        <v>0.93300000000000005</v>
      </c>
      <c r="S15">
        <v>3.4340000000000002</v>
      </c>
      <c r="T15">
        <v>4.7510000000000003</v>
      </c>
      <c r="U15">
        <v>5.9880000000000004</v>
      </c>
      <c r="V15">
        <v>7.2350000000000003</v>
      </c>
      <c r="W15">
        <v>1.002</v>
      </c>
      <c r="X15">
        <v>3000</v>
      </c>
      <c r="AC15" t="s">
        <v>35</v>
      </c>
      <c r="AD15">
        <v>6.67</v>
      </c>
      <c r="AE15">
        <v>0.54500000000000004</v>
      </c>
      <c r="AF15">
        <v>5.3840000000000003</v>
      </c>
      <c r="AG15">
        <v>6.3330000000000002</v>
      </c>
      <c r="AH15">
        <v>6.7709999999999999</v>
      </c>
      <c r="AI15">
        <v>7.1159999999999997</v>
      </c>
      <c r="AJ15">
        <v>7.3630000000000004</v>
      </c>
      <c r="AK15">
        <v>1.0009999999999999</v>
      </c>
      <c r="AL15">
        <v>2300</v>
      </c>
      <c r="AQ15" t="s">
        <v>35</v>
      </c>
      <c r="AR15">
        <v>6.7220000000000004</v>
      </c>
      <c r="AS15">
        <v>0.51300000000000001</v>
      </c>
      <c r="AT15">
        <v>5.476</v>
      </c>
      <c r="AU15">
        <v>6.4180000000000001</v>
      </c>
      <c r="AV15">
        <v>6.8310000000000004</v>
      </c>
      <c r="AW15">
        <v>7.1379999999999999</v>
      </c>
      <c r="AX15">
        <v>7.3570000000000002</v>
      </c>
      <c r="AY15">
        <v>1.0009999999999999</v>
      </c>
      <c r="AZ15">
        <v>2400</v>
      </c>
      <c r="BE15" t="s">
        <v>35</v>
      </c>
      <c r="BF15">
        <v>6.9169999999999998</v>
      </c>
      <c r="BG15">
        <v>0.36499999999999999</v>
      </c>
      <c r="BH15">
        <v>6.0410000000000004</v>
      </c>
      <c r="BI15">
        <v>6.7</v>
      </c>
      <c r="BJ15">
        <v>7</v>
      </c>
      <c r="BK15">
        <v>7.2140000000000004</v>
      </c>
      <c r="BL15">
        <v>7.36</v>
      </c>
      <c r="BM15">
        <v>1.0029999999999999</v>
      </c>
      <c r="BN15">
        <v>870</v>
      </c>
      <c r="BS15" t="s">
        <v>35</v>
      </c>
      <c r="BT15">
        <v>6.64</v>
      </c>
      <c r="BU15">
        <v>0.55300000000000005</v>
      </c>
      <c r="BV15">
        <v>5.3369999999999997</v>
      </c>
      <c r="BW15">
        <v>6.3019999999999996</v>
      </c>
      <c r="BX15">
        <v>6.7489999999999997</v>
      </c>
      <c r="BY15">
        <v>7.0839999999999996</v>
      </c>
      <c r="BZ15">
        <v>7.3520000000000003</v>
      </c>
      <c r="CA15">
        <v>1.0009999999999999</v>
      </c>
      <c r="CB15">
        <v>2900</v>
      </c>
      <c r="CG15" t="s">
        <v>35</v>
      </c>
      <c r="CH15">
        <v>6.8719999999999999</v>
      </c>
      <c r="CI15">
        <v>0.41399999999999998</v>
      </c>
      <c r="CJ15">
        <v>5.84</v>
      </c>
      <c r="CK15">
        <v>6.64</v>
      </c>
      <c r="CL15">
        <v>6.9820000000000002</v>
      </c>
      <c r="CM15">
        <v>7.1909999999999998</v>
      </c>
      <c r="CN15">
        <v>7.36</v>
      </c>
      <c r="CO15">
        <v>1.0009999999999999</v>
      </c>
      <c r="CP15">
        <v>3000</v>
      </c>
      <c r="CU15" t="s">
        <v>35</v>
      </c>
      <c r="CV15">
        <v>6.7679999999999998</v>
      </c>
      <c r="CW15">
        <v>0.53400000000000003</v>
      </c>
      <c r="CX15">
        <v>5.4690000000000003</v>
      </c>
      <c r="CY15">
        <v>6.4619999999999997</v>
      </c>
      <c r="CZ15">
        <v>6.9029999999999996</v>
      </c>
      <c r="DA15">
        <v>7.2039999999999997</v>
      </c>
      <c r="DB15">
        <v>7.3769999999999998</v>
      </c>
      <c r="DC15">
        <v>1.0069999999999999</v>
      </c>
      <c r="DD15">
        <v>290</v>
      </c>
      <c r="DI15" t="s">
        <v>35</v>
      </c>
      <c r="DJ15">
        <v>6.6449999999999996</v>
      </c>
      <c r="DK15">
        <v>0.56599999999999995</v>
      </c>
      <c r="DL15">
        <v>5.3280000000000003</v>
      </c>
      <c r="DM15">
        <v>6.2839999999999998</v>
      </c>
      <c r="DN15">
        <v>6.774</v>
      </c>
      <c r="DO15">
        <v>7.1040000000000001</v>
      </c>
      <c r="DP15">
        <v>7.3579999999999997</v>
      </c>
      <c r="DQ15">
        <v>1.0029999999999999</v>
      </c>
      <c r="DR15">
        <v>1200</v>
      </c>
      <c r="DY15" t="s">
        <v>35</v>
      </c>
      <c r="DZ15">
        <v>6.7149999999999999</v>
      </c>
      <c r="EA15">
        <v>0.54100000000000004</v>
      </c>
      <c r="EB15">
        <v>5.3760000000000003</v>
      </c>
      <c r="EC15">
        <v>6.4080000000000004</v>
      </c>
      <c r="ED15">
        <v>6.8380000000000001</v>
      </c>
      <c r="EE15">
        <v>7.1479999999999997</v>
      </c>
      <c r="EF15">
        <v>7.3570000000000002</v>
      </c>
      <c r="EG15">
        <v>1.0029999999999999</v>
      </c>
      <c r="EH15">
        <v>980</v>
      </c>
      <c r="EK15" t="s">
        <v>35</v>
      </c>
      <c r="EL15">
        <v>6.2089999999999996</v>
      </c>
      <c r="EM15">
        <v>0.58099999999999996</v>
      </c>
      <c r="EN15">
        <v>5.1059999999999999</v>
      </c>
      <c r="EO15">
        <v>5.7910000000000004</v>
      </c>
      <c r="EP15">
        <v>6.2030000000000003</v>
      </c>
      <c r="EQ15">
        <v>6.6390000000000002</v>
      </c>
      <c r="ER15">
        <v>7.2569999999999997</v>
      </c>
      <c r="ES15">
        <v>1.0009999999999999</v>
      </c>
      <c r="ET15">
        <v>1500</v>
      </c>
      <c r="EY15" t="s">
        <v>35</v>
      </c>
      <c r="EZ15">
        <v>6.556</v>
      </c>
      <c r="FA15">
        <v>0.56499999999999995</v>
      </c>
      <c r="FB15">
        <v>5.27</v>
      </c>
      <c r="FC15">
        <v>6.2039999999999997</v>
      </c>
      <c r="FD15">
        <v>6.6379999999999999</v>
      </c>
      <c r="FE15">
        <v>7.0090000000000003</v>
      </c>
      <c r="FF15">
        <v>7.3369999999999997</v>
      </c>
      <c r="FG15">
        <v>1.002</v>
      </c>
      <c r="FH15">
        <v>1600</v>
      </c>
      <c r="FM15" t="s">
        <v>188</v>
      </c>
      <c r="FN15">
        <v>3.3719999999999999</v>
      </c>
      <c r="FO15">
        <v>0.63600000000000001</v>
      </c>
      <c r="FP15">
        <v>1.9</v>
      </c>
      <c r="FQ15">
        <v>3.008</v>
      </c>
      <c r="FR15">
        <v>3.4569999999999999</v>
      </c>
      <c r="FS15">
        <v>3.8340000000000001</v>
      </c>
      <c r="FT15">
        <v>4.3769999999999998</v>
      </c>
      <c r="FU15">
        <v>1.0109999999999999</v>
      </c>
      <c r="FV15">
        <v>200</v>
      </c>
      <c r="GA15" t="s">
        <v>35</v>
      </c>
      <c r="GB15">
        <v>6.9420000000000002</v>
      </c>
      <c r="GC15">
        <v>0.32500000000000001</v>
      </c>
      <c r="GD15">
        <v>6.1760000000000002</v>
      </c>
      <c r="GE15">
        <v>6.758</v>
      </c>
      <c r="GF15">
        <v>6.9950000000000001</v>
      </c>
      <c r="GG15">
        <v>7.1980000000000004</v>
      </c>
      <c r="GH15">
        <v>7.3620000000000001</v>
      </c>
      <c r="GI15">
        <v>1.0009999999999999</v>
      </c>
      <c r="GJ15">
        <v>3000</v>
      </c>
      <c r="GO15" t="s">
        <v>35</v>
      </c>
      <c r="GP15">
        <v>6.5469999999999997</v>
      </c>
      <c r="GQ15">
        <v>0.57099999999999995</v>
      </c>
      <c r="GR15">
        <v>5.2350000000000003</v>
      </c>
      <c r="GS15">
        <v>6.1859999999999999</v>
      </c>
      <c r="GT15">
        <v>6.6369999999999996</v>
      </c>
      <c r="GU15">
        <v>7.0049999999999999</v>
      </c>
      <c r="GV15">
        <v>7.3369999999999997</v>
      </c>
      <c r="GW15">
        <v>1.0009999999999999</v>
      </c>
      <c r="GX15">
        <v>3000</v>
      </c>
      <c r="HC15" t="s">
        <v>35</v>
      </c>
      <c r="HD15">
        <v>6.5460000000000003</v>
      </c>
      <c r="HE15">
        <v>0.57699999999999996</v>
      </c>
      <c r="HF15">
        <v>5.234</v>
      </c>
      <c r="HG15">
        <v>6.17</v>
      </c>
      <c r="HH15">
        <v>6.6239999999999997</v>
      </c>
      <c r="HI15">
        <v>7.0209999999999999</v>
      </c>
      <c r="HJ15">
        <v>7.343</v>
      </c>
      <c r="HK15">
        <v>1.002</v>
      </c>
      <c r="HL15">
        <v>1300</v>
      </c>
      <c r="HP15" s="7"/>
      <c r="HQ15" s="7" t="s">
        <v>35</v>
      </c>
      <c r="HR15" s="7">
        <v>6.407</v>
      </c>
      <c r="HS15" s="7">
        <v>0.57999999999999996</v>
      </c>
      <c r="HT15" s="7">
        <v>5.1840000000000002</v>
      </c>
      <c r="HU15" s="7">
        <v>6.0049999999999999</v>
      </c>
      <c r="HV15" s="7">
        <v>6.4589999999999996</v>
      </c>
      <c r="HW15" s="7">
        <v>6.8630000000000004</v>
      </c>
      <c r="HX15" s="7">
        <v>7.3220000000000001</v>
      </c>
      <c r="HY15" s="7">
        <v>1.0009999999999999</v>
      </c>
      <c r="HZ15" s="7">
        <v>3000</v>
      </c>
      <c r="IA15" s="7"/>
      <c r="IE15" t="s">
        <v>35</v>
      </c>
      <c r="IF15">
        <v>6.9450000000000003</v>
      </c>
      <c r="IG15">
        <v>0.311</v>
      </c>
      <c r="IH15">
        <v>6.21</v>
      </c>
      <c r="II15">
        <v>6.75</v>
      </c>
      <c r="IJ15">
        <v>7.0010000000000003</v>
      </c>
      <c r="IK15">
        <v>7.1909999999999998</v>
      </c>
      <c r="IL15">
        <v>7.3609999999999998</v>
      </c>
      <c r="IM15">
        <v>1.0029999999999999</v>
      </c>
      <c r="IN15">
        <v>760</v>
      </c>
      <c r="IS15" t="s">
        <v>35</v>
      </c>
      <c r="IT15">
        <v>6.9290000000000003</v>
      </c>
      <c r="IU15">
        <v>0.32400000000000001</v>
      </c>
      <c r="IV15">
        <v>6.1929999999999996</v>
      </c>
      <c r="IW15">
        <v>6.7240000000000002</v>
      </c>
      <c r="IX15">
        <v>6.984</v>
      </c>
      <c r="IY15">
        <v>7.2</v>
      </c>
      <c r="IZ15">
        <v>7.3579999999999997</v>
      </c>
      <c r="JA15">
        <v>1.0009999999999999</v>
      </c>
      <c r="JB15">
        <v>3000</v>
      </c>
      <c r="JF15" t="s">
        <v>35</v>
      </c>
      <c r="JG15">
        <v>6.6349999999999998</v>
      </c>
      <c r="JH15">
        <v>0.497</v>
      </c>
      <c r="JI15">
        <v>5.5289999999999999</v>
      </c>
      <c r="JJ15">
        <v>6.306</v>
      </c>
      <c r="JK15">
        <v>6.6950000000000003</v>
      </c>
      <c r="JL15">
        <v>7.0270000000000001</v>
      </c>
      <c r="JM15">
        <v>7.351</v>
      </c>
      <c r="JN15">
        <v>1.0009999999999999</v>
      </c>
      <c r="JO15">
        <v>2200</v>
      </c>
      <c r="JT15" t="s">
        <v>35</v>
      </c>
      <c r="JU15">
        <v>6.6070000000000002</v>
      </c>
      <c r="JV15">
        <v>0.501</v>
      </c>
      <c r="JW15">
        <v>5.5270000000000001</v>
      </c>
      <c r="JX15">
        <v>6.282</v>
      </c>
      <c r="JY15">
        <v>6.6609999999999996</v>
      </c>
      <c r="JZ15">
        <v>7.0190000000000001</v>
      </c>
      <c r="KA15">
        <v>7.343</v>
      </c>
      <c r="KB15">
        <v>1.0009999999999999</v>
      </c>
      <c r="KC15">
        <v>3000</v>
      </c>
      <c r="KH15" t="s">
        <v>35</v>
      </c>
      <c r="KI15">
        <v>6.5910000000000002</v>
      </c>
      <c r="KJ15">
        <v>0.50700000000000001</v>
      </c>
      <c r="KK15">
        <v>5.4870000000000001</v>
      </c>
      <c r="KL15">
        <v>6.2530000000000001</v>
      </c>
      <c r="KM15">
        <v>6.6429999999999998</v>
      </c>
      <c r="KN15">
        <v>6.9989999999999997</v>
      </c>
      <c r="KO15">
        <v>7.34</v>
      </c>
      <c r="KP15">
        <v>1.0009999999999999</v>
      </c>
      <c r="KQ15">
        <v>3000</v>
      </c>
      <c r="KR15">
        <f t="shared" si="0"/>
        <v>728.50901478048957</v>
      </c>
      <c r="KS15">
        <f t="shared" si="1"/>
        <v>1975.8007415717232</v>
      </c>
      <c r="KV15" t="s">
        <v>35</v>
      </c>
      <c r="KW15">
        <v>6.9589999999999996</v>
      </c>
      <c r="KX15">
        <v>0.64500000000000002</v>
      </c>
      <c r="KY15">
        <v>5.73</v>
      </c>
      <c r="KZ15">
        <v>6.5149999999999997</v>
      </c>
      <c r="LA15">
        <v>6.92</v>
      </c>
      <c r="LB15">
        <v>7.3840000000000003</v>
      </c>
      <c r="LC15">
        <v>8.2769999999999992</v>
      </c>
      <c r="LD15">
        <v>1.0029999999999999</v>
      </c>
      <c r="LE15">
        <v>760</v>
      </c>
      <c r="LJ15" t="s">
        <v>35</v>
      </c>
      <c r="LK15">
        <v>6.1609999999999996</v>
      </c>
      <c r="LL15">
        <v>0.40600000000000003</v>
      </c>
      <c r="LM15">
        <v>5.4530000000000003</v>
      </c>
      <c r="LN15">
        <v>5.88</v>
      </c>
      <c r="LO15">
        <v>6.1420000000000003</v>
      </c>
      <c r="LP15">
        <v>6.4160000000000004</v>
      </c>
      <c r="LQ15">
        <v>7.0119999999999996</v>
      </c>
      <c r="LR15">
        <v>1.0029999999999999</v>
      </c>
      <c r="LS15">
        <v>790</v>
      </c>
      <c r="LX15" t="s">
        <v>35</v>
      </c>
      <c r="LY15">
        <v>0.66400000000000003</v>
      </c>
      <c r="LZ15">
        <v>2.8540000000000001</v>
      </c>
      <c r="MA15">
        <v>-5.8789999999999996</v>
      </c>
      <c r="MB15">
        <v>-1.0620000000000001</v>
      </c>
      <c r="MC15">
        <v>1.002</v>
      </c>
      <c r="MD15">
        <v>2.8260000000000001</v>
      </c>
      <c r="ME15">
        <v>4.9889999999999999</v>
      </c>
      <c r="MF15">
        <v>1.921</v>
      </c>
      <c r="MG15">
        <v>5</v>
      </c>
      <c r="ML15" t="s">
        <v>35</v>
      </c>
      <c r="MM15">
        <v>7.343</v>
      </c>
      <c r="MN15">
        <v>0.58399999999999996</v>
      </c>
      <c r="MO15">
        <v>6.234</v>
      </c>
      <c r="MP15">
        <v>6.9379999999999997</v>
      </c>
      <c r="MQ15">
        <v>7.3319999999999999</v>
      </c>
      <c r="MR15">
        <v>7.7350000000000003</v>
      </c>
      <c r="MS15">
        <v>8.5139999999999993</v>
      </c>
      <c r="MT15">
        <v>1.002</v>
      </c>
      <c r="MU15">
        <v>3500</v>
      </c>
      <c r="MZ15" t="s">
        <v>35</v>
      </c>
      <c r="NA15">
        <v>7.4470000000000001</v>
      </c>
      <c r="NB15">
        <v>0.55200000000000005</v>
      </c>
      <c r="NC15">
        <v>6.3780000000000001</v>
      </c>
      <c r="ND15">
        <v>7.0659999999999998</v>
      </c>
      <c r="NE15">
        <v>7.45</v>
      </c>
      <c r="NF15">
        <v>7.8220000000000001</v>
      </c>
      <c r="NG15">
        <v>8.5370000000000008</v>
      </c>
      <c r="NH15">
        <v>1.0029999999999999</v>
      </c>
      <c r="NI15">
        <v>1100</v>
      </c>
      <c r="NM15" t="s">
        <v>35</v>
      </c>
      <c r="NN15">
        <v>6.7190000000000003</v>
      </c>
      <c r="NO15">
        <v>0.33900000000000002</v>
      </c>
      <c r="NP15">
        <v>6.1449999999999996</v>
      </c>
      <c r="NQ15">
        <v>6.4870000000000001</v>
      </c>
      <c r="NR15">
        <v>6.6870000000000003</v>
      </c>
      <c r="NS15">
        <v>6.915</v>
      </c>
      <c r="NT15">
        <v>7.476</v>
      </c>
      <c r="NU15">
        <v>1.0009999999999999</v>
      </c>
      <c r="NV15">
        <v>20000</v>
      </c>
      <c r="NY15" t="s">
        <v>35</v>
      </c>
      <c r="NZ15">
        <v>6.5250000000000004</v>
      </c>
      <c r="OA15">
        <v>0.309</v>
      </c>
      <c r="OB15">
        <v>5.9889999999999999</v>
      </c>
      <c r="OC15">
        <v>6.3129999999999997</v>
      </c>
      <c r="OD15">
        <v>6.5010000000000003</v>
      </c>
      <c r="OE15">
        <v>6.7060000000000004</v>
      </c>
      <c r="OF15">
        <v>7.2030000000000003</v>
      </c>
      <c r="OG15">
        <v>1.0009999999999999</v>
      </c>
      <c r="OH15">
        <v>7600</v>
      </c>
      <c r="OP15" t="s">
        <v>35</v>
      </c>
      <c r="OQ15">
        <v>7.0090000000000003</v>
      </c>
      <c r="OR15">
        <v>0.38800000000000001</v>
      </c>
      <c r="OS15">
        <v>6.1840000000000002</v>
      </c>
      <c r="OT15">
        <v>6.7549999999999999</v>
      </c>
      <c r="OU15">
        <v>7.03</v>
      </c>
      <c r="OV15">
        <v>7.2839999999999998</v>
      </c>
      <c r="OW15">
        <v>7.7169999999999996</v>
      </c>
      <c r="OX15">
        <v>1.01</v>
      </c>
      <c r="OY15">
        <v>280</v>
      </c>
      <c r="PB15" t="s">
        <v>35</v>
      </c>
      <c r="PC15">
        <v>7.2510000000000003</v>
      </c>
      <c r="PD15">
        <v>0.316</v>
      </c>
      <c r="PE15">
        <v>6.5880000000000001</v>
      </c>
      <c r="PF15">
        <v>7.0579999999999998</v>
      </c>
      <c r="PG15">
        <v>7.258</v>
      </c>
      <c r="PH15">
        <v>7.4619999999999997</v>
      </c>
      <c r="PI15">
        <v>7.8380000000000001</v>
      </c>
      <c r="PJ15">
        <v>1.0089999999999999</v>
      </c>
      <c r="PK15">
        <v>380</v>
      </c>
      <c r="PN15" t="s">
        <v>35</v>
      </c>
      <c r="PO15">
        <v>7.069</v>
      </c>
      <c r="PP15">
        <v>0.27800000000000002</v>
      </c>
      <c r="PQ15">
        <v>6.508</v>
      </c>
      <c r="PR15">
        <v>6.8840000000000003</v>
      </c>
      <c r="PS15">
        <v>7.0709999999999997</v>
      </c>
      <c r="PT15">
        <v>7.2519999999999998</v>
      </c>
      <c r="PU15">
        <v>7.6109999999999998</v>
      </c>
      <c r="PV15">
        <v>1.002</v>
      </c>
      <c r="PW15">
        <v>1000</v>
      </c>
      <c r="QA15" t="s">
        <v>35</v>
      </c>
      <c r="QB15">
        <v>6.4969999999999999</v>
      </c>
      <c r="QC15">
        <v>0.158</v>
      </c>
      <c r="QD15">
        <v>6.1790000000000003</v>
      </c>
      <c r="QE15">
        <v>6.3860000000000001</v>
      </c>
      <c r="QF15">
        <v>6.5129999999999999</v>
      </c>
      <c r="QG15">
        <v>6.6150000000000002</v>
      </c>
      <c r="QH15">
        <v>6.7629999999999999</v>
      </c>
      <c r="QI15">
        <v>1.113</v>
      </c>
      <c r="QJ15">
        <v>22</v>
      </c>
      <c r="QL15">
        <f t="shared" si="2"/>
        <v>0.57200000000000006</v>
      </c>
    </row>
    <row r="16" spans="1:454">
      <c r="A16" t="s">
        <v>36</v>
      </c>
      <c r="B16">
        <v>6.7809999999999997</v>
      </c>
      <c r="C16">
        <v>0.99399999999999999</v>
      </c>
      <c r="D16">
        <v>4.8040000000000003</v>
      </c>
      <c r="E16">
        <v>6.1239999999999997</v>
      </c>
      <c r="F16">
        <v>6.806</v>
      </c>
      <c r="G16">
        <v>7.4290000000000003</v>
      </c>
      <c r="H16">
        <v>8.6609999999999996</v>
      </c>
      <c r="I16">
        <v>1.008</v>
      </c>
      <c r="J16">
        <v>1400</v>
      </c>
      <c r="O16" t="s">
        <v>36</v>
      </c>
      <c r="P16">
        <v>4.4969999999999999</v>
      </c>
      <c r="Q16">
        <v>1.8360000000000001</v>
      </c>
      <c r="R16">
        <v>0.62</v>
      </c>
      <c r="S16">
        <v>3.2080000000000002</v>
      </c>
      <c r="T16">
        <v>4.7670000000000003</v>
      </c>
      <c r="U16">
        <v>5.97</v>
      </c>
      <c r="V16">
        <v>7.1890000000000001</v>
      </c>
      <c r="W16">
        <v>1.01</v>
      </c>
      <c r="X16">
        <v>310</v>
      </c>
      <c r="AC16" t="s">
        <v>36</v>
      </c>
      <c r="AD16">
        <v>6.1689999999999996</v>
      </c>
      <c r="AE16">
        <v>0.8</v>
      </c>
      <c r="AF16">
        <v>4.2839999999999998</v>
      </c>
      <c r="AG16">
        <v>5.673</v>
      </c>
      <c r="AH16">
        <v>6.2850000000000001</v>
      </c>
      <c r="AI16">
        <v>6.79</v>
      </c>
      <c r="AJ16">
        <v>7.3179999999999996</v>
      </c>
      <c r="AK16">
        <v>1.0029999999999999</v>
      </c>
      <c r="AL16">
        <v>730</v>
      </c>
      <c r="AQ16" t="s">
        <v>36</v>
      </c>
      <c r="AR16">
        <v>6.1890000000000001</v>
      </c>
      <c r="AS16">
        <v>0.82099999999999995</v>
      </c>
      <c r="AT16">
        <v>4.28</v>
      </c>
      <c r="AU16">
        <v>5.69</v>
      </c>
      <c r="AV16">
        <v>6.335</v>
      </c>
      <c r="AW16">
        <v>6.8280000000000003</v>
      </c>
      <c r="AX16">
        <v>7.3209999999999997</v>
      </c>
      <c r="AY16">
        <v>1.004</v>
      </c>
      <c r="AZ16">
        <v>760</v>
      </c>
      <c r="BE16" t="s">
        <v>36</v>
      </c>
      <c r="BF16">
        <v>5.6020000000000003</v>
      </c>
      <c r="BG16">
        <v>0.81599999999999995</v>
      </c>
      <c r="BH16">
        <v>3.9169999999999998</v>
      </c>
      <c r="BI16">
        <v>5.0540000000000003</v>
      </c>
      <c r="BJ16">
        <v>5.6269999999999998</v>
      </c>
      <c r="BK16">
        <v>6.2050000000000001</v>
      </c>
      <c r="BL16">
        <v>7.04</v>
      </c>
      <c r="BM16">
        <v>1.016</v>
      </c>
      <c r="BN16">
        <v>140</v>
      </c>
      <c r="BS16" t="s">
        <v>36</v>
      </c>
      <c r="BT16">
        <v>6.0529999999999999</v>
      </c>
      <c r="BU16">
        <v>0.86499999999999999</v>
      </c>
      <c r="BV16">
        <v>4.08</v>
      </c>
      <c r="BW16">
        <v>5.4859999999999998</v>
      </c>
      <c r="BX16">
        <v>6.1740000000000004</v>
      </c>
      <c r="BY16">
        <v>6.7439999999999998</v>
      </c>
      <c r="BZ16">
        <v>7.3120000000000003</v>
      </c>
      <c r="CA16">
        <v>1.0009999999999999</v>
      </c>
      <c r="CB16">
        <v>3000</v>
      </c>
      <c r="CG16" t="s">
        <v>36</v>
      </c>
      <c r="CH16">
        <v>5.57</v>
      </c>
      <c r="CI16">
        <v>0.81599999999999995</v>
      </c>
      <c r="CJ16">
        <v>3.9569999999999999</v>
      </c>
      <c r="CK16">
        <v>4.9820000000000002</v>
      </c>
      <c r="CL16">
        <v>5.5819999999999999</v>
      </c>
      <c r="CM16">
        <v>6.18</v>
      </c>
      <c r="CN16">
        <v>7.0970000000000004</v>
      </c>
      <c r="CO16">
        <v>1.016</v>
      </c>
      <c r="CP16">
        <v>130</v>
      </c>
      <c r="CU16" t="s">
        <v>36</v>
      </c>
      <c r="CV16">
        <v>6.327</v>
      </c>
      <c r="CW16">
        <v>0.72399999999999998</v>
      </c>
      <c r="CX16">
        <v>4.6779999999999999</v>
      </c>
      <c r="CY16">
        <v>5.9189999999999996</v>
      </c>
      <c r="CZ16">
        <v>6.4669999999999996</v>
      </c>
      <c r="DA16">
        <v>6.8739999999999997</v>
      </c>
      <c r="DB16">
        <v>7.3209999999999997</v>
      </c>
      <c r="DC16">
        <v>1.0169999999999999</v>
      </c>
      <c r="DD16">
        <v>190</v>
      </c>
      <c r="DI16" t="s">
        <v>36</v>
      </c>
      <c r="DJ16">
        <v>6.2309999999999999</v>
      </c>
      <c r="DK16">
        <v>0.78300000000000003</v>
      </c>
      <c r="DL16">
        <v>4.4459999999999997</v>
      </c>
      <c r="DM16">
        <v>5.7359999999999998</v>
      </c>
      <c r="DN16">
        <v>6.3529999999999998</v>
      </c>
      <c r="DO16">
        <v>6.8529999999999998</v>
      </c>
      <c r="DP16">
        <v>7.3239999999999998</v>
      </c>
      <c r="DQ16">
        <v>1.0049999999999999</v>
      </c>
      <c r="DR16">
        <v>640</v>
      </c>
      <c r="DY16" t="s">
        <v>36</v>
      </c>
      <c r="DZ16">
        <v>6.2619999999999996</v>
      </c>
      <c r="EA16">
        <v>0.74199999999999999</v>
      </c>
      <c r="EB16">
        <v>4.5659999999999998</v>
      </c>
      <c r="EC16">
        <v>5.8209999999999997</v>
      </c>
      <c r="ED16">
        <v>6.3710000000000004</v>
      </c>
      <c r="EE16">
        <v>6.8220000000000001</v>
      </c>
      <c r="EF16">
        <v>7.3230000000000004</v>
      </c>
      <c r="EG16">
        <v>1.0049999999999999</v>
      </c>
      <c r="EH16">
        <v>570</v>
      </c>
      <c r="EK16" t="s">
        <v>36</v>
      </c>
      <c r="EL16">
        <v>5.3019999999999996</v>
      </c>
      <c r="EM16">
        <v>1.099</v>
      </c>
      <c r="EN16">
        <v>3.2480000000000002</v>
      </c>
      <c r="EO16">
        <v>4.4829999999999997</v>
      </c>
      <c r="EP16">
        <v>5.2969999999999997</v>
      </c>
      <c r="EQ16">
        <v>6.1509999999999998</v>
      </c>
      <c r="ER16">
        <v>7.202</v>
      </c>
      <c r="ES16">
        <v>1.0009999999999999</v>
      </c>
      <c r="ET16">
        <v>1500</v>
      </c>
      <c r="EY16" t="s">
        <v>36</v>
      </c>
      <c r="EZ16">
        <v>4.4530000000000003</v>
      </c>
      <c r="FA16">
        <v>0.96799999999999997</v>
      </c>
      <c r="FB16">
        <v>2.6070000000000002</v>
      </c>
      <c r="FC16">
        <v>3.774</v>
      </c>
      <c r="FD16">
        <v>4.4409999999999998</v>
      </c>
      <c r="FE16">
        <v>5.1050000000000004</v>
      </c>
      <c r="FF16">
        <v>6.5170000000000003</v>
      </c>
      <c r="FG16">
        <v>1.0009999999999999</v>
      </c>
      <c r="FH16">
        <v>2600</v>
      </c>
      <c r="FM16" t="s">
        <v>123</v>
      </c>
      <c r="FN16">
        <v>9.5839999999999996</v>
      </c>
      <c r="FO16">
        <v>0.71</v>
      </c>
      <c r="FP16">
        <v>8.2149999999999999</v>
      </c>
      <c r="FQ16">
        <v>9.11</v>
      </c>
      <c r="FR16">
        <v>9.5679999999999996</v>
      </c>
      <c r="FS16">
        <v>10.044</v>
      </c>
      <c r="FT16">
        <v>11.053000000000001</v>
      </c>
      <c r="FU16">
        <v>1.0009999999999999</v>
      </c>
      <c r="FV16">
        <v>3000</v>
      </c>
      <c r="GA16" t="s">
        <v>36</v>
      </c>
      <c r="GB16">
        <v>6.407</v>
      </c>
      <c r="GC16">
        <v>0.66300000000000003</v>
      </c>
      <c r="GD16">
        <v>4.9039999999999999</v>
      </c>
      <c r="GE16">
        <v>5.9640000000000004</v>
      </c>
      <c r="GF16">
        <v>6.5190000000000001</v>
      </c>
      <c r="GG16">
        <v>6.9370000000000003</v>
      </c>
      <c r="GH16">
        <v>7.3280000000000003</v>
      </c>
      <c r="GI16">
        <v>1.0009999999999999</v>
      </c>
      <c r="GJ16">
        <v>3000</v>
      </c>
      <c r="GO16" t="s">
        <v>36</v>
      </c>
      <c r="GP16">
        <v>4.532</v>
      </c>
      <c r="GQ16">
        <v>0.95699999999999996</v>
      </c>
      <c r="GR16">
        <v>2.665</v>
      </c>
      <c r="GS16">
        <v>3.89</v>
      </c>
      <c r="GT16">
        <v>4.5030000000000001</v>
      </c>
      <c r="GU16">
        <v>5.165</v>
      </c>
      <c r="GV16">
        <v>6.4980000000000002</v>
      </c>
      <c r="GW16">
        <v>1.0009999999999999</v>
      </c>
      <c r="GX16">
        <v>3000</v>
      </c>
      <c r="HC16" t="s">
        <v>36</v>
      </c>
      <c r="HD16">
        <v>4.609</v>
      </c>
      <c r="HE16">
        <v>0.96199999999999997</v>
      </c>
      <c r="HF16">
        <v>2.782</v>
      </c>
      <c r="HG16">
        <v>3.9430000000000001</v>
      </c>
      <c r="HH16">
        <v>4.5579999999999998</v>
      </c>
      <c r="HI16">
        <v>5.2489999999999997</v>
      </c>
      <c r="HJ16">
        <v>6.6260000000000003</v>
      </c>
      <c r="HK16">
        <v>1.002</v>
      </c>
      <c r="HL16">
        <v>1400</v>
      </c>
      <c r="HP16" s="7"/>
      <c r="HQ16" s="7" t="s">
        <v>36</v>
      </c>
      <c r="HR16" s="7">
        <v>4.2670000000000003</v>
      </c>
      <c r="HS16" s="7">
        <v>1.046</v>
      </c>
      <c r="HT16" s="7">
        <v>2.387</v>
      </c>
      <c r="HU16" s="7">
        <v>3.5529999999999999</v>
      </c>
      <c r="HV16" s="7">
        <v>4.1749999999999998</v>
      </c>
      <c r="HW16" s="7">
        <v>4.9189999999999996</v>
      </c>
      <c r="HX16" s="7">
        <v>6.5339999999999998</v>
      </c>
      <c r="HY16" s="7">
        <v>1.0009999999999999</v>
      </c>
      <c r="HZ16" s="7">
        <v>3000</v>
      </c>
      <c r="IA16" s="7"/>
      <c r="IE16" t="s">
        <v>36</v>
      </c>
      <c r="IF16">
        <v>5.05</v>
      </c>
      <c r="IG16">
        <v>0.81299999999999994</v>
      </c>
      <c r="IH16">
        <v>3.6309999999999998</v>
      </c>
      <c r="II16">
        <v>4.4720000000000004</v>
      </c>
      <c r="IJ16">
        <v>4.9710000000000001</v>
      </c>
      <c r="IK16">
        <v>5.5339999999999998</v>
      </c>
      <c r="IL16">
        <v>6.8479999999999999</v>
      </c>
      <c r="IM16">
        <v>1.002</v>
      </c>
      <c r="IN16">
        <v>1700</v>
      </c>
      <c r="IS16" t="s">
        <v>36</v>
      </c>
      <c r="IT16">
        <v>5.2690000000000001</v>
      </c>
      <c r="IU16">
        <v>0.93</v>
      </c>
      <c r="IV16">
        <v>3.6989999999999998</v>
      </c>
      <c r="IW16">
        <v>4.5549999999999997</v>
      </c>
      <c r="IX16">
        <v>5.165</v>
      </c>
      <c r="IY16">
        <v>5.9109999999999996</v>
      </c>
      <c r="IZ16">
        <v>7.2030000000000003</v>
      </c>
      <c r="JA16">
        <v>1.002</v>
      </c>
      <c r="JB16">
        <v>1100</v>
      </c>
      <c r="JF16" t="s">
        <v>36</v>
      </c>
      <c r="JG16">
        <v>4.6829999999999998</v>
      </c>
      <c r="JH16">
        <v>0.95</v>
      </c>
      <c r="JI16">
        <v>2.9660000000000002</v>
      </c>
      <c r="JJ16">
        <v>4.0199999999999996</v>
      </c>
      <c r="JK16">
        <v>4.6109999999999998</v>
      </c>
      <c r="JL16">
        <v>5.2889999999999997</v>
      </c>
      <c r="JM16">
        <v>6.774</v>
      </c>
      <c r="JN16">
        <v>1.0009999999999999</v>
      </c>
      <c r="JO16">
        <v>3000</v>
      </c>
      <c r="JT16" t="s">
        <v>36</v>
      </c>
      <c r="JU16">
        <v>4.6130000000000004</v>
      </c>
      <c r="JV16">
        <v>0.95499999999999996</v>
      </c>
      <c r="JW16">
        <v>2.93</v>
      </c>
      <c r="JX16">
        <v>3.9260000000000002</v>
      </c>
      <c r="JY16">
        <v>4.5309999999999997</v>
      </c>
      <c r="JZ16">
        <v>5.2249999999999996</v>
      </c>
      <c r="KA16">
        <v>6.6740000000000004</v>
      </c>
      <c r="KB16">
        <v>1.0009999999999999</v>
      </c>
      <c r="KC16">
        <v>2500</v>
      </c>
      <c r="KH16" t="s">
        <v>36</v>
      </c>
      <c r="KI16">
        <v>4.5250000000000004</v>
      </c>
      <c r="KJ16">
        <v>0.98399999999999999</v>
      </c>
      <c r="KK16">
        <v>2.8290000000000002</v>
      </c>
      <c r="KL16">
        <v>3.83</v>
      </c>
      <c r="KM16">
        <v>4.4450000000000003</v>
      </c>
      <c r="KN16">
        <v>5.1429999999999998</v>
      </c>
      <c r="KO16">
        <v>6.7450000000000001</v>
      </c>
      <c r="KP16">
        <v>1.0049999999999999</v>
      </c>
      <c r="KQ16">
        <v>450</v>
      </c>
      <c r="KR16">
        <f t="shared" si="0"/>
        <v>92.295925828657886</v>
      </c>
      <c r="KS16">
        <f t="shared" si="1"/>
        <v>1968.2099424491707</v>
      </c>
      <c r="KV16" t="s">
        <v>36</v>
      </c>
      <c r="KW16">
        <v>6.532</v>
      </c>
      <c r="KX16">
        <v>0.38200000000000001</v>
      </c>
      <c r="KY16">
        <v>5.8</v>
      </c>
      <c r="KZ16">
        <v>6.2640000000000002</v>
      </c>
      <c r="LA16">
        <v>6.532</v>
      </c>
      <c r="LB16">
        <v>6.7960000000000003</v>
      </c>
      <c r="LC16">
        <v>7.2859999999999996</v>
      </c>
      <c r="LD16">
        <v>1.006</v>
      </c>
      <c r="LE16">
        <v>400</v>
      </c>
      <c r="LJ16" t="s">
        <v>36</v>
      </c>
      <c r="LK16">
        <v>5.9290000000000003</v>
      </c>
      <c r="LL16">
        <v>0.27200000000000002</v>
      </c>
      <c r="LM16">
        <v>5.4480000000000004</v>
      </c>
      <c r="LN16">
        <v>5.7389999999999999</v>
      </c>
      <c r="LO16">
        <v>5.9160000000000004</v>
      </c>
      <c r="LP16">
        <v>6.0970000000000004</v>
      </c>
      <c r="LQ16">
        <v>6.4969999999999999</v>
      </c>
      <c r="LR16">
        <v>1.0029999999999999</v>
      </c>
      <c r="LS16">
        <v>850</v>
      </c>
      <c r="LX16" t="s">
        <v>36</v>
      </c>
      <c r="LY16">
        <v>2.8039999999999998</v>
      </c>
      <c r="LZ16">
        <v>1.0469999999999999</v>
      </c>
      <c r="MA16">
        <v>0.68700000000000006</v>
      </c>
      <c r="MB16">
        <v>2.0939999999999999</v>
      </c>
      <c r="MC16">
        <v>2.823</v>
      </c>
      <c r="MD16">
        <v>3.5489999999999999</v>
      </c>
      <c r="ME16">
        <v>4.6440000000000001</v>
      </c>
      <c r="MF16">
        <v>1.448</v>
      </c>
      <c r="MG16">
        <v>8</v>
      </c>
      <c r="ML16" t="s">
        <v>36</v>
      </c>
      <c r="MM16">
        <v>6.734</v>
      </c>
      <c r="MN16">
        <v>0.32400000000000001</v>
      </c>
      <c r="MO16">
        <v>6.0750000000000002</v>
      </c>
      <c r="MP16">
        <v>6.51</v>
      </c>
      <c r="MQ16">
        <v>6.7489999999999997</v>
      </c>
      <c r="MR16">
        <v>6.9740000000000002</v>
      </c>
      <c r="MS16">
        <v>7.3040000000000003</v>
      </c>
      <c r="MT16">
        <v>1.0009999999999999</v>
      </c>
      <c r="MU16">
        <v>5800</v>
      </c>
      <c r="MZ16" t="s">
        <v>36</v>
      </c>
      <c r="NA16">
        <v>6.782</v>
      </c>
      <c r="NB16">
        <v>0.30099999999999999</v>
      </c>
      <c r="NC16">
        <v>6.1840000000000002</v>
      </c>
      <c r="ND16">
        <v>6.5759999999999996</v>
      </c>
      <c r="NE16">
        <v>6.7969999999999997</v>
      </c>
      <c r="NF16">
        <v>7.0010000000000003</v>
      </c>
      <c r="NG16">
        <v>7.3159999999999998</v>
      </c>
      <c r="NH16">
        <v>1.002</v>
      </c>
      <c r="NI16">
        <v>1500</v>
      </c>
      <c r="NM16" t="s">
        <v>36</v>
      </c>
      <c r="NN16">
        <v>6.9530000000000003</v>
      </c>
      <c r="NO16">
        <v>0.28399999999999997</v>
      </c>
      <c r="NP16">
        <v>6.4240000000000004</v>
      </c>
      <c r="NQ16">
        <v>6.7450000000000001</v>
      </c>
      <c r="NR16">
        <v>6.9489999999999998</v>
      </c>
      <c r="NS16">
        <v>7.1619999999999999</v>
      </c>
      <c r="NT16">
        <v>7.4829999999999997</v>
      </c>
      <c r="NU16">
        <v>1.0009999999999999</v>
      </c>
      <c r="NV16">
        <v>6400</v>
      </c>
      <c r="NY16" t="s">
        <v>36</v>
      </c>
      <c r="NZ16">
        <v>6.819</v>
      </c>
      <c r="OA16">
        <v>0.29799999999999999</v>
      </c>
      <c r="OB16">
        <v>6.3040000000000003</v>
      </c>
      <c r="OC16">
        <v>6.6</v>
      </c>
      <c r="OD16">
        <v>6.7919999999999998</v>
      </c>
      <c r="OE16">
        <v>7.0209999999999999</v>
      </c>
      <c r="OF16">
        <v>7.4429999999999996</v>
      </c>
      <c r="OG16">
        <v>1.0009999999999999</v>
      </c>
      <c r="OH16">
        <v>7200</v>
      </c>
      <c r="OP16" t="s">
        <v>36</v>
      </c>
      <c r="OQ16">
        <v>7.0030000000000001</v>
      </c>
      <c r="OR16">
        <v>0.24199999999999999</v>
      </c>
      <c r="OS16">
        <v>6.4820000000000002</v>
      </c>
      <c r="OT16">
        <v>6.8360000000000003</v>
      </c>
      <c r="OU16">
        <v>7.0359999999999996</v>
      </c>
      <c r="OV16">
        <v>7.19</v>
      </c>
      <c r="OW16">
        <v>7.3869999999999996</v>
      </c>
      <c r="OX16">
        <v>1.018</v>
      </c>
      <c r="OY16">
        <v>130</v>
      </c>
      <c r="PB16" t="s">
        <v>36</v>
      </c>
      <c r="PC16">
        <v>7.1269999999999998</v>
      </c>
      <c r="PD16">
        <v>0.182</v>
      </c>
      <c r="PE16">
        <v>6.72</v>
      </c>
      <c r="PF16">
        <v>7.016</v>
      </c>
      <c r="PG16">
        <v>7.1550000000000002</v>
      </c>
      <c r="PH16">
        <v>7.2649999999999997</v>
      </c>
      <c r="PI16">
        <v>7.4050000000000002</v>
      </c>
      <c r="PJ16">
        <v>1.008</v>
      </c>
      <c r="PK16">
        <v>340</v>
      </c>
      <c r="PN16" t="s">
        <v>36</v>
      </c>
      <c r="PO16">
        <v>7.1790000000000003</v>
      </c>
      <c r="PP16">
        <v>0.16200000000000001</v>
      </c>
      <c r="PQ16">
        <v>6.8120000000000003</v>
      </c>
      <c r="PR16">
        <v>7.077</v>
      </c>
      <c r="PS16">
        <v>7.2140000000000004</v>
      </c>
      <c r="PT16">
        <v>7.3109999999999999</v>
      </c>
      <c r="PU16">
        <v>7.39</v>
      </c>
      <c r="PV16">
        <v>1.0009999999999999</v>
      </c>
      <c r="PW16">
        <v>3000</v>
      </c>
      <c r="QA16" t="s">
        <v>36</v>
      </c>
      <c r="QB16">
        <v>6.2329999999999997</v>
      </c>
      <c r="QC16">
        <v>0.14499999999999999</v>
      </c>
      <c r="QD16">
        <v>5.9189999999999996</v>
      </c>
      <c r="QE16">
        <v>6.1369999999999996</v>
      </c>
      <c r="QF16">
        <v>6.2380000000000004</v>
      </c>
      <c r="QG16">
        <v>6.3390000000000004</v>
      </c>
      <c r="QH16">
        <v>6.4969999999999999</v>
      </c>
      <c r="QI16">
        <v>1.04</v>
      </c>
      <c r="QJ16">
        <v>61</v>
      </c>
      <c r="QL16">
        <f t="shared" si="2"/>
        <v>0.94600000000000062</v>
      </c>
    </row>
    <row r="17" spans="1:454">
      <c r="A17" t="s">
        <v>37</v>
      </c>
      <c r="B17">
        <v>6.77</v>
      </c>
      <c r="C17">
        <v>0.996</v>
      </c>
      <c r="D17">
        <v>4.6879999999999997</v>
      </c>
      <c r="E17">
        <v>6.1239999999999997</v>
      </c>
      <c r="F17">
        <v>6.7889999999999997</v>
      </c>
      <c r="G17">
        <v>7.4420000000000002</v>
      </c>
      <c r="H17">
        <v>8.5500000000000007</v>
      </c>
      <c r="I17">
        <v>1.0189999999999999</v>
      </c>
      <c r="J17">
        <v>280</v>
      </c>
      <c r="O17" t="s">
        <v>37</v>
      </c>
      <c r="P17">
        <v>4.0030000000000001</v>
      </c>
      <c r="Q17">
        <v>1.746</v>
      </c>
      <c r="R17">
        <v>0.61899999999999999</v>
      </c>
      <c r="S17">
        <v>2.7010000000000001</v>
      </c>
      <c r="T17">
        <v>4.0460000000000003</v>
      </c>
      <c r="U17">
        <v>5.3470000000000004</v>
      </c>
      <c r="V17">
        <v>7.0839999999999996</v>
      </c>
      <c r="W17">
        <v>1.002</v>
      </c>
      <c r="X17">
        <v>1900</v>
      </c>
      <c r="AC17" t="s">
        <v>37</v>
      </c>
      <c r="AD17">
        <v>6.1020000000000003</v>
      </c>
      <c r="AE17">
        <v>0.79700000000000004</v>
      </c>
      <c r="AF17">
        <v>4.3529999999999998</v>
      </c>
      <c r="AG17">
        <v>5.5759999999999996</v>
      </c>
      <c r="AH17">
        <v>6.1959999999999997</v>
      </c>
      <c r="AI17">
        <v>6.742</v>
      </c>
      <c r="AJ17">
        <v>7.29</v>
      </c>
      <c r="AK17">
        <v>1.002</v>
      </c>
      <c r="AL17">
        <v>1500</v>
      </c>
      <c r="AQ17" t="s">
        <v>37</v>
      </c>
      <c r="AR17">
        <v>6.2380000000000004</v>
      </c>
      <c r="AS17">
        <v>0.69499999999999995</v>
      </c>
      <c r="AT17">
        <v>4.7640000000000002</v>
      </c>
      <c r="AU17">
        <v>5.7770000000000001</v>
      </c>
      <c r="AV17">
        <v>6.2990000000000004</v>
      </c>
      <c r="AW17">
        <v>6.7869999999999999</v>
      </c>
      <c r="AX17">
        <v>7.319</v>
      </c>
      <c r="AY17">
        <v>1.0009999999999999</v>
      </c>
      <c r="AZ17">
        <v>2500</v>
      </c>
      <c r="BE17" t="s">
        <v>37</v>
      </c>
      <c r="BF17">
        <v>6.1879999999999997</v>
      </c>
      <c r="BG17">
        <v>0.621</v>
      </c>
      <c r="BH17">
        <v>4.8840000000000003</v>
      </c>
      <c r="BI17">
        <v>5.7759999999999998</v>
      </c>
      <c r="BJ17">
        <v>6.2210000000000001</v>
      </c>
      <c r="BK17">
        <v>6.6509999999999998</v>
      </c>
      <c r="BL17">
        <v>7.2619999999999996</v>
      </c>
      <c r="BM17">
        <v>1.0069999999999999</v>
      </c>
      <c r="BN17">
        <v>290</v>
      </c>
      <c r="BS17" t="s">
        <v>37</v>
      </c>
      <c r="BT17">
        <v>5.9370000000000003</v>
      </c>
      <c r="BU17">
        <v>0.80100000000000005</v>
      </c>
      <c r="BV17">
        <v>4.2389999999999999</v>
      </c>
      <c r="BW17">
        <v>5.3730000000000002</v>
      </c>
      <c r="BX17">
        <v>5.9909999999999997</v>
      </c>
      <c r="BY17">
        <v>6.5419999999999998</v>
      </c>
      <c r="BZ17">
        <v>7.26</v>
      </c>
      <c r="CA17">
        <v>1.0009999999999999</v>
      </c>
      <c r="CB17">
        <v>3000</v>
      </c>
      <c r="CG17" t="s">
        <v>37</v>
      </c>
      <c r="CH17">
        <v>6.06</v>
      </c>
      <c r="CI17">
        <v>0.67400000000000004</v>
      </c>
      <c r="CJ17">
        <v>4.6639999999999997</v>
      </c>
      <c r="CK17">
        <v>5.5890000000000004</v>
      </c>
      <c r="CL17">
        <v>6.0960000000000001</v>
      </c>
      <c r="CM17">
        <v>6.5549999999999997</v>
      </c>
      <c r="CN17">
        <v>7.2519999999999998</v>
      </c>
      <c r="CO17">
        <v>1.006</v>
      </c>
      <c r="CP17">
        <v>400</v>
      </c>
      <c r="CU17" t="s">
        <v>37</v>
      </c>
      <c r="CV17">
        <v>6.3849999999999998</v>
      </c>
      <c r="CW17">
        <v>0.68300000000000005</v>
      </c>
      <c r="CX17">
        <v>4.8490000000000002</v>
      </c>
      <c r="CY17">
        <v>5.9489999999999998</v>
      </c>
      <c r="CZ17">
        <v>6.508</v>
      </c>
      <c r="DA17">
        <v>6.9260000000000002</v>
      </c>
      <c r="DB17">
        <v>7.3289999999999997</v>
      </c>
      <c r="DC17">
        <v>1.012</v>
      </c>
      <c r="DD17">
        <v>210</v>
      </c>
      <c r="DI17" t="s">
        <v>37</v>
      </c>
      <c r="DJ17">
        <v>6.17</v>
      </c>
      <c r="DK17">
        <v>0.75600000000000001</v>
      </c>
      <c r="DL17">
        <v>4.5</v>
      </c>
      <c r="DM17">
        <v>5.69</v>
      </c>
      <c r="DN17">
        <v>6.2469999999999999</v>
      </c>
      <c r="DO17">
        <v>6.766</v>
      </c>
      <c r="DP17">
        <v>7.3049999999999997</v>
      </c>
      <c r="DQ17">
        <v>1.0029999999999999</v>
      </c>
      <c r="DR17">
        <v>820</v>
      </c>
      <c r="DY17" t="s">
        <v>37</v>
      </c>
      <c r="DZ17">
        <v>6.28</v>
      </c>
      <c r="EA17">
        <v>0.69799999999999995</v>
      </c>
      <c r="EB17">
        <v>4.7389999999999999</v>
      </c>
      <c r="EC17">
        <v>5.8239999999999998</v>
      </c>
      <c r="ED17">
        <v>6.3609999999999998</v>
      </c>
      <c r="EE17">
        <v>6.8280000000000003</v>
      </c>
      <c r="EF17">
        <v>7.3159999999999998</v>
      </c>
      <c r="EG17">
        <v>1.0069999999999999</v>
      </c>
      <c r="EH17">
        <v>350</v>
      </c>
      <c r="EK17" t="s">
        <v>37</v>
      </c>
      <c r="EL17">
        <v>4.4710000000000001</v>
      </c>
      <c r="EM17">
        <v>0.80200000000000005</v>
      </c>
      <c r="EN17">
        <v>2.9940000000000002</v>
      </c>
      <c r="EO17">
        <v>3.915</v>
      </c>
      <c r="EP17">
        <v>4.4169999999999998</v>
      </c>
      <c r="EQ17">
        <v>4.9720000000000004</v>
      </c>
      <c r="ER17">
        <v>6.2140000000000004</v>
      </c>
      <c r="ES17">
        <v>1.0049999999999999</v>
      </c>
      <c r="ET17">
        <v>370</v>
      </c>
      <c r="EY17" t="s">
        <v>37</v>
      </c>
      <c r="EZ17">
        <v>5.6310000000000002</v>
      </c>
      <c r="FA17">
        <v>0.79400000000000004</v>
      </c>
      <c r="FB17">
        <v>4.1079999999999997</v>
      </c>
      <c r="FC17">
        <v>5.0529999999999999</v>
      </c>
      <c r="FD17">
        <v>5.6479999999999997</v>
      </c>
      <c r="FE17">
        <v>6.18</v>
      </c>
      <c r="FF17">
        <v>7.1139999999999999</v>
      </c>
      <c r="FG17">
        <v>1.0009999999999999</v>
      </c>
      <c r="FH17">
        <v>3000</v>
      </c>
      <c r="FM17" t="s">
        <v>124</v>
      </c>
      <c r="FN17">
        <v>14.461</v>
      </c>
      <c r="FO17">
        <v>0.68300000000000005</v>
      </c>
      <c r="FP17">
        <v>13.135999999999999</v>
      </c>
      <c r="FQ17">
        <v>13.987</v>
      </c>
      <c r="FR17">
        <v>14.451000000000001</v>
      </c>
      <c r="FS17">
        <v>14.930999999999999</v>
      </c>
      <c r="FT17">
        <v>15.835000000000001</v>
      </c>
      <c r="FU17">
        <v>1.0009999999999999</v>
      </c>
      <c r="FV17">
        <v>2800</v>
      </c>
      <c r="GA17" t="s">
        <v>37</v>
      </c>
      <c r="GB17">
        <v>6.43</v>
      </c>
      <c r="GC17">
        <v>0.52400000000000002</v>
      </c>
      <c r="GD17">
        <v>5.3650000000000002</v>
      </c>
      <c r="GE17">
        <v>6.0709999999999997</v>
      </c>
      <c r="GF17">
        <v>6.468</v>
      </c>
      <c r="GG17">
        <v>6.8380000000000001</v>
      </c>
      <c r="GH17">
        <v>7.2889999999999997</v>
      </c>
      <c r="GI17">
        <v>1.0009999999999999</v>
      </c>
      <c r="GJ17">
        <v>3000</v>
      </c>
      <c r="GO17" t="s">
        <v>37</v>
      </c>
      <c r="GP17">
        <v>5.5970000000000004</v>
      </c>
      <c r="GQ17">
        <v>0.81399999999999995</v>
      </c>
      <c r="GR17">
        <v>4.0709999999999997</v>
      </c>
      <c r="GS17">
        <v>5.0279999999999996</v>
      </c>
      <c r="GT17">
        <v>5.5730000000000004</v>
      </c>
      <c r="GU17">
        <v>6.1840000000000002</v>
      </c>
      <c r="GV17">
        <v>7.117</v>
      </c>
      <c r="GW17">
        <v>1.0009999999999999</v>
      </c>
      <c r="GX17">
        <v>3000</v>
      </c>
      <c r="HC17" t="s">
        <v>37</v>
      </c>
      <c r="HD17">
        <v>5.6429999999999998</v>
      </c>
      <c r="HE17">
        <v>0.80500000000000005</v>
      </c>
      <c r="HF17">
        <v>4.101</v>
      </c>
      <c r="HG17">
        <v>5.0819999999999999</v>
      </c>
      <c r="HH17">
        <v>5.6219999999999999</v>
      </c>
      <c r="HI17">
        <v>6.234</v>
      </c>
      <c r="HJ17">
        <v>7.1829999999999998</v>
      </c>
      <c r="HK17">
        <v>1.0009999999999999</v>
      </c>
      <c r="HL17">
        <v>3000</v>
      </c>
      <c r="HP17" s="7"/>
      <c r="HQ17" s="7" t="s">
        <v>37</v>
      </c>
      <c r="HR17" s="7">
        <v>5.2969999999999997</v>
      </c>
      <c r="HS17" s="7">
        <v>0.82299999999999995</v>
      </c>
      <c r="HT17" s="7">
        <v>3.7730000000000001</v>
      </c>
      <c r="HU17" s="7">
        <v>4.7359999999999998</v>
      </c>
      <c r="HV17" s="7">
        <v>5.26</v>
      </c>
      <c r="HW17" s="7">
        <v>5.8410000000000002</v>
      </c>
      <c r="HX17" s="7">
        <v>7.0279999999999996</v>
      </c>
      <c r="HY17" s="7">
        <v>1.0009999999999999</v>
      </c>
      <c r="HZ17" s="7">
        <v>3000</v>
      </c>
      <c r="IA17" s="7"/>
      <c r="IE17" t="s">
        <v>37</v>
      </c>
      <c r="IF17">
        <v>6.1529999999999996</v>
      </c>
      <c r="IG17">
        <v>0.56399999999999995</v>
      </c>
      <c r="IH17">
        <v>5.0979999999999999</v>
      </c>
      <c r="II17">
        <v>5.74</v>
      </c>
      <c r="IJ17">
        <v>6.1459999999999999</v>
      </c>
      <c r="IK17">
        <v>6.5590000000000002</v>
      </c>
      <c r="IL17">
        <v>7.2110000000000003</v>
      </c>
      <c r="IM17">
        <v>1.0009999999999999</v>
      </c>
      <c r="IN17">
        <v>3000</v>
      </c>
      <c r="IS17" t="s">
        <v>37</v>
      </c>
      <c r="IT17">
        <v>6.3440000000000003</v>
      </c>
      <c r="IU17">
        <v>0.56599999999999995</v>
      </c>
      <c r="IV17">
        <v>5.2309999999999999</v>
      </c>
      <c r="IW17">
        <v>5.9390000000000001</v>
      </c>
      <c r="IX17">
        <v>6.3570000000000002</v>
      </c>
      <c r="IY17">
        <v>6.7889999999999997</v>
      </c>
      <c r="IZ17">
        <v>7.298</v>
      </c>
      <c r="JA17">
        <v>1.0009999999999999</v>
      </c>
      <c r="JB17">
        <v>3000</v>
      </c>
      <c r="JF17" t="s">
        <v>37</v>
      </c>
      <c r="JG17">
        <v>5.6260000000000003</v>
      </c>
      <c r="JH17">
        <v>0.745</v>
      </c>
      <c r="JI17">
        <v>4.2530000000000001</v>
      </c>
      <c r="JJ17">
        <v>5.0990000000000002</v>
      </c>
      <c r="JK17">
        <v>5.58</v>
      </c>
      <c r="JL17">
        <v>6.1630000000000003</v>
      </c>
      <c r="JM17">
        <v>7.0970000000000004</v>
      </c>
      <c r="JN17">
        <v>1.0009999999999999</v>
      </c>
      <c r="JO17">
        <v>3000</v>
      </c>
      <c r="JT17" t="s">
        <v>37</v>
      </c>
      <c r="JU17">
        <v>5.5579999999999998</v>
      </c>
      <c r="JV17">
        <v>0.77800000000000002</v>
      </c>
      <c r="JW17">
        <v>4.0880000000000001</v>
      </c>
      <c r="JX17">
        <v>5.0140000000000002</v>
      </c>
      <c r="JY17">
        <v>5.5490000000000004</v>
      </c>
      <c r="JZ17">
        <v>6.1020000000000003</v>
      </c>
      <c r="KA17">
        <v>7.11</v>
      </c>
      <c r="KB17">
        <v>1.0009999999999999</v>
      </c>
      <c r="KC17">
        <v>3000</v>
      </c>
      <c r="KH17" t="s">
        <v>37</v>
      </c>
      <c r="KI17">
        <v>5.4909999999999997</v>
      </c>
      <c r="KJ17">
        <v>0.80800000000000005</v>
      </c>
      <c r="KK17">
        <v>4.0010000000000003</v>
      </c>
      <c r="KL17">
        <v>4.93</v>
      </c>
      <c r="KM17">
        <v>5.4569999999999999</v>
      </c>
      <c r="KN17">
        <v>6.056</v>
      </c>
      <c r="KO17">
        <v>7.0919999999999996</v>
      </c>
      <c r="KP17">
        <v>1.0049999999999999</v>
      </c>
      <c r="KQ17">
        <v>420</v>
      </c>
      <c r="KR17">
        <f t="shared" si="0"/>
        <v>242.4995852338017</v>
      </c>
      <c r="KS17">
        <f t="shared" si="1"/>
        <v>1263.598764263116</v>
      </c>
      <c r="KV17" t="s">
        <v>37</v>
      </c>
      <c r="KW17">
        <v>6.7249999999999996</v>
      </c>
      <c r="KX17">
        <v>0.39700000000000002</v>
      </c>
      <c r="KY17">
        <v>5.9669999999999996</v>
      </c>
      <c r="KZ17">
        <v>6.444</v>
      </c>
      <c r="LA17">
        <v>6.7140000000000004</v>
      </c>
      <c r="LB17">
        <v>7.0140000000000002</v>
      </c>
      <c r="LC17">
        <v>7.4809999999999999</v>
      </c>
      <c r="LD17">
        <v>1.0049999999999999</v>
      </c>
      <c r="LE17">
        <v>450</v>
      </c>
      <c r="LJ17" t="s">
        <v>37</v>
      </c>
      <c r="LK17">
        <v>6.0339999999999998</v>
      </c>
      <c r="LL17">
        <v>0.27100000000000002</v>
      </c>
      <c r="LM17">
        <v>5.5490000000000004</v>
      </c>
      <c r="LN17">
        <v>5.8470000000000004</v>
      </c>
      <c r="LO17">
        <v>6.0110000000000001</v>
      </c>
      <c r="LP17">
        <v>6.2009999999999996</v>
      </c>
      <c r="LQ17">
        <v>6.5979999999999999</v>
      </c>
      <c r="LR17">
        <v>1.004</v>
      </c>
      <c r="LS17">
        <v>620</v>
      </c>
      <c r="LX17" t="s">
        <v>37</v>
      </c>
      <c r="LY17">
        <v>1.835</v>
      </c>
      <c r="LZ17">
        <v>1.173</v>
      </c>
      <c r="MA17">
        <v>-0.79400000000000004</v>
      </c>
      <c r="MB17">
        <v>1.135</v>
      </c>
      <c r="MC17">
        <v>1.998</v>
      </c>
      <c r="MD17">
        <v>2.6819999999999999</v>
      </c>
      <c r="ME17">
        <v>3.7210000000000001</v>
      </c>
      <c r="MF17">
        <v>1.379</v>
      </c>
      <c r="MG17">
        <v>9</v>
      </c>
      <c r="ML17" t="s">
        <v>37</v>
      </c>
      <c r="MM17">
        <v>7.0090000000000003</v>
      </c>
      <c r="MN17">
        <v>0.34599999999999997</v>
      </c>
      <c r="MO17">
        <v>6.3129999999999997</v>
      </c>
      <c r="MP17">
        <v>6.7679999999999998</v>
      </c>
      <c r="MQ17">
        <v>7.0220000000000002</v>
      </c>
      <c r="MR17">
        <v>7.2649999999999997</v>
      </c>
      <c r="MS17">
        <v>7.6310000000000002</v>
      </c>
      <c r="MT17">
        <v>1.002</v>
      </c>
      <c r="MU17">
        <v>2600</v>
      </c>
      <c r="MZ17" t="s">
        <v>37</v>
      </c>
      <c r="NA17">
        <v>7.0830000000000002</v>
      </c>
      <c r="NB17">
        <v>0.315</v>
      </c>
      <c r="NC17">
        <v>6.4470000000000001</v>
      </c>
      <c r="ND17">
        <v>6.87</v>
      </c>
      <c r="NE17">
        <v>7.1059999999999999</v>
      </c>
      <c r="NF17">
        <v>7.3120000000000003</v>
      </c>
      <c r="NG17">
        <v>7.6340000000000003</v>
      </c>
      <c r="NH17">
        <v>1.0029999999999999</v>
      </c>
      <c r="NI17">
        <v>850</v>
      </c>
      <c r="NM17" t="s">
        <v>37</v>
      </c>
      <c r="NN17">
        <v>6.8470000000000004</v>
      </c>
      <c r="NO17">
        <v>0.23</v>
      </c>
      <c r="NP17">
        <v>6.4320000000000004</v>
      </c>
      <c r="NQ17">
        <v>6.68</v>
      </c>
      <c r="NR17">
        <v>6.8369999999999997</v>
      </c>
      <c r="NS17">
        <v>7.008</v>
      </c>
      <c r="NT17">
        <v>7.3</v>
      </c>
      <c r="NU17">
        <v>1.0009999999999999</v>
      </c>
      <c r="NV17">
        <v>9200</v>
      </c>
      <c r="NY17" t="s">
        <v>37</v>
      </c>
      <c r="NZ17">
        <v>6.6859999999999999</v>
      </c>
      <c r="OA17">
        <v>0.23499999999999999</v>
      </c>
      <c r="OB17">
        <v>6.2880000000000003</v>
      </c>
      <c r="OC17">
        <v>6.5140000000000002</v>
      </c>
      <c r="OD17">
        <v>6.6639999999999997</v>
      </c>
      <c r="OE17">
        <v>6.8419999999999996</v>
      </c>
      <c r="OF17">
        <v>7.1829999999999998</v>
      </c>
      <c r="OG17">
        <v>1.0009999999999999</v>
      </c>
      <c r="OH17">
        <v>4900</v>
      </c>
      <c r="OP17" t="s">
        <v>37</v>
      </c>
      <c r="OQ17">
        <v>7.0060000000000002</v>
      </c>
      <c r="OR17">
        <v>0.26600000000000001</v>
      </c>
      <c r="OS17">
        <v>6.4509999999999996</v>
      </c>
      <c r="OT17">
        <v>6.8250000000000002</v>
      </c>
      <c r="OU17">
        <v>7.0350000000000001</v>
      </c>
      <c r="OV17">
        <v>7.2110000000000003</v>
      </c>
      <c r="OW17">
        <v>7.4359999999999999</v>
      </c>
      <c r="OX17">
        <v>1.0169999999999999</v>
      </c>
      <c r="OY17">
        <v>150</v>
      </c>
      <c r="PB17" t="s">
        <v>37</v>
      </c>
      <c r="PC17">
        <v>7.1829999999999998</v>
      </c>
      <c r="PD17">
        <v>0.191</v>
      </c>
      <c r="PE17">
        <v>6.7670000000000003</v>
      </c>
      <c r="PF17">
        <v>7.0590000000000002</v>
      </c>
      <c r="PG17">
        <v>7.2110000000000003</v>
      </c>
      <c r="PH17">
        <v>7.3280000000000003</v>
      </c>
      <c r="PI17">
        <v>7.4820000000000002</v>
      </c>
      <c r="PJ17">
        <v>1.01</v>
      </c>
      <c r="PK17">
        <v>270</v>
      </c>
      <c r="PN17" t="s">
        <v>37</v>
      </c>
      <c r="PO17">
        <v>7.1559999999999997</v>
      </c>
      <c r="PP17">
        <v>0.16</v>
      </c>
      <c r="PQ17">
        <v>6.7889999999999997</v>
      </c>
      <c r="PR17">
        <v>7.0549999999999997</v>
      </c>
      <c r="PS17">
        <v>7.1849999999999996</v>
      </c>
      <c r="PT17">
        <v>7.2809999999999997</v>
      </c>
      <c r="PU17">
        <v>7.3810000000000002</v>
      </c>
      <c r="PV17">
        <v>1.002</v>
      </c>
      <c r="PW17">
        <v>1700</v>
      </c>
      <c r="QA17" t="s">
        <v>37</v>
      </c>
      <c r="QB17">
        <v>6.2880000000000003</v>
      </c>
      <c r="QC17">
        <v>0.14299999999999999</v>
      </c>
      <c r="QD17">
        <v>5.99</v>
      </c>
      <c r="QE17">
        <v>6.1929999999999996</v>
      </c>
      <c r="QF17">
        <v>6.2930000000000001</v>
      </c>
      <c r="QG17">
        <v>6.3920000000000003</v>
      </c>
      <c r="QH17">
        <v>6.5449999999999999</v>
      </c>
      <c r="QI17">
        <v>1.056</v>
      </c>
      <c r="QJ17">
        <v>43</v>
      </c>
      <c r="QL17">
        <f t="shared" si="2"/>
        <v>0.86799999999999944</v>
      </c>
    </row>
    <row r="18" spans="1:454">
      <c r="A18" t="s">
        <v>38</v>
      </c>
      <c r="B18">
        <v>6.8739999999999997</v>
      </c>
      <c r="C18">
        <v>0.97899999999999998</v>
      </c>
      <c r="D18">
        <v>4.9610000000000003</v>
      </c>
      <c r="E18">
        <v>6.2169999999999996</v>
      </c>
      <c r="F18">
        <v>6.899</v>
      </c>
      <c r="G18">
        <v>7.5380000000000003</v>
      </c>
      <c r="H18">
        <v>8.7859999999999996</v>
      </c>
      <c r="I18">
        <v>1.0169999999999999</v>
      </c>
      <c r="J18">
        <v>300</v>
      </c>
      <c r="O18" t="s">
        <v>38</v>
      </c>
      <c r="P18">
        <v>4.3339999999999996</v>
      </c>
      <c r="Q18">
        <v>1.7010000000000001</v>
      </c>
      <c r="R18">
        <v>0.90300000000000002</v>
      </c>
      <c r="S18">
        <v>3.1259999999999999</v>
      </c>
      <c r="T18">
        <v>4.4219999999999997</v>
      </c>
      <c r="U18">
        <v>5.6950000000000003</v>
      </c>
      <c r="V18">
        <v>7.157</v>
      </c>
      <c r="W18">
        <v>1.0049999999999999</v>
      </c>
      <c r="X18">
        <v>3000</v>
      </c>
      <c r="AC18" t="s">
        <v>38</v>
      </c>
      <c r="AD18">
        <v>6.2030000000000003</v>
      </c>
      <c r="AE18">
        <v>0.71699999999999997</v>
      </c>
      <c r="AF18">
        <v>4.6909999999999998</v>
      </c>
      <c r="AG18">
        <v>5.7089999999999996</v>
      </c>
      <c r="AH18">
        <v>6.2830000000000004</v>
      </c>
      <c r="AI18">
        <v>6.774</v>
      </c>
      <c r="AJ18">
        <v>7.2919999999999998</v>
      </c>
      <c r="AK18">
        <v>1.002</v>
      </c>
      <c r="AL18">
        <v>2000</v>
      </c>
      <c r="AQ18" t="s">
        <v>38</v>
      </c>
      <c r="AR18">
        <v>6.2670000000000003</v>
      </c>
      <c r="AS18">
        <v>0.66300000000000003</v>
      </c>
      <c r="AT18">
        <v>4.8520000000000003</v>
      </c>
      <c r="AU18">
        <v>5.835</v>
      </c>
      <c r="AV18">
        <v>6.319</v>
      </c>
      <c r="AW18">
        <v>6.79</v>
      </c>
      <c r="AX18">
        <v>7.3140000000000001</v>
      </c>
      <c r="AY18">
        <v>1.0009999999999999</v>
      </c>
      <c r="AZ18">
        <v>3000</v>
      </c>
      <c r="BE18" t="s">
        <v>38</v>
      </c>
      <c r="BF18">
        <v>6.21</v>
      </c>
      <c r="BG18">
        <v>0.625</v>
      </c>
      <c r="BH18">
        <v>4.9340000000000002</v>
      </c>
      <c r="BI18">
        <v>5.78</v>
      </c>
      <c r="BJ18">
        <v>6.24</v>
      </c>
      <c r="BK18">
        <v>6.6859999999999999</v>
      </c>
      <c r="BL18">
        <v>7.2729999999999997</v>
      </c>
      <c r="BM18">
        <v>1.0029999999999999</v>
      </c>
      <c r="BN18">
        <v>870</v>
      </c>
      <c r="BS18" t="s">
        <v>38</v>
      </c>
      <c r="BT18">
        <v>6.1109999999999998</v>
      </c>
      <c r="BU18">
        <v>0.74399999999999999</v>
      </c>
      <c r="BV18">
        <v>4.5490000000000004</v>
      </c>
      <c r="BW18">
        <v>5.609</v>
      </c>
      <c r="BX18">
        <v>6.1420000000000003</v>
      </c>
      <c r="BY18">
        <v>6.7140000000000004</v>
      </c>
      <c r="BZ18">
        <v>7.3010000000000002</v>
      </c>
      <c r="CA18">
        <v>1.0009999999999999</v>
      </c>
      <c r="CB18">
        <v>3000</v>
      </c>
      <c r="CG18" t="s">
        <v>38</v>
      </c>
      <c r="CH18">
        <v>6.1479999999999997</v>
      </c>
      <c r="CI18">
        <v>0.64900000000000002</v>
      </c>
      <c r="CJ18">
        <v>4.774</v>
      </c>
      <c r="CK18">
        <v>5.7320000000000002</v>
      </c>
      <c r="CL18">
        <v>6.181</v>
      </c>
      <c r="CM18">
        <v>6.625</v>
      </c>
      <c r="CN18">
        <v>7.2629999999999999</v>
      </c>
      <c r="CO18">
        <v>1.004</v>
      </c>
      <c r="CP18">
        <v>630</v>
      </c>
      <c r="CU18" t="s">
        <v>38</v>
      </c>
      <c r="CV18">
        <v>6.4359999999999999</v>
      </c>
      <c r="CW18">
        <v>0.629</v>
      </c>
      <c r="CX18">
        <v>4.9950000000000001</v>
      </c>
      <c r="CY18">
        <v>6.0650000000000004</v>
      </c>
      <c r="CZ18">
        <v>6.53</v>
      </c>
      <c r="DA18">
        <v>6.93</v>
      </c>
      <c r="DB18">
        <v>7.3209999999999997</v>
      </c>
      <c r="DC18">
        <v>1.0189999999999999</v>
      </c>
      <c r="DD18">
        <v>130</v>
      </c>
      <c r="DI18" t="s">
        <v>38</v>
      </c>
      <c r="DJ18">
        <v>6.2869999999999999</v>
      </c>
      <c r="DK18">
        <v>0.7</v>
      </c>
      <c r="DL18">
        <v>4.7069999999999999</v>
      </c>
      <c r="DM18">
        <v>5.8449999999999998</v>
      </c>
      <c r="DN18">
        <v>6.3659999999999997</v>
      </c>
      <c r="DO18">
        <v>6.8419999999999996</v>
      </c>
      <c r="DP18">
        <v>7.3140000000000001</v>
      </c>
      <c r="DQ18">
        <v>1.0069999999999999</v>
      </c>
      <c r="DR18">
        <v>320</v>
      </c>
      <c r="DY18" t="s">
        <v>38</v>
      </c>
      <c r="DZ18">
        <v>6.4870000000000001</v>
      </c>
      <c r="EA18">
        <v>0.60599999999999998</v>
      </c>
      <c r="EB18">
        <v>5.1050000000000004</v>
      </c>
      <c r="EC18">
        <v>6.1340000000000003</v>
      </c>
      <c r="ED18">
        <v>6.5810000000000004</v>
      </c>
      <c r="EE18">
        <v>6.9530000000000003</v>
      </c>
      <c r="EF18">
        <v>7.33</v>
      </c>
      <c r="EG18">
        <v>1.002</v>
      </c>
      <c r="EH18">
        <v>1500</v>
      </c>
      <c r="EK18" t="s">
        <v>38</v>
      </c>
      <c r="EL18">
        <v>4.2969999999999997</v>
      </c>
      <c r="EM18">
        <v>0.86299999999999999</v>
      </c>
      <c r="EN18">
        <v>2.7269999999999999</v>
      </c>
      <c r="EO18">
        <v>3.6970000000000001</v>
      </c>
      <c r="EP18">
        <v>4.2389999999999999</v>
      </c>
      <c r="EQ18">
        <v>4.8390000000000004</v>
      </c>
      <c r="ER18">
        <v>6.12</v>
      </c>
      <c r="ES18">
        <v>1.0009999999999999</v>
      </c>
      <c r="ET18">
        <v>1500</v>
      </c>
      <c r="EY18" t="s">
        <v>38</v>
      </c>
      <c r="EZ18">
        <v>5.1289999999999996</v>
      </c>
      <c r="FA18">
        <v>0.874</v>
      </c>
      <c r="FB18">
        <v>3.4340000000000002</v>
      </c>
      <c r="FC18">
        <v>4.5449999999999999</v>
      </c>
      <c r="FD18">
        <v>5.0960000000000001</v>
      </c>
      <c r="FE18">
        <v>5.72</v>
      </c>
      <c r="FF18">
        <v>6.8570000000000002</v>
      </c>
      <c r="FG18">
        <v>1.0009999999999999</v>
      </c>
      <c r="FH18">
        <v>3000</v>
      </c>
      <c r="FM18" t="s">
        <v>125</v>
      </c>
      <c r="FN18">
        <v>0.122</v>
      </c>
      <c r="FO18">
        <v>0.08</v>
      </c>
      <c r="FP18">
        <v>2.3E-2</v>
      </c>
      <c r="FQ18">
        <v>6.3E-2</v>
      </c>
      <c r="FR18">
        <v>0.105</v>
      </c>
      <c r="FS18">
        <v>0.16</v>
      </c>
      <c r="FT18">
        <v>0.315</v>
      </c>
      <c r="FU18">
        <v>1.0149999999999999</v>
      </c>
      <c r="FV18">
        <v>170</v>
      </c>
      <c r="GA18" t="s">
        <v>38</v>
      </c>
      <c r="GB18">
        <v>6.4569999999999999</v>
      </c>
      <c r="GC18">
        <v>0.503</v>
      </c>
      <c r="GD18">
        <v>5.4630000000000001</v>
      </c>
      <c r="GE18">
        <v>6.0910000000000002</v>
      </c>
      <c r="GF18">
        <v>6.4630000000000001</v>
      </c>
      <c r="GG18">
        <v>6.8490000000000002</v>
      </c>
      <c r="GH18">
        <v>7.3129999999999997</v>
      </c>
      <c r="GI18">
        <v>1.0009999999999999</v>
      </c>
      <c r="GJ18">
        <v>3000</v>
      </c>
      <c r="GO18" t="s">
        <v>38</v>
      </c>
      <c r="GP18">
        <v>5.19</v>
      </c>
      <c r="GQ18">
        <v>0.84299999999999997</v>
      </c>
      <c r="GR18">
        <v>3.5779999999999998</v>
      </c>
      <c r="GS18">
        <v>4.6070000000000002</v>
      </c>
      <c r="GT18">
        <v>5.1959999999999997</v>
      </c>
      <c r="GU18">
        <v>5.7460000000000004</v>
      </c>
      <c r="GV18">
        <v>6.8810000000000002</v>
      </c>
      <c r="GW18">
        <v>1.0049999999999999</v>
      </c>
      <c r="GX18">
        <v>490</v>
      </c>
      <c r="HC18" t="s">
        <v>38</v>
      </c>
      <c r="HD18">
        <v>5.181</v>
      </c>
      <c r="HE18">
        <v>0.82499999999999996</v>
      </c>
      <c r="HF18">
        <v>3.6669999999999998</v>
      </c>
      <c r="HG18">
        <v>4.6029999999999998</v>
      </c>
      <c r="HH18">
        <v>5.1379999999999999</v>
      </c>
      <c r="HI18">
        <v>5.7480000000000002</v>
      </c>
      <c r="HJ18">
        <v>6.8940000000000001</v>
      </c>
      <c r="HK18">
        <v>1.002</v>
      </c>
      <c r="HL18">
        <v>1000</v>
      </c>
      <c r="HP18" s="7"/>
      <c r="HQ18" s="7" t="s">
        <v>38</v>
      </c>
      <c r="HR18" s="7">
        <v>4.6950000000000003</v>
      </c>
      <c r="HS18" s="7">
        <v>0.755</v>
      </c>
      <c r="HT18" s="7">
        <v>3.3639999999999999</v>
      </c>
      <c r="HU18" s="7">
        <v>4.1589999999999998</v>
      </c>
      <c r="HV18" s="7">
        <v>4.6440000000000001</v>
      </c>
      <c r="HW18" s="7">
        <v>5.18</v>
      </c>
      <c r="HX18" s="7">
        <v>6.2839999999999998</v>
      </c>
      <c r="HY18" s="7">
        <v>1.0029999999999999</v>
      </c>
      <c r="HZ18" s="7">
        <v>760</v>
      </c>
      <c r="IA18" s="7"/>
      <c r="IE18" t="s">
        <v>38</v>
      </c>
      <c r="IF18">
        <v>5.641</v>
      </c>
      <c r="IG18">
        <v>0.50800000000000001</v>
      </c>
      <c r="IH18">
        <v>4.7389999999999999</v>
      </c>
      <c r="II18">
        <v>5.2949999999999999</v>
      </c>
      <c r="IJ18">
        <v>5.6120000000000001</v>
      </c>
      <c r="IK18">
        <v>5.9649999999999999</v>
      </c>
      <c r="IL18">
        <v>6.7530000000000001</v>
      </c>
      <c r="IM18">
        <v>1.002</v>
      </c>
      <c r="IN18">
        <v>3000</v>
      </c>
      <c r="IS18" t="s">
        <v>38</v>
      </c>
      <c r="IT18">
        <v>5.87</v>
      </c>
      <c r="IU18">
        <v>0.53900000000000003</v>
      </c>
      <c r="IV18">
        <v>4.9109999999999996</v>
      </c>
      <c r="IW18">
        <v>5.4889999999999999</v>
      </c>
      <c r="IX18">
        <v>5.8319999999999999</v>
      </c>
      <c r="IY18">
        <v>6.2240000000000002</v>
      </c>
      <c r="IZ18">
        <v>7.0220000000000002</v>
      </c>
      <c r="JA18">
        <v>1.004</v>
      </c>
      <c r="JB18">
        <v>700</v>
      </c>
      <c r="JF18" t="s">
        <v>38</v>
      </c>
      <c r="JG18">
        <v>5.0880000000000001</v>
      </c>
      <c r="JH18">
        <v>0.70199999999999996</v>
      </c>
      <c r="JI18">
        <v>3.8420000000000001</v>
      </c>
      <c r="JJ18">
        <v>4.5990000000000002</v>
      </c>
      <c r="JK18">
        <v>5.0469999999999997</v>
      </c>
      <c r="JL18">
        <v>5.5289999999999999</v>
      </c>
      <c r="JM18">
        <v>6.641</v>
      </c>
      <c r="JN18">
        <v>1.0009999999999999</v>
      </c>
      <c r="JO18">
        <v>3000</v>
      </c>
      <c r="JT18" t="s">
        <v>38</v>
      </c>
      <c r="JU18">
        <v>5.0170000000000003</v>
      </c>
      <c r="JV18">
        <v>0.746</v>
      </c>
      <c r="JW18">
        <v>3.657</v>
      </c>
      <c r="JX18">
        <v>4.51</v>
      </c>
      <c r="JY18">
        <v>4.9859999999999998</v>
      </c>
      <c r="JZ18">
        <v>5.4880000000000004</v>
      </c>
      <c r="KA18">
        <v>6.6029999999999998</v>
      </c>
      <c r="KB18">
        <v>1.004</v>
      </c>
      <c r="KC18">
        <v>640</v>
      </c>
      <c r="KH18" t="s">
        <v>38</v>
      </c>
      <c r="KI18">
        <v>4.9550000000000001</v>
      </c>
      <c r="KJ18">
        <v>0.75</v>
      </c>
      <c r="KK18">
        <v>3.6520000000000001</v>
      </c>
      <c r="KL18">
        <v>4.423</v>
      </c>
      <c r="KM18">
        <v>4.9080000000000004</v>
      </c>
      <c r="KN18">
        <v>5.4210000000000003</v>
      </c>
      <c r="KO18">
        <v>6.57</v>
      </c>
      <c r="KP18">
        <v>1.0049999999999999</v>
      </c>
      <c r="KQ18">
        <v>400</v>
      </c>
      <c r="KR18">
        <f t="shared" si="0"/>
        <v>141.88260637295846</v>
      </c>
      <c r="KS18">
        <f t="shared" si="1"/>
        <v>1521.5971903806549</v>
      </c>
      <c r="KV18" t="s">
        <v>38</v>
      </c>
      <c r="KW18">
        <v>6.6369999999999996</v>
      </c>
      <c r="KX18">
        <v>0.36</v>
      </c>
      <c r="KY18">
        <v>5.9279999999999999</v>
      </c>
      <c r="KZ18">
        <v>6.3860000000000001</v>
      </c>
      <c r="LA18">
        <v>6.6349999999999998</v>
      </c>
      <c r="LB18">
        <v>6.8949999999999996</v>
      </c>
      <c r="LC18">
        <v>7.3109999999999999</v>
      </c>
      <c r="LD18">
        <v>1.006</v>
      </c>
      <c r="LE18">
        <v>390</v>
      </c>
      <c r="LJ18" t="s">
        <v>38</v>
      </c>
      <c r="LK18">
        <v>5.9859999999999998</v>
      </c>
      <c r="LL18">
        <v>0.255</v>
      </c>
      <c r="LM18">
        <v>5.5270000000000001</v>
      </c>
      <c r="LN18">
        <v>5.8070000000000004</v>
      </c>
      <c r="LO18">
        <v>5.9669999999999996</v>
      </c>
      <c r="LP18">
        <v>6.1449999999999996</v>
      </c>
      <c r="LQ18">
        <v>6.52</v>
      </c>
      <c r="LR18">
        <v>1.004</v>
      </c>
      <c r="LS18">
        <v>660</v>
      </c>
      <c r="LX18" t="s">
        <v>38</v>
      </c>
      <c r="LY18">
        <v>2.2799999999999998</v>
      </c>
      <c r="LZ18">
        <v>0.80600000000000005</v>
      </c>
      <c r="MA18">
        <v>0.61399999999999999</v>
      </c>
      <c r="MB18">
        <v>1.7350000000000001</v>
      </c>
      <c r="MC18">
        <v>2.2989999999999999</v>
      </c>
      <c r="MD18">
        <v>2.863</v>
      </c>
      <c r="ME18">
        <v>3.7320000000000002</v>
      </c>
      <c r="MF18">
        <v>1.0109999999999999</v>
      </c>
      <c r="MG18">
        <v>280</v>
      </c>
      <c r="ML18" t="s">
        <v>38</v>
      </c>
      <c r="MM18">
        <v>6.883</v>
      </c>
      <c r="MN18">
        <v>0.307</v>
      </c>
      <c r="MO18">
        <v>6.2469999999999999</v>
      </c>
      <c r="MP18">
        <v>6.6689999999999996</v>
      </c>
      <c r="MQ18">
        <v>6.9029999999999996</v>
      </c>
      <c r="MR18">
        <v>7.1260000000000003</v>
      </c>
      <c r="MS18">
        <v>7.3719999999999999</v>
      </c>
      <c r="MT18">
        <v>1.002</v>
      </c>
      <c r="MU18">
        <v>3000</v>
      </c>
      <c r="MZ18" t="s">
        <v>38</v>
      </c>
      <c r="NA18">
        <v>6.9450000000000003</v>
      </c>
      <c r="NB18">
        <v>0.27800000000000002</v>
      </c>
      <c r="NC18">
        <v>6.3529999999999998</v>
      </c>
      <c r="ND18">
        <v>6.7549999999999999</v>
      </c>
      <c r="NE18">
        <v>6.97</v>
      </c>
      <c r="NF18">
        <v>7.1669999999999998</v>
      </c>
      <c r="NG18">
        <v>7.3760000000000003</v>
      </c>
      <c r="NH18">
        <v>1.0029999999999999</v>
      </c>
      <c r="NI18">
        <v>940</v>
      </c>
      <c r="NM18" t="s">
        <v>38</v>
      </c>
      <c r="NN18">
        <v>6.8959999999999999</v>
      </c>
      <c r="NO18">
        <v>0.23799999999999999</v>
      </c>
      <c r="NP18">
        <v>6.4480000000000004</v>
      </c>
      <c r="NQ18">
        <v>6.72</v>
      </c>
      <c r="NR18">
        <v>6.8940000000000001</v>
      </c>
      <c r="NS18">
        <v>7.0780000000000003</v>
      </c>
      <c r="NT18">
        <v>7.3220000000000001</v>
      </c>
      <c r="NU18">
        <v>1.0009999999999999</v>
      </c>
      <c r="NV18">
        <v>7000</v>
      </c>
      <c r="NY18" t="s">
        <v>38</v>
      </c>
      <c r="NZ18">
        <v>6.7469999999999999</v>
      </c>
      <c r="OA18">
        <v>0.251</v>
      </c>
      <c r="OB18">
        <v>6.3140000000000001</v>
      </c>
      <c r="OC18">
        <v>6.5609999999999999</v>
      </c>
      <c r="OD18">
        <v>6.7240000000000002</v>
      </c>
      <c r="OE18">
        <v>6.92</v>
      </c>
      <c r="OF18">
        <v>7.2679999999999998</v>
      </c>
      <c r="OG18">
        <v>1.0009999999999999</v>
      </c>
      <c r="OH18">
        <v>5500</v>
      </c>
      <c r="OP18" t="s">
        <v>38</v>
      </c>
      <c r="OQ18">
        <v>7.0039999999999996</v>
      </c>
      <c r="OR18">
        <v>0.24299999999999999</v>
      </c>
      <c r="OS18">
        <v>6.4870000000000001</v>
      </c>
      <c r="OT18">
        <v>6.8360000000000003</v>
      </c>
      <c r="OU18">
        <v>7.0369999999999999</v>
      </c>
      <c r="OV18">
        <v>7.2030000000000003</v>
      </c>
      <c r="OW18">
        <v>7.3650000000000002</v>
      </c>
      <c r="OX18">
        <v>1.0189999999999999</v>
      </c>
      <c r="OY18">
        <v>130</v>
      </c>
      <c r="PB18" t="s">
        <v>38</v>
      </c>
      <c r="PC18">
        <v>7.1580000000000004</v>
      </c>
      <c r="PD18">
        <v>0.17100000000000001</v>
      </c>
      <c r="PE18">
        <v>6.7569999999999997</v>
      </c>
      <c r="PF18">
        <v>7.0490000000000004</v>
      </c>
      <c r="PG18">
        <v>7.1909999999999998</v>
      </c>
      <c r="PH18">
        <v>7.2969999999999997</v>
      </c>
      <c r="PI18">
        <v>7.3789999999999996</v>
      </c>
      <c r="PJ18">
        <v>1.0089999999999999</v>
      </c>
      <c r="PK18">
        <v>270</v>
      </c>
      <c r="PN18" t="s">
        <v>38</v>
      </c>
      <c r="PO18">
        <v>7.17</v>
      </c>
      <c r="PP18">
        <v>0.159</v>
      </c>
      <c r="PQ18">
        <v>6.8070000000000004</v>
      </c>
      <c r="PR18">
        <v>7.0720000000000001</v>
      </c>
      <c r="PS18">
        <v>7.2039999999999997</v>
      </c>
      <c r="PT18">
        <v>7.3</v>
      </c>
      <c r="PU18">
        <v>7.3710000000000004</v>
      </c>
      <c r="PV18">
        <v>1.0009999999999999</v>
      </c>
      <c r="PW18">
        <v>2400</v>
      </c>
      <c r="QA18" t="s">
        <v>38</v>
      </c>
      <c r="QB18">
        <v>6.2549999999999999</v>
      </c>
      <c r="QC18">
        <v>0.14399999999999999</v>
      </c>
      <c r="QD18">
        <v>5.95</v>
      </c>
      <c r="QE18">
        <v>6.1609999999999996</v>
      </c>
      <c r="QF18">
        <v>6.2590000000000003</v>
      </c>
      <c r="QG18">
        <v>6.36</v>
      </c>
      <c r="QH18">
        <v>6.516</v>
      </c>
      <c r="QI18">
        <v>1.046</v>
      </c>
      <c r="QJ18">
        <v>53</v>
      </c>
      <c r="QL18">
        <f t="shared" si="2"/>
        <v>0.91500000000000004</v>
      </c>
    </row>
    <row r="19" spans="1:454">
      <c r="A19" t="s">
        <v>39</v>
      </c>
      <c r="B19">
        <v>6.7439999999999998</v>
      </c>
      <c r="C19">
        <v>1.0289999999999999</v>
      </c>
      <c r="D19">
        <v>4.6580000000000004</v>
      </c>
      <c r="E19">
        <v>6.0640000000000001</v>
      </c>
      <c r="F19">
        <v>6.7530000000000001</v>
      </c>
      <c r="G19">
        <v>7.4470000000000001</v>
      </c>
      <c r="H19">
        <v>8.6229999999999993</v>
      </c>
      <c r="I19">
        <v>1.02</v>
      </c>
      <c r="J19">
        <v>440</v>
      </c>
      <c r="O19" t="s">
        <v>39</v>
      </c>
      <c r="P19">
        <v>4.3940000000000001</v>
      </c>
      <c r="Q19">
        <v>1.845</v>
      </c>
      <c r="R19">
        <v>0.45400000000000001</v>
      </c>
      <c r="S19">
        <v>3.1389999999999998</v>
      </c>
      <c r="T19">
        <v>4.6369999999999996</v>
      </c>
      <c r="U19">
        <v>5.8890000000000002</v>
      </c>
      <c r="V19">
        <v>7.1769999999999996</v>
      </c>
      <c r="W19">
        <v>1.006</v>
      </c>
      <c r="X19">
        <v>1100</v>
      </c>
      <c r="AC19" t="s">
        <v>39</v>
      </c>
      <c r="AD19">
        <v>6.3639999999999999</v>
      </c>
      <c r="AE19">
        <v>0.75</v>
      </c>
      <c r="AF19">
        <v>4.6040000000000001</v>
      </c>
      <c r="AG19">
        <v>5.9459999999999997</v>
      </c>
      <c r="AH19">
        <v>6.5119999999999996</v>
      </c>
      <c r="AI19">
        <v>6.9420000000000002</v>
      </c>
      <c r="AJ19">
        <v>7.3339999999999996</v>
      </c>
      <c r="AK19">
        <v>1.0029999999999999</v>
      </c>
      <c r="AL19">
        <v>950</v>
      </c>
      <c r="AQ19" t="s">
        <v>39</v>
      </c>
      <c r="AR19">
        <v>6.4269999999999996</v>
      </c>
      <c r="AS19">
        <v>0.69199999999999995</v>
      </c>
      <c r="AT19">
        <v>4.7450000000000001</v>
      </c>
      <c r="AU19">
        <v>6.0250000000000004</v>
      </c>
      <c r="AV19">
        <v>6.5679999999999996</v>
      </c>
      <c r="AW19">
        <v>6.9630000000000001</v>
      </c>
      <c r="AX19">
        <v>7.327</v>
      </c>
      <c r="AY19">
        <v>1.0009999999999999</v>
      </c>
      <c r="AZ19">
        <v>3000</v>
      </c>
      <c r="BE19" t="s">
        <v>39</v>
      </c>
      <c r="BF19">
        <v>5.6029999999999998</v>
      </c>
      <c r="BG19">
        <v>0.97399999999999998</v>
      </c>
      <c r="BH19">
        <v>3.5270000000000001</v>
      </c>
      <c r="BI19">
        <v>4.9420000000000002</v>
      </c>
      <c r="BJ19">
        <v>5.694</v>
      </c>
      <c r="BK19">
        <v>6.34</v>
      </c>
      <c r="BL19">
        <v>7.157</v>
      </c>
      <c r="BM19">
        <v>1.04</v>
      </c>
      <c r="BN19">
        <v>66</v>
      </c>
      <c r="BS19" t="s">
        <v>39</v>
      </c>
      <c r="BT19">
        <v>6.23</v>
      </c>
      <c r="BU19">
        <v>0.84099999999999997</v>
      </c>
      <c r="BV19">
        <v>4.181</v>
      </c>
      <c r="BW19">
        <v>5.7380000000000004</v>
      </c>
      <c r="BX19">
        <v>6.3940000000000001</v>
      </c>
      <c r="BY19">
        <v>6.8879999999999999</v>
      </c>
      <c r="BZ19">
        <v>7.3280000000000003</v>
      </c>
      <c r="CA19">
        <v>1.0009999999999999</v>
      </c>
      <c r="CB19">
        <v>3000</v>
      </c>
      <c r="CG19" t="s">
        <v>39</v>
      </c>
      <c r="CH19">
        <v>5.5359999999999996</v>
      </c>
      <c r="CI19">
        <v>0.97</v>
      </c>
      <c r="CJ19">
        <v>3.49</v>
      </c>
      <c r="CK19">
        <v>4.8920000000000003</v>
      </c>
      <c r="CL19">
        <v>5.6139999999999999</v>
      </c>
      <c r="CM19">
        <v>6.2649999999999997</v>
      </c>
      <c r="CN19">
        <v>7.1539999999999999</v>
      </c>
      <c r="CO19">
        <v>1.014</v>
      </c>
      <c r="CP19">
        <v>160</v>
      </c>
      <c r="CU19" t="s">
        <v>39</v>
      </c>
      <c r="CV19">
        <v>6.4960000000000004</v>
      </c>
      <c r="CW19">
        <v>0.68799999999999994</v>
      </c>
      <c r="CX19">
        <v>4.8339999999999996</v>
      </c>
      <c r="CY19">
        <v>6.1159999999999997</v>
      </c>
      <c r="CZ19">
        <v>6.641</v>
      </c>
      <c r="DA19">
        <v>7.04</v>
      </c>
      <c r="DB19">
        <v>7.343</v>
      </c>
      <c r="DC19">
        <v>1.014</v>
      </c>
      <c r="DD19">
        <v>210</v>
      </c>
      <c r="DI19" t="s">
        <v>39</v>
      </c>
      <c r="DJ19">
        <v>6.391</v>
      </c>
      <c r="DK19">
        <v>0.72299999999999998</v>
      </c>
      <c r="DL19">
        <v>4.6280000000000001</v>
      </c>
      <c r="DM19">
        <v>5.9740000000000002</v>
      </c>
      <c r="DN19">
        <v>6.5220000000000002</v>
      </c>
      <c r="DO19">
        <v>6.96</v>
      </c>
      <c r="DP19">
        <v>7.3410000000000002</v>
      </c>
      <c r="DQ19">
        <v>1.0009999999999999</v>
      </c>
      <c r="DR19">
        <v>2200</v>
      </c>
      <c r="DY19" t="s">
        <v>39</v>
      </c>
      <c r="DZ19">
        <v>6.4530000000000003</v>
      </c>
      <c r="EA19">
        <v>0.69699999999999995</v>
      </c>
      <c r="EB19">
        <v>4.7380000000000004</v>
      </c>
      <c r="EC19">
        <v>6.0629999999999997</v>
      </c>
      <c r="ED19">
        <v>6.6040000000000001</v>
      </c>
      <c r="EE19">
        <v>6.9950000000000001</v>
      </c>
      <c r="EF19">
        <v>7.3369999999999997</v>
      </c>
      <c r="EG19">
        <v>1.008</v>
      </c>
      <c r="EH19">
        <v>600</v>
      </c>
      <c r="EK19" t="s">
        <v>39</v>
      </c>
      <c r="EL19">
        <v>5.4660000000000002</v>
      </c>
      <c r="EM19">
        <v>1.1499999999999999</v>
      </c>
      <c r="EN19">
        <v>3.0529999999999999</v>
      </c>
      <c r="EO19">
        <v>4.6710000000000003</v>
      </c>
      <c r="EP19">
        <v>5.609</v>
      </c>
      <c r="EQ19">
        <v>6.3259999999999996</v>
      </c>
      <c r="ER19">
        <v>7.2619999999999996</v>
      </c>
      <c r="ES19">
        <v>1</v>
      </c>
      <c r="ET19">
        <v>1500</v>
      </c>
      <c r="EY19" t="s">
        <v>39</v>
      </c>
      <c r="EZ19">
        <v>5.2519999999999998</v>
      </c>
      <c r="FA19">
        <v>1.3660000000000001</v>
      </c>
      <c r="FB19">
        <v>2.3519999999999999</v>
      </c>
      <c r="FC19">
        <v>4.2960000000000003</v>
      </c>
      <c r="FD19">
        <v>5.4189999999999996</v>
      </c>
      <c r="FE19">
        <v>6.3760000000000003</v>
      </c>
      <c r="FF19">
        <v>7.258</v>
      </c>
      <c r="FG19">
        <v>1.0009999999999999</v>
      </c>
      <c r="FH19">
        <v>3000</v>
      </c>
      <c r="FM19" t="s">
        <v>126</v>
      </c>
      <c r="FN19">
        <v>0.41099999999999998</v>
      </c>
      <c r="FO19">
        <v>0.246</v>
      </c>
      <c r="FP19">
        <v>7.3999999999999996E-2</v>
      </c>
      <c r="FQ19">
        <v>0.23</v>
      </c>
      <c r="FR19">
        <v>0.36699999999999999</v>
      </c>
      <c r="FS19">
        <v>0.55100000000000005</v>
      </c>
      <c r="FT19">
        <v>0.99099999999999999</v>
      </c>
      <c r="FU19">
        <v>1.0149999999999999</v>
      </c>
      <c r="FV19">
        <v>150</v>
      </c>
      <c r="GA19" t="s">
        <v>39</v>
      </c>
      <c r="GB19">
        <v>6.5529999999999999</v>
      </c>
      <c r="GC19">
        <v>0.621</v>
      </c>
      <c r="GD19">
        <v>5.05</v>
      </c>
      <c r="GE19">
        <v>6.194</v>
      </c>
      <c r="GF19">
        <v>6.6760000000000002</v>
      </c>
      <c r="GG19">
        <v>7.05</v>
      </c>
      <c r="GH19">
        <v>7.35</v>
      </c>
      <c r="GI19">
        <v>1.002</v>
      </c>
      <c r="GJ19">
        <v>1900</v>
      </c>
      <c r="GO19" t="s">
        <v>39</v>
      </c>
      <c r="GP19">
        <v>5.3019999999999996</v>
      </c>
      <c r="GQ19">
        <v>1.31</v>
      </c>
      <c r="GR19">
        <v>2.496</v>
      </c>
      <c r="GS19">
        <v>4.4249999999999998</v>
      </c>
      <c r="GT19">
        <v>5.4880000000000004</v>
      </c>
      <c r="GU19">
        <v>6.3550000000000004</v>
      </c>
      <c r="GV19">
        <v>7.2320000000000002</v>
      </c>
      <c r="GW19">
        <v>1.004</v>
      </c>
      <c r="GX19">
        <v>620</v>
      </c>
      <c r="HC19" t="s">
        <v>39</v>
      </c>
      <c r="HD19">
        <v>5.3979999999999997</v>
      </c>
      <c r="HE19">
        <v>1.2749999999999999</v>
      </c>
      <c r="HF19">
        <v>2.6560000000000001</v>
      </c>
      <c r="HG19">
        <v>4.5650000000000004</v>
      </c>
      <c r="HH19">
        <v>5.5880000000000001</v>
      </c>
      <c r="HI19">
        <v>6.4059999999999997</v>
      </c>
      <c r="HJ19">
        <v>7.2549999999999999</v>
      </c>
      <c r="HK19">
        <v>1.0009999999999999</v>
      </c>
      <c r="HL19">
        <v>2400</v>
      </c>
      <c r="HP19" s="7"/>
      <c r="HQ19" s="7" t="s">
        <v>39</v>
      </c>
      <c r="HR19" s="7">
        <v>5.4450000000000003</v>
      </c>
      <c r="HS19" s="7">
        <v>1.149</v>
      </c>
      <c r="HT19" s="7">
        <v>2.8290000000000002</v>
      </c>
      <c r="HU19" s="7">
        <v>4.7649999999999997</v>
      </c>
      <c r="HV19" s="7">
        <v>5.5960000000000001</v>
      </c>
      <c r="HW19" s="7">
        <v>6.2880000000000003</v>
      </c>
      <c r="HX19" s="7">
        <v>7.2009999999999996</v>
      </c>
      <c r="HY19" s="7">
        <v>1.0009999999999999</v>
      </c>
      <c r="HZ19" s="7">
        <v>3000</v>
      </c>
      <c r="IA19" s="7"/>
      <c r="IE19" t="s">
        <v>39</v>
      </c>
      <c r="IF19">
        <v>6.181</v>
      </c>
      <c r="IG19">
        <v>0.86599999999999999</v>
      </c>
      <c r="IH19">
        <v>4.0389999999999997</v>
      </c>
      <c r="II19">
        <v>5.681</v>
      </c>
      <c r="IJ19">
        <v>6.3250000000000002</v>
      </c>
      <c r="IK19">
        <v>6.8659999999999997</v>
      </c>
      <c r="IL19">
        <v>7.3209999999999997</v>
      </c>
      <c r="IM19">
        <v>1.0009999999999999</v>
      </c>
      <c r="IN19">
        <v>3000</v>
      </c>
      <c r="IS19" t="s">
        <v>39</v>
      </c>
      <c r="IT19">
        <v>6.33</v>
      </c>
      <c r="IU19">
        <v>0.74099999999999999</v>
      </c>
      <c r="IV19">
        <v>4.6130000000000004</v>
      </c>
      <c r="IW19">
        <v>5.8810000000000002</v>
      </c>
      <c r="IX19">
        <v>6.4660000000000002</v>
      </c>
      <c r="IY19">
        <v>6.9020000000000001</v>
      </c>
      <c r="IZ19">
        <v>7.3310000000000004</v>
      </c>
      <c r="JA19">
        <v>1.004</v>
      </c>
      <c r="JB19">
        <v>920</v>
      </c>
      <c r="JF19" t="s">
        <v>39</v>
      </c>
      <c r="JG19">
        <v>5.7270000000000003</v>
      </c>
      <c r="JH19">
        <v>1.0680000000000001</v>
      </c>
      <c r="JI19">
        <v>3.2389999999999999</v>
      </c>
      <c r="JJ19">
        <v>5.0709999999999997</v>
      </c>
      <c r="JK19">
        <v>5.8620000000000001</v>
      </c>
      <c r="JL19">
        <v>6.5469999999999997</v>
      </c>
      <c r="JM19">
        <v>7.274</v>
      </c>
      <c r="JN19">
        <v>1.0009999999999999</v>
      </c>
      <c r="JO19">
        <v>3000</v>
      </c>
      <c r="JT19" t="s">
        <v>39</v>
      </c>
      <c r="JU19">
        <v>5.6340000000000003</v>
      </c>
      <c r="JV19">
        <v>1.0840000000000001</v>
      </c>
      <c r="JW19">
        <v>3.141</v>
      </c>
      <c r="JX19">
        <v>4.9539999999999997</v>
      </c>
      <c r="JY19">
        <v>5.7779999999999996</v>
      </c>
      <c r="JZ19">
        <v>6.4749999999999996</v>
      </c>
      <c r="KA19">
        <v>7.2229999999999999</v>
      </c>
      <c r="KB19">
        <v>1.002</v>
      </c>
      <c r="KC19">
        <v>1300</v>
      </c>
      <c r="KH19" t="s">
        <v>39</v>
      </c>
      <c r="KI19">
        <v>5.5590000000000002</v>
      </c>
      <c r="KJ19">
        <v>1.167</v>
      </c>
      <c r="KK19">
        <v>2.8450000000000002</v>
      </c>
      <c r="KL19">
        <v>4.8460000000000001</v>
      </c>
      <c r="KM19">
        <v>5.7309999999999999</v>
      </c>
      <c r="KN19">
        <v>6.4829999999999997</v>
      </c>
      <c r="KO19">
        <v>7.2690000000000001</v>
      </c>
      <c r="KP19">
        <v>1.012</v>
      </c>
      <c r="KQ19">
        <v>250</v>
      </c>
      <c r="KR19">
        <f t="shared" si="0"/>
        <v>259.56314335475309</v>
      </c>
      <c r="KS19">
        <f t="shared" si="1"/>
        <v>1550.7327406949321</v>
      </c>
      <c r="KV19" t="s">
        <v>39</v>
      </c>
      <c r="KW19">
        <v>6.7309999999999999</v>
      </c>
      <c r="KX19">
        <v>0.40100000000000002</v>
      </c>
      <c r="KY19">
        <v>5.9640000000000004</v>
      </c>
      <c r="KZ19">
        <v>6.4489999999999998</v>
      </c>
      <c r="LA19">
        <v>6.7160000000000002</v>
      </c>
      <c r="LB19">
        <v>7.0209999999999999</v>
      </c>
      <c r="LC19">
        <v>7.5039999999999996</v>
      </c>
      <c r="LD19">
        <v>1.0049999999999999</v>
      </c>
      <c r="LE19">
        <v>460</v>
      </c>
      <c r="LJ19" t="s">
        <v>39</v>
      </c>
      <c r="LK19">
        <v>6.0380000000000003</v>
      </c>
      <c r="LL19">
        <v>0.27300000000000002</v>
      </c>
      <c r="LM19">
        <v>5.5490000000000004</v>
      </c>
      <c r="LN19">
        <v>5.85</v>
      </c>
      <c r="LO19">
        <v>6.0140000000000002</v>
      </c>
      <c r="LP19">
        <v>6.2060000000000004</v>
      </c>
      <c r="LQ19">
        <v>6.6029999999999998</v>
      </c>
      <c r="LR19">
        <v>1.004</v>
      </c>
      <c r="LS19">
        <v>620</v>
      </c>
      <c r="LX19" t="s">
        <v>39</v>
      </c>
      <c r="LY19">
        <v>1.804</v>
      </c>
      <c r="LZ19">
        <v>1.21</v>
      </c>
      <c r="MA19">
        <v>-0.92700000000000005</v>
      </c>
      <c r="MB19">
        <v>1.079</v>
      </c>
      <c r="MC19">
        <v>1.9710000000000001</v>
      </c>
      <c r="MD19">
        <v>2.6779999999999999</v>
      </c>
      <c r="ME19">
        <v>3.7320000000000002</v>
      </c>
      <c r="MF19">
        <v>1.409</v>
      </c>
      <c r="MG19">
        <v>9</v>
      </c>
      <c r="ML19" t="s">
        <v>39</v>
      </c>
      <c r="MM19">
        <v>7.0179999999999998</v>
      </c>
      <c r="MN19">
        <v>0.35099999999999998</v>
      </c>
      <c r="MO19">
        <v>6.3150000000000004</v>
      </c>
      <c r="MP19">
        <v>6.774</v>
      </c>
      <c r="MQ19">
        <v>7.0289999999999999</v>
      </c>
      <c r="MR19">
        <v>7.2759999999999998</v>
      </c>
      <c r="MS19">
        <v>7.6520000000000001</v>
      </c>
      <c r="MT19">
        <v>1.002</v>
      </c>
      <c r="MU19">
        <v>2600</v>
      </c>
      <c r="MZ19" t="s">
        <v>39</v>
      </c>
      <c r="NA19">
        <v>7.093</v>
      </c>
      <c r="NB19">
        <v>0.31900000000000001</v>
      </c>
      <c r="NC19">
        <v>6.4509999999999996</v>
      </c>
      <c r="ND19">
        <v>6.8760000000000003</v>
      </c>
      <c r="NE19">
        <v>7.1139999999999999</v>
      </c>
      <c r="NF19">
        <v>7.3239999999999998</v>
      </c>
      <c r="NG19">
        <v>7.6529999999999996</v>
      </c>
      <c r="NH19">
        <v>1.0029999999999999</v>
      </c>
      <c r="NI19">
        <v>850</v>
      </c>
      <c r="NM19" t="s">
        <v>39</v>
      </c>
      <c r="NN19">
        <v>6.8440000000000003</v>
      </c>
      <c r="NO19">
        <v>0.23</v>
      </c>
      <c r="NP19">
        <v>6.43</v>
      </c>
      <c r="NQ19">
        <v>6.6769999999999996</v>
      </c>
      <c r="NR19">
        <v>6.8330000000000002</v>
      </c>
      <c r="NS19">
        <v>7.0039999999999996</v>
      </c>
      <c r="NT19">
        <v>7.3010000000000002</v>
      </c>
      <c r="NU19">
        <v>1.0009999999999999</v>
      </c>
      <c r="NV19">
        <v>9400</v>
      </c>
      <c r="NY19" t="s">
        <v>39</v>
      </c>
      <c r="NZ19">
        <v>6.6820000000000004</v>
      </c>
      <c r="OA19">
        <v>0.23400000000000001</v>
      </c>
      <c r="OB19">
        <v>6.2850000000000001</v>
      </c>
      <c r="OC19">
        <v>6.51</v>
      </c>
      <c r="OD19">
        <v>6.66</v>
      </c>
      <c r="OE19">
        <v>6.8369999999999997</v>
      </c>
      <c r="OF19">
        <v>7.181</v>
      </c>
      <c r="OG19">
        <v>1.0009999999999999</v>
      </c>
      <c r="OH19">
        <v>4800</v>
      </c>
      <c r="OP19" t="s">
        <v>39</v>
      </c>
      <c r="OQ19">
        <v>7.0060000000000002</v>
      </c>
      <c r="OR19">
        <v>0.26800000000000002</v>
      </c>
      <c r="OS19">
        <v>6.444</v>
      </c>
      <c r="OT19">
        <v>6.8259999999999996</v>
      </c>
      <c r="OU19">
        <v>7.0369999999999999</v>
      </c>
      <c r="OV19">
        <v>7.2110000000000003</v>
      </c>
      <c r="OW19">
        <v>7.4409999999999998</v>
      </c>
      <c r="OX19">
        <v>1.016</v>
      </c>
      <c r="OY19">
        <v>160</v>
      </c>
      <c r="PB19" t="s">
        <v>39</v>
      </c>
      <c r="PC19">
        <v>7.1849999999999996</v>
      </c>
      <c r="PD19">
        <v>0.193</v>
      </c>
      <c r="PE19">
        <v>6.7649999999999997</v>
      </c>
      <c r="PF19">
        <v>7.0590000000000002</v>
      </c>
      <c r="PG19">
        <v>7.2130000000000001</v>
      </c>
      <c r="PH19">
        <v>7.3289999999999997</v>
      </c>
      <c r="PI19">
        <v>7.49</v>
      </c>
      <c r="PJ19">
        <v>1.01</v>
      </c>
      <c r="PK19">
        <v>270</v>
      </c>
      <c r="PN19" t="s">
        <v>39</v>
      </c>
      <c r="PO19">
        <v>7.1239999999999997</v>
      </c>
      <c r="PP19">
        <v>0.186</v>
      </c>
      <c r="PQ19">
        <v>6.7210000000000001</v>
      </c>
      <c r="PR19">
        <v>7.0049999999999999</v>
      </c>
      <c r="PS19">
        <v>7.1390000000000002</v>
      </c>
      <c r="PT19">
        <v>7.2549999999999999</v>
      </c>
      <c r="PU19">
        <v>7.4560000000000004</v>
      </c>
      <c r="PV19">
        <v>1.002</v>
      </c>
      <c r="PW19">
        <v>1100</v>
      </c>
      <c r="QA19" t="s">
        <v>39</v>
      </c>
      <c r="QB19">
        <v>6.3650000000000002</v>
      </c>
      <c r="QC19">
        <v>0.14399999999999999</v>
      </c>
      <c r="QD19">
        <v>6.0819999999999999</v>
      </c>
      <c r="QE19">
        <v>6.2670000000000003</v>
      </c>
      <c r="QF19">
        <v>6.375</v>
      </c>
      <c r="QG19">
        <v>6.4710000000000001</v>
      </c>
      <c r="QH19">
        <v>6.6180000000000003</v>
      </c>
      <c r="QI19">
        <v>1.08</v>
      </c>
      <c r="QJ19">
        <v>31</v>
      </c>
      <c r="QL19">
        <f t="shared" si="2"/>
        <v>0.75899999999999945</v>
      </c>
    </row>
    <row r="20" spans="1:454">
      <c r="A20" t="s">
        <v>40</v>
      </c>
      <c r="B20">
        <v>6.641</v>
      </c>
      <c r="C20">
        <v>0.98099999999999998</v>
      </c>
      <c r="D20">
        <v>4.609</v>
      </c>
      <c r="E20">
        <v>6.0209999999999999</v>
      </c>
      <c r="F20">
        <v>6.6890000000000001</v>
      </c>
      <c r="G20">
        <v>7.2629999999999999</v>
      </c>
      <c r="H20">
        <v>8.3740000000000006</v>
      </c>
      <c r="I20">
        <v>1.0129999999999999</v>
      </c>
      <c r="J20">
        <v>1800</v>
      </c>
      <c r="O20" t="s">
        <v>40</v>
      </c>
      <c r="P20">
        <v>3.391</v>
      </c>
      <c r="Q20">
        <v>1.6859999999999999</v>
      </c>
      <c r="R20">
        <v>0.441</v>
      </c>
      <c r="S20">
        <v>2.12</v>
      </c>
      <c r="T20">
        <v>3.3620000000000001</v>
      </c>
      <c r="U20">
        <v>4.5789999999999997</v>
      </c>
      <c r="V20">
        <v>6.7670000000000003</v>
      </c>
      <c r="W20">
        <v>1.004</v>
      </c>
      <c r="X20">
        <v>530</v>
      </c>
      <c r="AC20" t="s">
        <v>40</v>
      </c>
      <c r="AD20">
        <v>6.0970000000000004</v>
      </c>
      <c r="AE20">
        <v>0.67700000000000005</v>
      </c>
      <c r="AF20">
        <v>4.6970000000000001</v>
      </c>
      <c r="AG20">
        <v>5.6210000000000004</v>
      </c>
      <c r="AH20">
        <v>6.1319999999999997</v>
      </c>
      <c r="AI20">
        <v>6.6079999999999997</v>
      </c>
      <c r="AJ20">
        <v>7.2619999999999996</v>
      </c>
      <c r="AK20">
        <v>1.002</v>
      </c>
      <c r="AL20">
        <v>1700</v>
      </c>
      <c r="AQ20" t="s">
        <v>40</v>
      </c>
      <c r="AR20">
        <v>6.0650000000000004</v>
      </c>
      <c r="AS20">
        <v>0.67300000000000004</v>
      </c>
      <c r="AT20">
        <v>4.7119999999999997</v>
      </c>
      <c r="AU20">
        <v>5.6070000000000002</v>
      </c>
      <c r="AV20">
        <v>6.0910000000000002</v>
      </c>
      <c r="AW20">
        <v>6.55</v>
      </c>
      <c r="AX20">
        <v>7.2469999999999999</v>
      </c>
      <c r="AY20">
        <v>1.002</v>
      </c>
      <c r="AZ20">
        <v>1600</v>
      </c>
      <c r="BE20" t="s">
        <v>40</v>
      </c>
      <c r="BF20">
        <v>6.2850000000000001</v>
      </c>
      <c r="BG20">
        <v>0.57999999999999996</v>
      </c>
      <c r="BH20">
        <v>5.1029999999999998</v>
      </c>
      <c r="BI20">
        <v>5.8920000000000003</v>
      </c>
      <c r="BJ20">
        <v>6.3159999999999998</v>
      </c>
      <c r="BK20">
        <v>6.7229999999999999</v>
      </c>
      <c r="BL20">
        <v>7.27</v>
      </c>
      <c r="BM20">
        <v>1.002</v>
      </c>
      <c r="BN20">
        <v>1500</v>
      </c>
      <c r="BS20" t="s">
        <v>40</v>
      </c>
      <c r="BT20">
        <v>6.0019999999999998</v>
      </c>
      <c r="BU20">
        <v>0.66400000000000003</v>
      </c>
      <c r="BV20">
        <v>4.6950000000000003</v>
      </c>
      <c r="BW20">
        <v>5.5250000000000004</v>
      </c>
      <c r="BX20">
        <v>6.0049999999999999</v>
      </c>
      <c r="BY20">
        <v>6.4950000000000001</v>
      </c>
      <c r="BZ20">
        <v>7.2270000000000003</v>
      </c>
      <c r="CA20">
        <v>1.0029999999999999</v>
      </c>
      <c r="CB20">
        <v>1000</v>
      </c>
      <c r="CG20" t="s">
        <v>40</v>
      </c>
      <c r="CH20">
        <v>6.2460000000000004</v>
      </c>
      <c r="CI20">
        <v>0.58399999999999996</v>
      </c>
      <c r="CJ20">
        <v>5.07</v>
      </c>
      <c r="CK20">
        <v>5.8479999999999999</v>
      </c>
      <c r="CL20">
        <v>6.2770000000000001</v>
      </c>
      <c r="CM20">
        <v>6.6890000000000001</v>
      </c>
      <c r="CN20">
        <v>7.26</v>
      </c>
      <c r="CO20">
        <v>1.002</v>
      </c>
      <c r="CP20">
        <v>1300</v>
      </c>
      <c r="CU20" t="s">
        <v>40</v>
      </c>
      <c r="CV20">
        <v>6.3250000000000002</v>
      </c>
      <c r="CW20">
        <v>0.63100000000000001</v>
      </c>
      <c r="CX20">
        <v>4.9749999999999996</v>
      </c>
      <c r="CY20">
        <v>5.8949999999999996</v>
      </c>
      <c r="CZ20">
        <v>6.3959999999999999</v>
      </c>
      <c r="DA20">
        <v>6.8179999999999996</v>
      </c>
      <c r="DB20">
        <v>7.2990000000000004</v>
      </c>
      <c r="DC20">
        <v>1.024</v>
      </c>
      <c r="DD20">
        <v>100</v>
      </c>
      <c r="DI20" t="s">
        <v>40</v>
      </c>
      <c r="DJ20">
        <v>6.1390000000000002</v>
      </c>
      <c r="DK20">
        <v>0.68400000000000005</v>
      </c>
      <c r="DL20">
        <v>4.673</v>
      </c>
      <c r="DM20">
        <v>5.6710000000000003</v>
      </c>
      <c r="DN20">
        <v>6.1950000000000003</v>
      </c>
      <c r="DO20">
        <v>6.6719999999999997</v>
      </c>
      <c r="DP20">
        <v>7.2519999999999998</v>
      </c>
      <c r="DQ20">
        <v>1.0029999999999999</v>
      </c>
      <c r="DR20">
        <v>950</v>
      </c>
      <c r="DY20" t="s">
        <v>40</v>
      </c>
      <c r="DZ20">
        <v>6.1980000000000004</v>
      </c>
      <c r="EA20">
        <v>0.65800000000000003</v>
      </c>
      <c r="EB20">
        <v>4.7939999999999996</v>
      </c>
      <c r="EC20">
        <v>5.7430000000000003</v>
      </c>
      <c r="ED20">
        <v>6.2469999999999999</v>
      </c>
      <c r="EE20">
        <v>6.7009999999999996</v>
      </c>
      <c r="EF20">
        <v>7.2729999999999997</v>
      </c>
      <c r="EG20">
        <v>1.002</v>
      </c>
      <c r="EH20">
        <v>1400</v>
      </c>
      <c r="EK20" t="s">
        <v>40</v>
      </c>
      <c r="EL20">
        <v>5.4580000000000002</v>
      </c>
      <c r="EM20">
        <v>0.58099999999999996</v>
      </c>
      <c r="EN20">
        <v>4.42</v>
      </c>
      <c r="EO20">
        <v>5.069</v>
      </c>
      <c r="EP20">
        <v>5.4560000000000004</v>
      </c>
      <c r="EQ20">
        <v>5.8319999999999999</v>
      </c>
      <c r="ER20">
        <v>6.68</v>
      </c>
      <c r="ES20">
        <v>1.0029999999999999</v>
      </c>
      <c r="ET20">
        <v>730</v>
      </c>
      <c r="EY20" t="s">
        <v>40</v>
      </c>
      <c r="EZ20">
        <v>6.2519999999999998</v>
      </c>
      <c r="FA20">
        <v>0.67100000000000004</v>
      </c>
      <c r="FB20">
        <v>4.806</v>
      </c>
      <c r="FC20">
        <v>5.7949999999999999</v>
      </c>
      <c r="FD20">
        <v>6.2990000000000004</v>
      </c>
      <c r="FE20">
        <v>6.7789999999999999</v>
      </c>
      <c r="FF20">
        <v>7.3120000000000003</v>
      </c>
      <c r="FG20">
        <v>1.0009999999999999</v>
      </c>
      <c r="FH20">
        <v>2800</v>
      </c>
      <c r="FM20" t="s">
        <v>131</v>
      </c>
      <c r="FN20">
        <v>-1E-3</v>
      </c>
      <c r="FO20">
        <v>0.57199999999999995</v>
      </c>
      <c r="FP20">
        <v>-0.94199999999999995</v>
      </c>
      <c r="FQ20">
        <v>-0.495</v>
      </c>
      <c r="FR20">
        <v>8.0000000000000002E-3</v>
      </c>
      <c r="FS20">
        <v>0.495</v>
      </c>
      <c r="FT20">
        <v>0.94499999999999995</v>
      </c>
      <c r="FU20">
        <v>1.0009999999999999</v>
      </c>
      <c r="FV20">
        <v>3000</v>
      </c>
      <c r="GA20" t="s">
        <v>40</v>
      </c>
      <c r="GB20">
        <v>6.5090000000000003</v>
      </c>
      <c r="GC20">
        <v>0.47199999999999998</v>
      </c>
      <c r="GD20">
        <v>5.5590000000000002</v>
      </c>
      <c r="GE20">
        <v>6.1909999999999998</v>
      </c>
      <c r="GF20">
        <v>6.5270000000000001</v>
      </c>
      <c r="GG20">
        <v>6.8760000000000003</v>
      </c>
      <c r="GH20">
        <v>7.306</v>
      </c>
      <c r="GI20">
        <v>1.0009999999999999</v>
      </c>
      <c r="GJ20">
        <v>3000</v>
      </c>
      <c r="GO20" t="s">
        <v>40</v>
      </c>
      <c r="GP20">
        <v>6.2389999999999999</v>
      </c>
      <c r="GQ20">
        <v>0.64300000000000002</v>
      </c>
      <c r="GR20">
        <v>4.8760000000000003</v>
      </c>
      <c r="GS20">
        <v>5.7990000000000004</v>
      </c>
      <c r="GT20">
        <v>6.2889999999999997</v>
      </c>
      <c r="GU20">
        <v>6.7489999999999997</v>
      </c>
      <c r="GV20">
        <v>7.2729999999999997</v>
      </c>
      <c r="GW20">
        <v>1.002</v>
      </c>
      <c r="GX20">
        <v>1100</v>
      </c>
      <c r="HC20" t="s">
        <v>40</v>
      </c>
      <c r="HD20">
        <v>6.2480000000000002</v>
      </c>
      <c r="HE20">
        <v>0.66500000000000004</v>
      </c>
      <c r="HF20">
        <v>4.8440000000000003</v>
      </c>
      <c r="HG20">
        <v>5.8109999999999999</v>
      </c>
      <c r="HH20">
        <v>6.31</v>
      </c>
      <c r="HI20">
        <v>6.7560000000000002</v>
      </c>
      <c r="HJ20">
        <v>7.2960000000000003</v>
      </c>
      <c r="HK20">
        <v>1.002</v>
      </c>
      <c r="HL20">
        <v>1500</v>
      </c>
      <c r="HP20" s="7"/>
      <c r="HQ20" s="7" t="s">
        <v>40</v>
      </c>
      <c r="HR20" s="7">
        <v>6.016</v>
      </c>
      <c r="HS20" s="7">
        <v>0.67</v>
      </c>
      <c r="HT20" s="7">
        <v>4.7149999999999999</v>
      </c>
      <c r="HU20" s="7">
        <v>5.5359999999999996</v>
      </c>
      <c r="HV20" s="7">
        <v>5.9969999999999999</v>
      </c>
      <c r="HW20" s="7">
        <v>6.5060000000000002</v>
      </c>
      <c r="HX20" s="7">
        <v>7.2619999999999996</v>
      </c>
      <c r="HY20" s="7">
        <v>1.0009999999999999</v>
      </c>
      <c r="HZ20" s="7">
        <v>2700</v>
      </c>
      <c r="IA20" s="7"/>
      <c r="IE20" t="s">
        <v>40</v>
      </c>
      <c r="IF20">
        <v>6.6289999999999996</v>
      </c>
      <c r="IG20">
        <v>0.442</v>
      </c>
      <c r="IH20">
        <v>5.7069999999999999</v>
      </c>
      <c r="II20">
        <v>6.3280000000000003</v>
      </c>
      <c r="IJ20">
        <v>6.6559999999999997</v>
      </c>
      <c r="IK20">
        <v>6.98</v>
      </c>
      <c r="IL20">
        <v>7.3289999999999997</v>
      </c>
      <c r="IM20">
        <v>1.004</v>
      </c>
      <c r="IN20">
        <v>550</v>
      </c>
      <c r="IS20" t="s">
        <v>40</v>
      </c>
      <c r="IT20">
        <v>6.5709999999999997</v>
      </c>
      <c r="IU20">
        <v>0.44700000000000001</v>
      </c>
      <c r="IV20">
        <v>5.6760000000000002</v>
      </c>
      <c r="IW20">
        <v>6.2560000000000002</v>
      </c>
      <c r="IX20">
        <v>6.593</v>
      </c>
      <c r="IY20">
        <v>6.9139999999999997</v>
      </c>
      <c r="IZ20">
        <v>7.3150000000000004</v>
      </c>
      <c r="JA20">
        <v>1.0009999999999999</v>
      </c>
      <c r="JB20">
        <v>2300</v>
      </c>
      <c r="JF20" t="s">
        <v>40</v>
      </c>
      <c r="JG20">
        <v>6.2720000000000002</v>
      </c>
      <c r="JH20">
        <v>0.59199999999999997</v>
      </c>
      <c r="JI20">
        <v>5.0979999999999999</v>
      </c>
      <c r="JJ20">
        <v>5.8449999999999998</v>
      </c>
      <c r="JK20">
        <v>6.3019999999999996</v>
      </c>
      <c r="JL20">
        <v>6.7290000000000001</v>
      </c>
      <c r="JM20">
        <v>7.2839999999999998</v>
      </c>
      <c r="JN20">
        <v>1.0009999999999999</v>
      </c>
      <c r="JO20">
        <v>2800</v>
      </c>
      <c r="JT20" t="s">
        <v>40</v>
      </c>
      <c r="JU20">
        <v>6.2670000000000003</v>
      </c>
      <c r="JV20">
        <v>0.59599999999999997</v>
      </c>
      <c r="JW20">
        <v>5.0739999999999998</v>
      </c>
      <c r="JX20">
        <v>5.843</v>
      </c>
      <c r="JY20">
        <v>6.298</v>
      </c>
      <c r="JZ20">
        <v>6.7249999999999996</v>
      </c>
      <c r="KA20">
        <v>7.2779999999999996</v>
      </c>
      <c r="KB20">
        <v>1.0009999999999999</v>
      </c>
      <c r="KC20">
        <v>3000</v>
      </c>
      <c r="KH20" t="s">
        <v>40</v>
      </c>
      <c r="KI20">
        <v>6.2679999999999998</v>
      </c>
      <c r="KJ20">
        <v>0.59399999999999997</v>
      </c>
      <c r="KK20">
        <v>5.07</v>
      </c>
      <c r="KL20">
        <v>5.8470000000000004</v>
      </c>
      <c r="KM20">
        <v>6.2839999999999998</v>
      </c>
      <c r="KN20">
        <v>6.7359999999999998</v>
      </c>
      <c r="KO20">
        <v>7.2839999999999998</v>
      </c>
      <c r="KP20">
        <v>1.0009999999999999</v>
      </c>
      <c r="KQ20">
        <v>2500</v>
      </c>
      <c r="KR20">
        <f t="shared" si="0"/>
        <v>527.42147937240338</v>
      </c>
      <c r="KS20">
        <f t="shared" si="1"/>
        <v>2329.1014647598558</v>
      </c>
      <c r="KV20" t="s">
        <v>40</v>
      </c>
      <c r="KW20">
        <v>6.6189999999999998</v>
      </c>
      <c r="KX20">
        <v>0.35899999999999999</v>
      </c>
      <c r="KY20">
        <v>5.9210000000000003</v>
      </c>
      <c r="KZ20">
        <v>6.3739999999999997</v>
      </c>
      <c r="LA20">
        <v>6.6210000000000004</v>
      </c>
      <c r="LB20">
        <v>6.8760000000000003</v>
      </c>
      <c r="LC20">
        <v>7.2859999999999996</v>
      </c>
      <c r="LD20">
        <v>1.006</v>
      </c>
      <c r="LE20">
        <v>380</v>
      </c>
      <c r="LJ20" t="s">
        <v>40</v>
      </c>
      <c r="LK20">
        <v>5.9770000000000003</v>
      </c>
      <c r="LL20">
        <v>0.255</v>
      </c>
      <c r="LM20">
        <v>5.52</v>
      </c>
      <c r="LN20">
        <v>5.7969999999999997</v>
      </c>
      <c r="LO20">
        <v>5.96</v>
      </c>
      <c r="LP20">
        <v>6.1360000000000001</v>
      </c>
      <c r="LQ20">
        <v>6.5140000000000002</v>
      </c>
      <c r="LR20">
        <v>1.0029999999999999</v>
      </c>
      <c r="LS20">
        <v>680</v>
      </c>
      <c r="LX20" t="s">
        <v>40</v>
      </c>
      <c r="LY20">
        <v>2.3679999999999999</v>
      </c>
      <c r="LZ20">
        <v>0.79100000000000004</v>
      </c>
      <c r="MA20">
        <v>0.76</v>
      </c>
      <c r="MB20">
        <v>1.833</v>
      </c>
      <c r="MC20">
        <v>2.3929999999999998</v>
      </c>
      <c r="MD20">
        <v>2.9319999999999999</v>
      </c>
      <c r="ME20">
        <v>3.8290000000000002</v>
      </c>
      <c r="MF20">
        <v>1.004</v>
      </c>
      <c r="MG20">
        <v>700</v>
      </c>
      <c r="ML20" t="s">
        <v>40</v>
      </c>
      <c r="MM20">
        <v>6.8579999999999997</v>
      </c>
      <c r="MN20">
        <v>0.30499999999999999</v>
      </c>
      <c r="MO20">
        <v>6.2249999999999996</v>
      </c>
      <c r="MP20">
        <v>6.6449999999999996</v>
      </c>
      <c r="MQ20">
        <v>6.8780000000000001</v>
      </c>
      <c r="MR20">
        <v>7.1</v>
      </c>
      <c r="MS20">
        <v>7.3440000000000003</v>
      </c>
      <c r="MT20">
        <v>1.002</v>
      </c>
      <c r="MU20">
        <v>3200</v>
      </c>
      <c r="MZ20" t="s">
        <v>40</v>
      </c>
      <c r="NA20">
        <v>6.9180000000000001</v>
      </c>
      <c r="NB20">
        <v>0.27600000000000002</v>
      </c>
      <c r="NC20">
        <v>6.3339999999999996</v>
      </c>
      <c r="ND20">
        <v>6.7249999999999996</v>
      </c>
      <c r="NE20">
        <v>6.9429999999999996</v>
      </c>
      <c r="NF20">
        <v>7.1379999999999999</v>
      </c>
      <c r="NG20">
        <v>7.3449999999999998</v>
      </c>
      <c r="NH20">
        <v>1.0029999999999999</v>
      </c>
      <c r="NI20">
        <v>990</v>
      </c>
      <c r="NM20" t="s">
        <v>40</v>
      </c>
      <c r="NN20">
        <v>6.9050000000000002</v>
      </c>
      <c r="NO20">
        <v>0.24299999999999999</v>
      </c>
      <c r="NP20">
        <v>6.4470000000000001</v>
      </c>
      <c r="NQ20">
        <v>6.7249999999999996</v>
      </c>
      <c r="NR20">
        <v>6.9050000000000002</v>
      </c>
      <c r="NS20">
        <v>7.0919999999999996</v>
      </c>
      <c r="NT20">
        <v>7.34</v>
      </c>
      <c r="NU20">
        <v>1.0009999999999999</v>
      </c>
      <c r="NV20">
        <v>6800</v>
      </c>
      <c r="NY20" t="s">
        <v>40</v>
      </c>
      <c r="NZ20">
        <v>6.7590000000000003</v>
      </c>
      <c r="OA20">
        <v>0.25700000000000001</v>
      </c>
      <c r="OB20">
        <v>6.3150000000000004</v>
      </c>
      <c r="OC20">
        <v>6.5679999999999996</v>
      </c>
      <c r="OD20">
        <v>6.7359999999999998</v>
      </c>
      <c r="OE20">
        <v>6.9359999999999999</v>
      </c>
      <c r="OF20">
        <v>7.2949999999999999</v>
      </c>
      <c r="OG20">
        <v>1.0009999999999999</v>
      </c>
      <c r="OH20">
        <v>5700</v>
      </c>
      <c r="OP20" t="s">
        <v>40</v>
      </c>
      <c r="OQ20">
        <v>7.0039999999999996</v>
      </c>
      <c r="OR20">
        <v>0.24099999999999999</v>
      </c>
      <c r="OS20">
        <v>6.49</v>
      </c>
      <c r="OT20">
        <v>6.8390000000000004</v>
      </c>
      <c r="OU20">
        <v>7.0359999999999996</v>
      </c>
      <c r="OV20">
        <v>7.2009999999999996</v>
      </c>
      <c r="OW20">
        <v>7.36</v>
      </c>
      <c r="OX20">
        <v>1.0189999999999999</v>
      </c>
      <c r="OY20">
        <v>130</v>
      </c>
      <c r="PB20" t="s">
        <v>40</v>
      </c>
      <c r="PC20">
        <v>7.1520000000000001</v>
      </c>
      <c r="PD20">
        <v>0.17</v>
      </c>
      <c r="PE20">
        <v>6.7530000000000001</v>
      </c>
      <c r="PF20">
        <v>7.0439999999999996</v>
      </c>
      <c r="PG20">
        <v>7.1859999999999999</v>
      </c>
      <c r="PH20">
        <v>7.2910000000000004</v>
      </c>
      <c r="PI20">
        <v>7.3689999999999998</v>
      </c>
      <c r="PJ20">
        <v>1.0089999999999999</v>
      </c>
      <c r="PK20">
        <v>270</v>
      </c>
      <c r="PN20" t="s">
        <v>40</v>
      </c>
      <c r="PO20">
        <v>7.1379999999999999</v>
      </c>
      <c r="PP20">
        <v>0.17100000000000001</v>
      </c>
      <c r="PQ20">
        <v>6.7510000000000003</v>
      </c>
      <c r="PR20">
        <v>7.0270000000000001</v>
      </c>
      <c r="PS20">
        <v>7.16</v>
      </c>
      <c r="PT20">
        <v>7.2640000000000002</v>
      </c>
      <c r="PU20">
        <v>7.4210000000000003</v>
      </c>
      <c r="PV20">
        <v>1.002</v>
      </c>
      <c r="PW20">
        <v>1300</v>
      </c>
      <c r="QA20" t="s">
        <v>40</v>
      </c>
      <c r="QB20">
        <v>6.3319999999999999</v>
      </c>
      <c r="QC20">
        <v>0.14299999999999999</v>
      </c>
      <c r="QD20">
        <v>6.0449999999999999</v>
      </c>
      <c r="QE20">
        <v>6.2359999999999998</v>
      </c>
      <c r="QF20">
        <v>6.3390000000000004</v>
      </c>
      <c r="QG20">
        <v>6.4359999999999999</v>
      </c>
      <c r="QH20">
        <v>6.585</v>
      </c>
      <c r="QI20">
        <v>1.07</v>
      </c>
      <c r="QJ20">
        <v>35</v>
      </c>
      <c r="QL20">
        <f t="shared" si="2"/>
        <v>0.80600000000000005</v>
      </c>
    </row>
    <row r="21" spans="1:454">
      <c r="A21" t="s">
        <v>41</v>
      </c>
      <c r="B21">
        <v>6.8470000000000004</v>
      </c>
      <c r="C21">
        <v>1.0589999999999999</v>
      </c>
      <c r="D21">
        <v>4.726</v>
      </c>
      <c r="E21">
        <v>6.1319999999999997</v>
      </c>
      <c r="F21">
        <v>6.8470000000000004</v>
      </c>
      <c r="G21">
        <v>7.5919999999999996</v>
      </c>
      <c r="H21">
        <v>8.8239999999999998</v>
      </c>
      <c r="I21">
        <v>1.0189999999999999</v>
      </c>
      <c r="J21">
        <v>170</v>
      </c>
      <c r="O21" t="s">
        <v>41</v>
      </c>
      <c r="P21">
        <v>3.988</v>
      </c>
      <c r="Q21">
        <v>1.68</v>
      </c>
      <c r="R21">
        <v>0.76</v>
      </c>
      <c r="S21">
        <v>2.7519999999999998</v>
      </c>
      <c r="T21">
        <v>3.9950000000000001</v>
      </c>
      <c r="U21">
        <v>5.266</v>
      </c>
      <c r="V21">
        <v>7.0129999999999999</v>
      </c>
      <c r="W21">
        <v>1.002</v>
      </c>
      <c r="X21">
        <v>1600</v>
      </c>
      <c r="AC21" t="s">
        <v>41</v>
      </c>
      <c r="AD21">
        <v>6.2850000000000001</v>
      </c>
      <c r="AE21">
        <v>0.71399999999999997</v>
      </c>
      <c r="AF21">
        <v>4.6639999999999997</v>
      </c>
      <c r="AG21">
        <v>5.819</v>
      </c>
      <c r="AH21">
        <v>6.3650000000000002</v>
      </c>
      <c r="AI21">
        <v>6.8540000000000001</v>
      </c>
      <c r="AJ21">
        <v>7.3310000000000004</v>
      </c>
      <c r="AK21">
        <v>1.0009999999999999</v>
      </c>
      <c r="AL21">
        <v>2500</v>
      </c>
      <c r="AQ21" t="s">
        <v>41</v>
      </c>
      <c r="AR21">
        <v>6.3840000000000003</v>
      </c>
      <c r="AS21">
        <v>0.64600000000000002</v>
      </c>
      <c r="AT21">
        <v>4.984</v>
      </c>
      <c r="AU21">
        <v>5.952</v>
      </c>
      <c r="AV21">
        <v>6.4610000000000003</v>
      </c>
      <c r="AW21">
        <v>6.907</v>
      </c>
      <c r="AX21">
        <v>7.3230000000000004</v>
      </c>
      <c r="AY21">
        <v>1.0009999999999999</v>
      </c>
      <c r="AZ21">
        <v>3000</v>
      </c>
      <c r="BE21" t="s">
        <v>41</v>
      </c>
      <c r="BF21">
        <v>6.5380000000000003</v>
      </c>
      <c r="BG21">
        <v>0.54200000000000004</v>
      </c>
      <c r="BH21">
        <v>5.335</v>
      </c>
      <c r="BI21">
        <v>6.1909999999999998</v>
      </c>
      <c r="BJ21">
        <v>6.609</v>
      </c>
      <c r="BK21">
        <v>6.9660000000000002</v>
      </c>
      <c r="BL21">
        <v>7.335</v>
      </c>
      <c r="BM21">
        <v>1.002</v>
      </c>
      <c r="BN21">
        <v>1300</v>
      </c>
      <c r="BS21" t="s">
        <v>41</v>
      </c>
      <c r="BT21">
        <v>6.1740000000000004</v>
      </c>
      <c r="BU21">
        <v>0.72299999999999998</v>
      </c>
      <c r="BV21">
        <v>4.5979999999999999</v>
      </c>
      <c r="BW21">
        <v>5.7130000000000001</v>
      </c>
      <c r="BX21">
        <v>6.2309999999999999</v>
      </c>
      <c r="BY21">
        <v>6.7370000000000001</v>
      </c>
      <c r="BZ21">
        <v>7.2930000000000001</v>
      </c>
      <c r="CA21">
        <v>1.0009999999999999</v>
      </c>
      <c r="CB21">
        <v>3000</v>
      </c>
      <c r="CG21" t="s">
        <v>41</v>
      </c>
      <c r="CH21">
        <v>6.43</v>
      </c>
      <c r="CI21">
        <v>0.58699999999999997</v>
      </c>
      <c r="CJ21">
        <v>5.1470000000000002</v>
      </c>
      <c r="CK21">
        <v>6.0439999999999996</v>
      </c>
      <c r="CL21">
        <v>6.4870000000000001</v>
      </c>
      <c r="CM21">
        <v>6.8979999999999997</v>
      </c>
      <c r="CN21">
        <v>7.32</v>
      </c>
      <c r="CO21">
        <v>1.004</v>
      </c>
      <c r="CP21">
        <v>520</v>
      </c>
      <c r="CU21" t="s">
        <v>41</v>
      </c>
      <c r="CV21">
        <v>6.55</v>
      </c>
      <c r="CW21">
        <v>0.624</v>
      </c>
      <c r="CX21">
        <v>5.0810000000000004</v>
      </c>
      <c r="CY21">
        <v>6.1639999999999997</v>
      </c>
      <c r="CZ21">
        <v>6.6689999999999996</v>
      </c>
      <c r="DA21">
        <v>7.0570000000000004</v>
      </c>
      <c r="DB21">
        <v>7.3579999999999997</v>
      </c>
      <c r="DC21">
        <v>1.016</v>
      </c>
      <c r="DD21">
        <v>160</v>
      </c>
      <c r="DI21" t="s">
        <v>41</v>
      </c>
      <c r="DJ21">
        <v>6.3250000000000002</v>
      </c>
      <c r="DK21">
        <v>0.70099999999999996</v>
      </c>
      <c r="DL21">
        <v>4.7969999999999997</v>
      </c>
      <c r="DM21">
        <v>5.8440000000000003</v>
      </c>
      <c r="DN21">
        <v>6.423</v>
      </c>
      <c r="DO21">
        <v>6.891</v>
      </c>
      <c r="DP21">
        <v>7.3360000000000003</v>
      </c>
      <c r="DQ21">
        <v>1.002</v>
      </c>
      <c r="DR21">
        <v>1400</v>
      </c>
      <c r="DY21" t="s">
        <v>41</v>
      </c>
      <c r="DZ21">
        <v>6.63</v>
      </c>
      <c r="EA21">
        <v>0.57799999999999996</v>
      </c>
      <c r="EB21">
        <v>5.2409999999999997</v>
      </c>
      <c r="EC21">
        <v>6.2960000000000003</v>
      </c>
      <c r="ED21">
        <v>6.7519999999999998</v>
      </c>
      <c r="EE21">
        <v>7.0830000000000002</v>
      </c>
      <c r="EF21">
        <v>7.3559999999999999</v>
      </c>
      <c r="EG21">
        <v>1.004</v>
      </c>
      <c r="EH21">
        <v>590</v>
      </c>
      <c r="EK21" t="s">
        <v>41</v>
      </c>
      <c r="EL21">
        <v>4.6559999999999997</v>
      </c>
      <c r="EM21">
        <v>0.83099999999999996</v>
      </c>
      <c r="EN21">
        <v>3.1139999999999999</v>
      </c>
      <c r="EO21">
        <v>4.0720000000000001</v>
      </c>
      <c r="EP21">
        <v>4.5990000000000002</v>
      </c>
      <c r="EQ21">
        <v>5.18</v>
      </c>
      <c r="ER21">
        <v>6.4279999999999999</v>
      </c>
      <c r="ES21">
        <v>1.0029999999999999</v>
      </c>
      <c r="ET21">
        <v>590</v>
      </c>
      <c r="EY21" t="s">
        <v>41</v>
      </c>
      <c r="EZ21">
        <v>5.57</v>
      </c>
      <c r="FA21">
        <v>0.76700000000000002</v>
      </c>
      <c r="FB21">
        <v>4.109</v>
      </c>
      <c r="FC21">
        <v>5.03</v>
      </c>
      <c r="FD21">
        <v>5.5659999999999998</v>
      </c>
      <c r="FE21">
        <v>6.101</v>
      </c>
      <c r="FF21">
        <v>7.0860000000000003</v>
      </c>
      <c r="FG21">
        <v>1.002</v>
      </c>
      <c r="FH21">
        <v>1800</v>
      </c>
      <c r="FM21" t="s">
        <v>132</v>
      </c>
      <c r="FN21">
        <v>8.9999999999999993E-3</v>
      </c>
      <c r="FO21">
        <v>0.57199999999999995</v>
      </c>
      <c r="FP21">
        <v>-0.94899999999999995</v>
      </c>
      <c r="FQ21">
        <v>-0.48199999999999998</v>
      </c>
      <c r="FR21">
        <v>3.0000000000000001E-3</v>
      </c>
      <c r="FS21">
        <v>0.499</v>
      </c>
      <c r="FT21">
        <v>0.94899999999999995</v>
      </c>
      <c r="FU21">
        <v>1.0009999999999999</v>
      </c>
      <c r="FV21">
        <v>3000</v>
      </c>
      <c r="GA21" t="s">
        <v>41</v>
      </c>
      <c r="GB21">
        <v>6.657</v>
      </c>
      <c r="GC21">
        <v>0.443</v>
      </c>
      <c r="GD21">
        <v>5.6760000000000002</v>
      </c>
      <c r="GE21">
        <v>6.3620000000000001</v>
      </c>
      <c r="GF21">
        <v>6.6989999999999998</v>
      </c>
      <c r="GG21">
        <v>7.0069999999999997</v>
      </c>
      <c r="GH21">
        <v>7.3390000000000004</v>
      </c>
      <c r="GI21">
        <v>1</v>
      </c>
      <c r="GJ21">
        <v>3000</v>
      </c>
      <c r="GO21" t="s">
        <v>41</v>
      </c>
      <c r="GP21">
        <v>5.6210000000000004</v>
      </c>
      <c r="GQ21">
        <v>0.80600000000000005</v>
      </c>
      <c r="GR21">
        <v>4.0250000000000004</v>
      </c>
      <c r="GS21">
        <v>5.0670000000000002</v>
      </c>
      <c r="GT21">
        <v>5.5919999999999996</v>
      </c>
      <c r="GU21">
        <v>6.194</v>
      </c>
      <c r="GV21">
        <v>7.1479999999999997</v>
      </c>
      <c r="GW21">
        <v>1.0009999999999999</v>
      </c>
      <c r="GX21">
        <v>3000</v>
      </c>
      <c r="HC21" t="s">
        <v>41</v>
      </c>
      <c r="HD21">
        <v>5.6559999999999997</v>
      </c>
      <c r="HE21">
        <v>0.77100000000000002</v>
      </c>
      <c r="HF21">
        <v>4.173</v>
      </c>
      <c r="HG21">
        <v>5.1180000000000003</v>
      </c>
      <c r="HH21">
        <v>5.6520000000000001</v>
      </c>
      <c r="HI21">
        <v>6.2039999999999997</v>
      </c>
      <c r="HJ21">
        <v>7.1130000000000004</v>
      </c>
      <c r="HK21">
        <v>1.0009999999999999</v>
      </c>
      <c r="HL21">
        <v>3000</v>
      </c>
      <c r="HP21" s="7"/>
      <c r="HQ21" s="7" t="s">
        <v>41</v>
      </c>
      <c r="HR21" s="7">
        <v>5.2009999999999996</v>
      </c>
      <c r="HS21" s="7">
        <v>0.73</v>
      </c>
      <c r="HT21" s="7">
        <v>3.8159999999999998</v>
      </c>
      <c r="HU21" s="7">
        <v>4.6909999999999998</v>
      </c>
      <c r="HV21" s="7">
        <v>5.1719999999999997</v>
      </c>
      <c r="HW21" s="7">
        <v>5.6760000000000002</v>
      </c>
      <c r="HX21" s="7">
        <v>6.7089999999999996</v>
      </c>
      <c r="HY21" s="7">
        <v>1.0029999999999999</v>
      </c>
      <c r="HZ21" s="7">
        <v>730</v>
      </c>
      <c r="IA21" s="7"/>
      <c r="IE21" t="s">
        <v>41</v>
      </c>
      <c r="IF21">
        <v>6.157</v>
      </c>
      <c r="IG21">
        <v>0.47699999999999998</v>
      </c>
      <c r="IH21">
        <v>5.27</v>
      </c>
      <c r="II21">
        <v>5.8209999999999997</v>
      </c>
      <c r="IJ21">
        <v>6.1360000000000001</v>
      </c>
      <c r="IK21">
        <v>6.4740000000000002</v>
      </c>
      <c r="IL21">
        <v>7.125</v>
      </c>
      <c r="IM21">
        <v>1.0009999999999999</v>
      </c>
      <c r="IN21">
        <v>3000</v>
      </c>
      <c r="IS21" t="s">
        <v>41</v>
      </c>
      <c r="IT21">
        <v>6.3010000000000002</v>
      </c>
      <c r="IU21">
        <v>0.5</v>
      </c>
      <c r="IV21">
        <v>5.3559999999999999</v>
      </c>
      <c r="IW21">
        <v>5.9429999999999996</v>
      </c>
      <c r="IX21">
        <v>6.3049999999999997</v>
      </c>
      <c r="IY21">
        <v>6.67</v>
      </c>
      <c r="IZ21">
        <v>7.2510000000000003</v>
      </c>
      <c r="JA21">
        <v>1.0029999999999999</v>
      </c>
      <c r="JB21">
        <v>880</v>
      </c>
      <c r="JF21" t="s">
        <v>41</v>
      </c>
      <c r="JG21">
        <v>5.5620000000000003</v>
      </c>
      <c r="JH21">
        <v>0.67500000000000004</v>
      </c>
      <c r="JI21">
        <v>4.3330000000000002</v>
      </c>
      <c r="JJ21">
        <v>5.093</v>
      </c>
      <c r="JK21">
        <v>5.5220000000000002</v>
      </c>
      <c r="JL21">
        <v>6.0060000000000002</v>
      </c>
      <c r="JM21">
        <v>6.9859999999999998</v>
      </c>
      <c r="JN21">
        <v>1.0009999999999999</v>
      </c>
      <c r="JO21">
        <v>3000</v>
      </c>
      <c r="JT21" t="s">
        <v>41</v>
      </c>
      <c r="JU21">
        <v>5.4870000000000001</v>
      </c>
      <c r="JV21">
        <v>0.71199999999999997</v>
      </c>
      <c r="JW21">
        <v>4.1660000000000004</v>
      </c>
      <c r="JX21">
        <v>4.984</v>
      </c>
      <c r="JY21">
        <v>5.468</v>
      </c>
      <c r="JZ21">
        <v>5.9640000000000004</v>
      </c>
      <c r="KA21">
        <v>6.9509999999999996</v>
      </c>
      <c r="KB21">
        <v>1.0009999999999999</v>
      </c>
      <c r="KC21">
        <v>2000</v>
      </c>
      <c r="KH21" t="s">
        <v>41</v>
      </c>
      <c r="KI21">
        <v>5.4320000000000004</v>
      </c>
      <c r="KJ21">
        <v>0.71499999999999997</v>
      </c>
      <c r="KK21">
        <v>4.1340000000000003</v>
      </c>
      <c r="KL21">
        <v>4.9279999999999999</v>
      </c>
      <c r="KM21">
        <v>5.3879999999999999</v>
      </c>
      <c r="KN21">
        <v>5.9189999999999996</v>
      </c>
      <c r="KO21">
        <v>6.9290000000000003</v>
      </c>
      <c r="KP21">
        <v>1.0069999999999999</v>
      </c>
      <c r="KQ21">
        <v>310</v>
      </c>
      <c r="KR21">
        <f t="shared" si="0"/>
        <v>228.6060005176941</v>
      </c>
      <c r="KS21">
        <f t="shared" si="1"/>
        <v>1456.3943703297409</v>
      </c>
      <c r="KV21" t="s">
        <v>41</v>
      </c>
      <c r="KW21">
        <v>6.8209999999999997</v>
      </c>
      <c r="KX21">
        <v>0.48099999999999998</v>
      </c>
      <c r="KY21">
        <v>5.9349999999999996</v>
      </c>
      <c r="KZ21">
        <v>6.4889999999999999</v>
      </c>
      <c r="LA21">
        <v>6.798</v>
      </c>
      <c r="LB21">
        <v>7.1429999999999998</v>
      </c>
      <c r="LC21">
        <v>7.7990000000000004</v>
      </c>
      <c r="LD21">
        <v>1.004</v>
      </c>
      <c r="LE21">
        <v>580</v>
      </c>
      <c r="LJ21" t="s">
        <v>41</v>
      </c>
      <c r="LK21">
        <v>6.0860000000000003</v>
      </c>
      <c r="LL21">
        <v>0.314</v>
      </c>
      <c r="LM21">
        <v>5.5279999999999996</v>
      </c>
      <c r="LN21">
        <v>5.8710000000000004</v>
      </c>
      <c r="LO21">
        <v>6.0620000000000003</v>
      </c>
      <c r="LP21">
        <v>6.28</v>
      </c>
      <c r="LQ21">
        <v>6.7380000000000004</v>
      </c>
      <c r="LR21">
        <v>1.004</v>
      </c>
      <c r="LS21">
        <v>660</v>
      </c>
      <c r="LX21" t="s">
        <v>41</v>
      </c>
      <c r="LY21">
        <v>1.355</v>
      </c>
      <c r="LZ21">
        <v>1.8169999999999999</v>
      </c>
      <c r="MA21">
        <v>-2.794</v>
      </c>
      <c r="MB21">
        <v>0.26300000000000001</v>
      </c>
      <c r="MC21">
        <v>1.627</v>
      </c>
      <c r="MD21">
        <v>2.7120000000000002</v>
      </c>
      <c r="ME21">
        <v>4.1280000000000001</v>
      </c>
      <c r="MF21">
        <v>1.7190000000000001</v>
      </c>
      <c r="MG21">
        <v>6</v>
      </c>
      <c r="ML21" t="s">
        <v>41</v>
      </c>
      <c r="MM21">
        <v>7.1459999999999999</v>
      </c>
      <c r="MN21">
        <v>0.42899999999999999</v>
      </c>
      <c r="MO21">
        <v>6.3159999999999998</v>
      </c>
      <c r="MP21">
        <v>6.8490000000000002</v>
      </c>
      <c r="MQ21">
        <v>7.1449999999999996</v>
      </c>
      <c r="MR21">
        <v>7.4429999999999996</v>
      </c>
      <c r="MS21">
        <v>7.9779999999999998</v>
      </c>
      <c r="MT21">
        <v>1.002</v>
      </c>
      <c r="MU21">
        <v>2800</v>
      </c>
      <c r="MZ21" t="s">
        <v>41</v>
      </c>
      <c r="NA21">
        <v>7.2320000000000002</v>
      </c>
      <c r="NB21">
        <v>0.39700000000000002</v>
      </c>
      <c r="NC21">
        <v>6.4459999999999997</v>
      </c>
      <c r="ND21">
        <v>6.9640000000000004</v>
      </c>
      <c r="NE21">
        <v>7.2370000000000001</v>
      </c>
      <c r="NF21">
        <v>7.51</v>
      </c>
      <c r="NG21">
        <v>7.9889999999999999</v>
      </c>
      <c r="NH21">
        <v>1.0029999999999999</v>
      </c>
      <c r="NI21">
        <v>920</v>
      </c>
      <c r="NM21" t="s">
        <v>41</v>
      </c>
      <c r="NN21">
        <v>6.7949999999999999</v>
      </c>
      <c r="NO21">
        <v>0.25600000000000001</v>
      </c>
      <c r="NP21">
        <v>6.3620000000000001</v>
      </c>
      <c r="NQ21">
        <v>6.6120000000000001</v>
      </c>
      <c r="NR21">
        <v>6.7709999999999999</v>
      </c>
      <c r="NS21">
        <v>6.9530000000000003</v>
      </c>
      <c r="NT21">
        <v>7.3490000000000002</v>
      </c>
      <c r="NU21">
        <v>1.0009999999999999</v>
      </c>
      <c r="NV21">
        <v>14000</v>
      </c>
      <c r="NY21" t="s">
        <v>41</v>
      </c>
      <c r="NZ21">
        <v>6.62</v>
      </c>
      <c r="OA21">
        <v>0.247</v>
      </c>
      <c r="OB21">
        <v>6.2080000000000002</v>
      </c>
      <c r="OC21">
        <v>6.444</v>
      </c>
      <c r="OD21">
        <v>6.5949999999999998</v>
      </c>
      <c r="OE21">
        <v>6.7709999999999999</v>
      </c>
      <c r="OF21">
        <v>7.1669999999999998</v>
      </c>
      <c r="OG21">
        <v>1.0009999999999999</v>
      </c>
      <c r="OH21">
        <v>5300</v>
      </c>
      <c r="OP21" t="s">
        <v>41</v>
      </c>
      <c r="OQ21">
        <v>7.0069999999999997</v>
      </c>
      <c r="OR21">
        <v>0.308</v>
      </c>
      <c r="OS21">
        <v>6.367</v>
      </c>
      <c r="OT21">
        <v>6.8</v>
      </c>
      <c r="OU21">
        <v>7.032</v>
      </c>
      <c r="OV21">
        <v>7.2329999999999997</v>
      </c>
      <c r="OW21">
        <v>7.5469999999999997</v>
      </c>
      <c r="OX21">
        <v>1.0129999999999999</v>
      </c>
      <c r="OY21">
        <v>200</v>
      </c>
      <c r="PB21" t="s">
        <v>41</v>
      </c>
      <c r="PC21">
        <v>7.2110000000000003</v>
      </c>
      <c r="PD21">
        <v>0.23400000000000001</v>
      </c>
      <c r="PE21">
        <v>6.7110000000000003</v>
      </c>
      <c r="PF21">
        <v>7.0590000000000002</v>
      </c>
      <c r="PG21">
        <v>7.2279999999999998</v>
      </c>
      <c r="PH21">
        <v>7.3780000000000001</v>
      </c>
      <c r="PI21">
        <v>7.6219999999999999</v>
      </c>
      <c r="PJ21">
        <v>1.01</v>
      </c>
      <c r="PK21">
        <v>310</v>
      </c>
      <c r="PN21" t="s">
        <v>41</v>
      </c>
      <c r="PO21">
        <v>7.133</v>
      </c>
      <c r="PP21">
        <v>0.17499999999999999</v>
      </c>
      <c r="PQ21">
        <v>6.74</v>
      </c>
      <c r="PR21">
        <v>7.0190000000000001</v>
      </c>
      <c r="PS21">
        <v>7.1529999999999996</v>
      </c>
      <c r="PT21">
        <v>7.2590000000000003</v>
      </c>
      <c r="PU21">
        <v>7.4340000000000002</v>
      </c>
      <c r="PV21">
        <v>1.002</v>
      </c>
      <c r="PW21">
        <v>1200</v>
      </c>
      <c r="QA21" t="s">
        <v>41</v>
      </c>
      <c r="QB21">
        <v>6.343</v>
      </c>
      <c r="QC21">
        <v>0.14299999999999999</v>
      </c>
      <c r="QD21">
        <v>6.0570000000000004</v>
      </c>
      <c r="QE21">
        <v>6.2460000000000004</v>
      </c>
      <c r="QF21">
        <v>6.351</v>
      </c>
      <c r="QG21">
        <v>6.4470000000000001</v>
      </c>
      <c r="QH21">
        <v>6.5949999999999998</v>
      </c>
      <c r="QI21">
        <v>1.073</v>
      </c>
      <c r="QJ21">
        <v>33</v>
      </c>
      <c r="QL21">
        <f t="shared" si="2"/>
        <v>0.79</v>
      </c>
    </row>
    <row r="22" spans="1:454">
      <c r="A22" t="s">
        <v>42</v>
      </c>
      <c r="B22">
        <v>6.7370000000000001</v>
      </c>
      <c r="C22">
        <v>0.98199999999999998</v>
      </c>
      <c r="D22">
        <v>4.7439999999999998</v>
      </c>
      <c r="E22">
        <v>6.1210000000000004</v>
      </c>
      <c r="F22">
        <v>6.7750000000000004</v>
      </c>
      <c r="G22">
        <v>7.3949999999999996</v>
      </c>
      <c r="H22">
        <v>8.5239999999999991</v>
      </c>
      <c r="I22">
        <v>1.0169999999999999</v>
      </c>
      <c r="J22">
        <v>320</v>
      </c>
      <c r="O22" t="s">
        <v>42</v>
      </c>
      <c r="P22">
        <v>4.9470000000000001</v>
      </c>
      <c r="Q22">
        <v>1.4930000000000001</v>
      </c>
      <c r="R22">
        <v>1.655</v>
      </c>
      <c r="S22">
        <v>3.9649999999999999</v>
      </c>
      <c r="T22">
        <v>5.1150000000000002</v>
      </c>
      <c r="U22">
        <v>6.125</v>
      </c>
      <c r="V22">
        <v>7.218</v>
      </c>
      <c r="W22">
        <v>1.014</v>
      </c>
      <c r="X22">
        <v>980</v>
      </c>
      <c r="AC22" t="s">
        <v>42</v>
      </c>
      <c r="AD22">
        <v>6.7130000000000001</v>
      </c>
      <c r="AE22">
        <v>0.48599999999999999</v>
      </c>
      <c r="AF22">
        <v>5.5679999999999996</v>
      </c>
      <c r="AG22">
        <v>6.4290000000000003</v>
      </c>
      <c r="AH22">
        <v>6.798</v>
      </c>
      <c r="AI22">
        <v>7.0910000000000002</v>
      </c>
      <c r="AJ22">
        <v>7.3570000000000002</v>
      </c>
      <c r="AK22">
        <v>1.0009999999999999</v>
      </c>
      <c r="AL22">
        <v>3000</v>
      </c>
      <c r="AQ22" t="s">
        <v>42</v>
      </c>
      <c r="AR22">
        <v>6.75</v>
      </c>
      <c r="AS22">
        <v>0.45400000000000001</v>
      </c>
      <c r="AT22">
        <v>5.6790000000000003</v>
      </c>
      <c r="AU22">
        <v>6.4770000000000003</v>
      </c>
      <c r="AV22">
        <v>6.8360000000000003</v>
      </c>
      <c r="AW22">
        <v>7.1139999999999999</v>
      </c>
      <c r="AX22">
        <v>7.3490000000000002</v>
      </c>
      <c r="AY22">
        <v>1.0009999999999999</v>
      </c>
      <c r="AZ22">
        <v>3000</v>
      </c>
      <c r="BE22" t="s">
        <v>42</v>
      </c>
      <c r="BF22">
        <v>6.9390000000000001</v>
      </c>
      <c r="BG22">
        <v>0.34799999999999998</v>
      </c>
      <c r="BH22">
        <v>6.0869999999999997</v>
      </c>
      <c r="BI22">
        <v>6.7430000000000003</v>
      </c>
      <c r="BJ22">
        <v>7.0149999999999997</v>
      </c>
      <c r="BK22">
        <v>7.2140000000000004</v>
      </c>
      <c r="BL22">
        <v>7.3659999999999997</v>
      </c>
      <c r="BM22">
        <v>1.0009999999999999</v>
      </c>
      <c r="BN22">
        <v>3000</v>
      </c>
      <c r="BS22" t="s">
        <v>42</v>
      </c>
      <c r="BT22">
        <v>6.6989999999999998</v>
      </c>
      <c r="BU22">
        <v>0.48699999999999999</v>
      </c>
      <c r="BV22">
        <v>5.5960000000000001</v>
      </c>
      <c r="BW22">
        <v>6.407</v>
      </c>
      <c r="BX22">
        <v>6.7770000000000001</v>
      </c>
      <c r="BY22">
        <v>7.0910000000000002</v>
      </c>
      <c r="BZ22">
        <v>7.3520000000000003</v>
      </c>
      <c r="CA22">
        <v>1.0009999999999999</v>
      </c>
      <c r="CB22">
        <v>3000</v>
      </c>
      <c r="CG22" t="s">
        <v>42</v>
      </c>
      <c r="CH22">
        <v>6.89</v>
      </c>
      <c r="CI22">
        <v>0.377</v>
      </c>
      <c r="CJ22">
        <v>5.9850000000000003</v>
      </c>
      <c r="CK22">
        <v>6.6689999999999996</v>
      </c>
      <c r="CL22">
        <v>6.9729999999999999</v>
      </c>
      <c r="CM22">
        <v>7.1890000000000001</v>
      </c>
      <c r="CN22">
        <v>7.3639999999999999</v>
      </c>
      <c r="CO22">
        <v>1.0009999999999999</v>
      </c>
      <c r="CP22">
        <v>3000</v>
      </c>
      <c r="CU22" t="s">
        <v>42</v>
      </c>
      <c r="CV22">
        <v>6.7869999999999999</v>
      </c>
      <c r="CW22">
        <v>0.44900000000000001</v>
      </c>
      <c r="CX22">
        <v>5.718</v>
      </c>
      <c r="CY22">
        <v>6.5330000000000004</v>
      </c>
      <c r="CZ22">
        <v>6.8810000000000002</v>
      </c>
      <c r="DA22">
        <v>7.1319999999999997</v>
      </c>
      <c r="DB22">
        <v>7.3520000000000003</v>
      </c>
      <c r="DC22">
        <v>1.002</v>
      </c>
      <c r="DD22">
        <v>1400</v>
      </c>
      <c r="DI22" t="s">
        <v>42</v>
      </c>
      <c r="DJ22">
        <v>6.6920000000000002</v>
      </c>
      <c r="DK22">
        <v>0.49</v>
      </c>
      <c r="DL22">
        <v>5.53</v>
      </c>
      <c r="DM22">
        <v>6.3929999999999998</v>
      </c>
      <c r="DN22">
        <v>6.774</v>
      </c>
      <c r="DO22">
        <v>7.08</v>
      </c>
      <c r="DP22">
        <v>7.35</v>
      </c>
      <c r="DQ22">
        <v>1.002</v>
      </c>
      <c r="DR22">
        <v>1100</v>
      </c>
      <c r="DY22" t="s">
        <v>42</v>
      </c>
      <c r="DZ22">
        <v>6.7220000000000004</v>
      </c>
      <c r="EA22">
        <v>0.47599999999999998</v>
      </c>
      <c r="EB22">
        <v>5.6180000000000003</v>
      </c>
      <c r="EC22">
        <v>6.42</v>
      </c>
      <c r="ED22">
        <v>6.8079999999999998</v>
      </c>
      <c r="EE22">
        <v>7.1109999999999998</v>
      </c>
      <c r="EF22">
        <v>7.3520000000000003</v>
      </c>
      <c r="EG22">
        <v>1.0029999999999999</v>
      </c>
      <c r="EH22">
        <v>770</v>
      </c>
      <c r="EK22" t="s">
        <v>42</v>
      </c>
      <c r="EL22">
        <v>6.4119999999999999</v>
      </c>
      <c r="EM22">
        <v>0.52200000000000002</v>
      </c>
      <c r="EN22">
        <v>5.3739999999999997</v>
      </c>
      <c r="EO22">
        <v>6.0490000000000004</v>
      </c>
      <c r="EP22">
        <v>6.407</v>
      </c>
      <c r="EQ22">
        <v>6.8280000000000003</v>
      </c>
      <c r="ER22">
        <v>7.298</v>
      </c>
      <c r="ES22">
        <v>1.002</v>
      </c>
      <c r="ET22">
        <v>1200</v>
      </c>
      <c r="EY22" t="s">
        <v>42</v>
      </c>
      <c r="EZ22">
        <v>6.68</v>
      </c>
      <c r="FA22">
        <v>0.49</v>
      </c>
      <c r="FB22">
        <v>5.5780000000000003</v>
      </c>
      <c r="FC22">
        <v>6.3710000000000004</v>
      </c>
      <c r="FD22">
        <v>6.7640000000000002</v>
      </c>
      <c r="FE22">
        <v>7.0739999999999998</v>
      </c>
      <c r="FF22">
        <v>7.3419999999999996</v>
      </c>
      <c r="FG22">
        <v>1.002</v>
      </c>
      <c r="FH22">
        <v>1600</v>
      </c>
      <c r="FM22" t="s">
        <v>133</v>
      </c>
      <c r="FN22">
        <v>1E-3</v>
      </c>
      <c r="FO22">
        <v>0.57899999999999996</v>
      </c>
      <c r="FP22">
        <v>-0.94799999999999995</v>
      </c>
      <c r="FQ22">
        <v>-0.5</v>
      </c>
      <c r="FR22">
        <v>-3.0000000000000001E-3</v>
      </c>
      <c r="FS22">
        <v>0.504</v>
      </c>
      <c r="FT22">
        <v>0.95099999999999996</v>
      </c>
      <c r="FU22">
        <v>1.0009999999999999</v>
      </c>
      <c r="FV22">
        <v>3000</v>
      </c>
      <c r="GA22" t="s">
        <v>42</v>
      </c>
      <c r="GB22">
        <v>7.008</v>
      </c>
      <c r="GC22">
        <v>0.28699999999999998</v>
      </c>
      <c r="GD22">
        <v>6.3390000000000004</v>
      </c>
      <c r="GE22">
        <v>6.8449999999999998</v>
      </c>
      <c r="GF22">
        <v>7.0670000000000002</v>
      </c>
      <c r="GG22">
        <v>7.24</v>
      </c>
      <c r="GH22">
        <v>7.367</v>
      </c>
      <c r="GI22">
        <v>1.0009999999999999</v>
      </c>
      <c r="GJ22">
        <v>3000</v>
      </c>
      <c r="GO22" t="s">
        <v>42</v>
      </c>
      <c r="GP22">
        <v>6.67</v>
      </c>
      <c r="GQ22">
        <v>0.502</v>
      </c>
      <c r="GR22">
        <v>5.4630000000000001</v>
      </c>
      <c r="GS22">
        <v>6.3659999999999997</v>
      </c>
      <c r="GT22">
        <v>6.7629999999999999</v>
      </c>
      <c r="GU22">
        <v>7.0650000000000004</v>
      </c>
      <c r="GV22">
        <v>7.343</v>
      </c>
      <c r="GW22">
        <v>1.0009999999999999</v>
      </c>
      <c r="GX22">
        <v>3000</v>
      </c>
      <c r="HC22" t="s">
        <v>42</v>
      </c>
      <c r="HD22">
        <v>6.66</v>
      </c>
      <c r="HE22">
        <v>0.504</v>
      </c>
      <c r="HF22">
        <v>5.5289999999999999</v>
      </c>
      <c r="HG22">
        <v>6.3410000000000002</v>
      </c>
      <c r="HH22">
        <v>6.7519999999999998</v>
      </c>
      <c r="HI22">
        <v>7.0609999999999999</v>
      </c>
      <c r="HJ22">
        <v>7.351</v>
      </c>
      <c r="HK22">
        <v>1.0009999999999999</v>
      </c>
      <c r="HL22">
        <v>3000</v>
      </c>
      <c r="HP22" s="7"/>
      <c r="HQ22" s="7" t="s">
        <v>42</v>
      </c>
      <c r="HR22" s="7">
        <v>6.6070000000000002</v>
      </c>
      <c r="HS22" s="7">
        <v>0.50800000000000001</v>
      </c>
      <c r="HT22" s="7">
        <v>5.5110000000000001</v>
      </c>
      <c r="HU22" s="7">
        <v>6.2549999999999999</v>
      </c>
      <c r="HV22" s="7">
        <v>6.6589999999999998</v>
      </c>
      <c r="HW22" s="7">
        <v>7.0229999999999997</v>
      </c>
      <c r="HX22" s="7">
        <v>7.3360000000000003</v>
      </c>
      <c r="HY22" s="7">
        <v>1.0009999999999999</v>
      </c>
      <c r="HZ22" s="7">
        <v>3000</v>
      </c>
      <c r="IA22" s="7"/>
      <c r="IE22" t="s">
        <v>42</v>
      </c>
      <c r="IF22">
        <v>7.0629999999999997</v>
      </c>
      <c r="IG22">
        <v>0.246</v>
      </c>
      <c r="IH22">
        <v>6.4589999999999996</v>
      </c>
      <c r="II22">
        <v>6.9359999999999999</v>
      </c>
      <c r="IJ22">
        <v>7.1120000000000001</v>
      </c>
      <c r="IK22">
        <v>7.2560000000000002</v>
      </c>
      <c r="IL22">
        <v>7.3680000000000003</v>
      </c>
      <c r="IM22">
        <v>1.0009999999999999</v>
      </c>
      <c r="IN22">
        <v>3000</v>
      </c>
      <c r="IS22" t="s">
        <v>42</v>
      </c>
      <c r="IT22">
        <v>7.05</v>
      </c>
      <c r="IU22">
        <v>0.25700000000000001</v>
      </c>
      <c r="IV22">
        <v>6.4080000000000004</v>
      </c>
      <c r="IW22">
        <v>6.9029999999999996</v>
      </c>
      <c r="IX22">
        <v>7.1050000000000004</v>
      </c>
      <c r="IY22">
        <v>7.2569999999999997</v>
      </c>
      <c r="IZ22">
        <v>7.367</v>
      </c>
      <c r="JA22">
        <v>1.0009999999999999</v>
      </c>
      <c r="JB22">
        <v>3000</v>
      </c>
      <c r="JF22" t="s">
        <v>42</v>
      </c>
      <c r="JG22">
        <v>6.7670000000000003</v>
      </c>
      <c r="JH22">
        <v>0.41599999999999998</v>
      </c>
      <c r="JI22">
        <v>5.8120000000000003</v>
      </c>
      <c r="JJ22">
        <v>6.5069999999999997</v>
      </c>
      <c r="JK22">
        <v>6.827</v>
      </c>
      <c r="JL22">
        <v>7.0910000000000002</v>
      </c>
      <c r="JM22">
        <v>7.3490000000000002</v>
      </c>
      <c r="JN22">
        <v>1.0009999999999999</v>
      </c>
      <c r="JO22">
        <v>3000</v>
      </c>
      <c r="JT22" t="s">
        <v>42</v>
      </c>
      <c r="JU22">
        <v>6.7569999999999997</v>
      </c>
      <c r="JV22">
        <v>0.42699999999999999</v>
      </c>
      <c r="JW22">
        <v>5.806</v>
      </c>
      <c r="JX22">
        <v>6.4740000000000002</v>
      </c>
      <c r="JY22">
        <v>6.819</v>
      </c>
      <c r="JZ22">
        <v>7.1020000000000003</v>
      </c>
      <c r="KA22">
        <v>7.35</v>
      </c>
      <c r="KB22">
        <v>1.0009999999999999</v>
      </c>
      <c r="KC22">
        <v>3000</v>
      </c>
      <c r="KH22" t="s">
        <v>42</v>
      </c>
      <c r="KI22">
        <v>6.7439999999999998</v>
      </c>
      <c r="KJ22">
        <v>0.439</v>
      </c>
      <c r="KK22">
        <v>5.76</v>
      </c>
      <c r="KL22">
        <v>6.4720000000000004</v>
      </c>
      <c r="KM22">
        <v>6.8150000000000004</v>
      </c>
      <c r="KN22">
        <v>7.0970000000000004</v>
      </c>
      <c r="KO22">
        <v>7.3520000000000003</v>
      </c>
      <c r="KP22">
        <v>1.002</v>
      </c>
      <c r="KQ22">
        <v>1300</v>
      </c>
      <c r="KR22">
        <f t="shared" si="0"/>
        <v>848.94975230866839</v>
      </c>
      <c r="KS22">
        <f t="shared" si="1"/>
        <v>2167.8821396591748</v>
      </c>
      <c r="KV22" t="s">
        <v>42</v>
      </c>
      <c r="KW22">
        <v>6.7160000000000002</v>
      </c>
      <c r="KX22">
        <v>0.39100000000000001</v>
      </c>
      <c r="KY22">
        <v>5.9720000000000004</v>
      </c>
      <c r="KZ22">
        <v>6.4379999999999997</v>
      </c>
      <c r="LA22">
        <v>6.7050000000000001</v>
      </c>
      <c r="LB22">
        <v>6.9980000000000002</v>
      </c>
      <c r="LC22">
        <v>7.4550000000000001</v>
      </c>
      <c r="LD22">
        <v>1.0049999999999999</v>
      </c>
      <c r="LE22">
        <v>440</v>
      </c>
      <c r="LJ22" t="s">
        <v>42</v>
      </c>
      <c r="LK22">
        <v>6.0289999999999999</v>
      </c>
      <c r="LL22">
        <v>0.26800000000000002</v>
      </c>
      <c r="LM22">
        <v>5.55</v>
      </c>
      <c r="LN22">
        <v>5.8449999999999998</v>
      </c>
      <c r="LO22">
        <v>6.008</v>
      </c>
      <c r="LP22">
        <v>6.1950000000000003</v>
      </c>
      <c r="LQ22">
        <v>6.585</v>
      </c>
      <c r="LR22">
        <v>1.004</v>
      </c>
      <c r="LS22">
        <v>620</v>
      </c>
      <c r="LX22" t="s">
        <v>42</v>
      </c>
      <c r="LY22">
        <v>1.879</v>
      </c>
      <c r="LZ22">
        <v>1.1220000000000001</v>
      </c>
      <c r="MA22">
        <v>-0.628</v>
      </c>
      <c r="MB22">
        <v>1.2070000000000001</v>
      </c>
      <c r="MC22">
        <v>2.0209999999999999</v>
      </c>
      <c r="MD22">
        <v>2.6920000000000002</v>
      </c>
      <c r="ME22">
        <v>3.7090000000000001</v>
      </c>
      <c r="MF22">
        <v>1.3360000000000001</v>
      </c>
      <c r="MG22">
        <v>10</v>
      </c>
      <c r="ML22" t="s">
        <v>42</v>
      </c>
      <c r="MM22">
        <v>6.9969999999999999</v>
      </c>
      <c r="MN22">
        <v>0.34100000000000003</v>
      </c>
      <c r="MO22">
        <v>6.3090000000000002</v>
      </c>
      <c r="MP22">
        <v>6.76</v>
      </c>
      <c r="MQ22">
        <v>7.01</v>
      </c>
      <c r="MR22">
        <v>7.25</v>
      </c>
      <c r="MS22">
        <v>7.601</v>
      </c>
      <c r="MT22">
        <v>1.002</v>
      </c>
      <c r="MU22">
        <v>2600</v>
      </c>
      <c r="MZ22" t="s">
        <v>42</v>
      </c>
      <c r="NA22">
        <v>7.069</v>
      </c>
      <c r="NB22">
        <v>0.31</v>
      </c>
      <c r="NC22">
        <v>6.44</v>
      </c>
      <c r="ND22">
        <v>6.8559999999999999</v>
      </c>
      <c r="NE22">
        <v>7.093</v>
      </c>
      <c r="NF22">
        <v>7.2939999999999996</v>
      </c>
      <c r="NG22">
        <v>7.6040000000000001</v>
      </c>
      <c r="NH22">
        <v>1.0029999999999999</v>
      </c>
      <c r="NI22">
        <v>850</v>
      </c>
      <c r="NM22" t="s">
        <v>42</v>
      </c>
      <c r="NN22">
        <v>6.8520000000000003</v>
      </c>
      <c r="NO22">
        <v>0.22900000000000001</v>
      </c>
      <c r="NP22">
        <v>6.4349999999999996</v>
      </c>
      <c r="NQ22">
        <v>6.6840000000000002</v>
      </c>
      <c r="NR22">
        <v>6.843</v>
      </c>
      <c r="NS22">
        <v>7.0149999999999997</v>
      </c>
      <c r="NT22">
        <v>7.298</v>
      </c>
      <c r="NU22">
        <v>1.0009999999999999</v>
      </c>
      <c r="NV22">
        <v>8900</v>
      </c>
      <c r="NY22" t="s">
        <v>42</v>
      </c>
      <c r="NZ22">
        <v>6.6920000000000002</v>
      </c>
      <c r="OA22">
        <v>0.23499999999999999</v>
      </c>
      <c r="OB22">
        <v>6.2919999999999998</v>
      </c>
      <c r="OC22">
        <v>6.5190000000000001</v>
      </c>
      <c r="OD22">
        <v>6.67</v>
      </c>
      <c r="OE22">
        <v>6.85</v>
      </c>
      <c r="OF22">
        <v>7.1879999999999997</v>
      </c>
      <c r="OG22">
        <v>1.0009999999999999</v>
      </c>
      <c r="OH22">
        <v>4900</v>
      </c>
      <c r="OP22" t="s">
        <v>42</v>
      </c>
      <c r="OQ22">
        <v>7.0060000000000002</v>
      </c>
      <c r="OR22">
        <v>0.26300000000000001</v>
      </c>
      <c r="OS22">
        <v>6.4569999999999999</v>
      </c>
      <c r="OT22">
        <v>6.8250000000000002</v>
      </c>
      <c r="OU22">
        <v>7.0350000000000001</v>
      </c>
      <c r="OV22">
        <v>7.2069999999999999</v>
      </c>
      <c r="OW22">
        <v>7.4249999999999998</v>
      </c>
      <c r="OX22">
        <v>1.0169999999999999</v>
      </c>
      <c r="OY22">
        <v>150</v>
      </c>
      <c r="PB22" t="s">
        <v>42</v>
      </c>
      <c r="PC22">
        <v>7.181</v>
      </c>
      <c r="PD22">
        <v>0.188</v>
      </c>
      <c r="PE22">
        <v>6.7690000000000001</v>
      </c>
      <c r="PF22">
        <v>7.06</v>
      </c>
      <c r="PG22">
        <v>7.2089999999999996</v>
      </c>
      <c r="PH22">
        <v>7.3239999999999998</v>
      </c>
      <c r="PI22">
        <v>7.47</v>
      </c>
      <c r="PJ22">
        <v>1.01</v>
      </c>
      <c r="PK22">
        <v>270</v>
      </c>
      <c r="PN22" t="s">
        <v>42</v>
      </c>
      <c r="PO22">
        <v>7.1470000000000002</v>
      </c>
      <c r="PP22">
        <v>0.16400000000000001</v>
      </c>
      <c r="PQ22">
        <v>6.7750000000000004</v>
      </c>
      <c r="PR22">
        <v>7.0419999999999998</v>
      </c>
      <c r="PS22">
        <v>7.1710000000000003</v>
      </c>
      <c r="PT22">
        <v>7.2690000000000001</v>
      </c>
      <c r="PU22">
        <v>7.4</v>
      </c>
      <c r="PV22">
        <v>1.002</v>
      </c>
      <c r="PW22">
        <v>1400</v>
      </c>
      <c r="QA22" t="s">
        <v>42</v>
      </c>
      <c r="QB22">
        <v>6.31</v>
      </c>
      <c r="QC22">
        <v>0.14199999999999999</v>
      </c>
      <c r="QD22">
        <v>6.0170000000000003</v>
      </c>
      <c r="QE22">
        <v>6.2149999999999999</v>
      </c>
      <c r="QF22">
        <v>6.3159999999999998</v>
      </c>
      <c r="QG22">
        <v>6.4139999999999997</v>
      </c>
      <c r="QH22">
        <v>6.5650000000000004</v>
      </c>
      <c r="QI22">
        <v>1.0629999999999999</v>
      </c>
      <c r="QJ22">
        <v>39</v>
      </c>
      <c r="QL22">
        <f t="shared" si="2"/>
        <v>0.83700000000000063</v>
      </c>
    </row>
    <row r="23" spans="1:454">
      <c r="A23" t="s">
        <v>43</v>
      </c>
      <c r="B23">
        <v>6.9729999999999999</v>
      </c>
      <c r="C23">
        <v>0.995</v>
      </c>
      <c r="D23">
        <v>5.0490000000000004</v>
      </c>
      <c r="E23">
        <v>6.32</v>
      </c>
      <c r="F23">
        <v>7.0019999999999998</v>
      </c>
      <c r="G23">
        <v>7.6189999999999998</v>
      </c>
      <c r="H23">
        <v>8.9440000000000008</v>
      </c>
      <c r="I23">
        <v>1.0049999999999999</v>
      </c>
      <c r="J23">
        <v>980</v>
      </c>
      <c r="O23" t="s">
        <v>43</v>
      </c>
      <c r="P23">
        <v>5.1559999999999997</v>
      </c>
      <c r="Q23">
        <v>1.3149999999999999</v>
      </c>
      <c r="R23">
        <v>2.4430000000000001</v>
      </c>
      <c r="S23">
        <v>4.2409999999999997</v>
      </c>
      <c r="T23">
        <v>5.2510000000000003</v>
      </c>
      <c r="U23">
        <v>6.1950000000000003</v>
      </c>
      <c r="V23">
        <v>7.2229999999999999</v>
      </c>
      <c r="W23">
        <v>1.0029999999999999</v>
      </c>
      <c r="X23">
        <v>910</v>
      </c>
      <c r="AC23" t="s">
        <v>43</v>
      </c>
      <c r="AD23">
        <v>5.859</v>
      </c>
      <c r="AE23">
        <v>0.82899999999999996</v>
      </c>
      <c r="AF23">
        <v>4.2560000000000002</v>
      </c>
      <c r="AG23">
        <v>5.2510000000000003</v>
      </c>
      <c r="AH23">
        <v>5.87</v>
      </c>
      <c r="AI23">
        <v>6.5039999999999996</v>
      </c>
      <c r="AJ23">
        <v>7.2830000000000004</v>
      </c>
      <c r="AK23">
        <v>1.004</v>
      </c>
      <c r="AL23">
        <v>590</v>
      </c>
      <c r="AQ23" t="s">
        <v>43</v>
      </c>
      <c r="AR23">
        <v>5.758</v>
      </c>
      <c r="AS23">
        <v>0.83099999999999996</v>
      </c>
      <c r="AT23">
        <v>4.117</v>
      </c>
      <c r="AU23">
        <v>5.194</v>
      </c>
      <c r="AV23">
        <v>5.7629999999999999</v>
      </c>
      <c r="AW23">
        <v>6.3659999999999997</v>
      </c>
      <c r="AX23">
        <v>7.2510000000000003</v>
      </c>
      <c r="AY23">
        <v>1.0009999999999999</v>
      </c>
      <c r="AZ23">
        <v>3000</v>
      </c>
      <c r="BE23" t="s">
        <v>43</v>
      </c>
      <c r="BF23">
        <v>5.8620000000000001</v>
      </c>
      <c r="BG23">
        <v>0.64600000000000002</v>
      </c>
      <c r="BH23">
        <v>4.6180000000000003</v>
      </c>
      <c r="BI23">
        <v>5.4089999999999998</v>
      </c>
      <c r="BJ23">
        <v>5.859</v>
      </c>
      <c r="BK23">
        <v>6.3090000000000002</v>
      </c>
      <c r="BL23">
        <v>7.1180000000000003</v>
      </c>
      <c r="BM23">
        <v>1.002</v>
      </c>
      <c r="BN23">
        <v>1000</v>
      </c>
      <c r="BS23" t="s">
        <v>43</v>
      </c>
      <c r="BT23">
        <v>5.7640000000000002</v>
      </c>
      <c r="BU23">
        <v>0.80600000000000005</v>
      </c>
      <c r="BV23">
        <v>4.1980000000000004</v>
      </c>
      <c r="BW23">
        <v>5.2089999999999996</v>
      </c>
      <c r="BX23">
        <v>5.7679999999999998</v>
      </c>
      <c r="BY23">
        <v>6.3520000000000003</v>
      </c>
      <c r="BZ23">
        <v>7.2130000000000001</v>
      </c>
      <c r="CA23">
        <v>1.0029999999999999</v>
      </c>
      <c r="CB23">
        <v>920</v>
      </c>
      <c r="CG23" t="s">
        <v>43</v>
      </c>
      <c r="CH23">
        <v>5.8760000000000003</v>
      </c>
      <c r="CI23">
        <v>0.67600000000000005</v>
      </c>
      <c r="CJ23">
        <v>4.5999999999999996</v>
      </c>
      <c r="CK23">
        <v>5.3949999999999996</v>
      </c>
      <c r="CL23">
        <v>5.867</v>
      </c>
      <c r="CM23">
        <v>6.3659999999999997</v>
      </c>
      <c r="CN23">
        <v>7.1429999999999998</v>
      </c>
      <c r="CO23">
        <v>1.002</v>
      </c>
      <c r="CP23">
        <v>1100</v>
      </c>
      <c r="CU23" t="s">
        <v>43</v>
      </c>
      <c r="CV23">
        <v>6.0529999999999999</v>
      </c>
      <c r="CW23">
        <v>0.79900000000000004</v>
      </c>
      <c r="CX23">
        <v>4.2990000000000004</v>
      </c>
      <c r="CY23">
        <v>5.524</v>
      </c>
      <c r="CZ23">
        <v>6.1289999999999996</v>
      </c>
      <c r="DA23">
        <v>6.6529999999999996</v>
      </c>
      <c r="DB23">
        <v>7.327</v>
      </c>
      <c r="DC23">
        <v>1.0049999999999999</v>
      </c>
      <c r="DD23">
        <v>460</v>
      </c>
      <c r="DI23" t="s">
        <v>43</v>
      </c>
      <c r="DJ23">
        <v>5.9640000000000004</v>
      </c>
      <c r="DK23">
        <v>0.82299999999999995</v>
      </c>
      <c r="DL23">
        <v>4.282</v>
      </c>
      <c r="DM23">
        <v>5.399</v>
      </c>
      <c r="DN23">
        <v>6.0179999999999998</v>
      </c>
      <c r="DO23">
        <v>6.617</v>
      </c>
      <c r="DP23">
        <v>7.298</v>
      </c>
      <c r="DQ23">
        <v>1.002</v>
      </c>
      <c r="DR23">
        <v>1400</v>
      </c>
      <c r="DY23" t="s">
        <v>43</v>
      </c>
      <c r="DZ23">
        <v>5.9089999999999998</v>
      </c>
      <c r="EA23">
        <v>0.79900000000000004</v>
      </c>
      <c r="EB23">
        <v>4.2350000000000003</v>
      </c>
      <c r="EC23">
        <v>5.343</v>
      </c>
      <c r="ED23">
        <v>5.9420000000000002</v>
      </c>
      <c r="EE23">
        <v>6.5110000000000001</v>
      </c>
      <c r="EF23">
        <v>7.28</v>
      </c>
      <c r="EG23">
        <v>1.0009999999999999</v>
      </c>
      <c r="EH23">
        <v>3000</v>
      </c>
      <c r="EK23" t="s">
        <v>43</v>
      </c>
      <c r="EL23">
        <v>4.665</v>
      </c>
      <c r="EM23">
        <v>0.73199999999999998</v>
      </c>
      <c r="EN23">
        <v>3.278</v>
      </c>
      <c r="EO23">
        <v>4.1619999999999999</v>
      </c>
      <c r="EP23">
        <v>4.6470000000000002</v>
      </c>
      <c r="EQ23">
        <v>5.1139999999999999</v>
      </c>
      <c r="ER23">
        <v>6.3079999999999998</v>
      </c>
      <c r="ES23">
        <v>1.0009999999999999</v>
      </c>
      <c r="ET23">
        <v>1500</v>
      </c>
      <c r="EY23" t="s">
        <v>43</v>
      </c>
      <c r="EZ23">
        <v>5.4749999999999996</v>
      </c>
      <c r="FA23">
        <v>0.86099999999999999</v>
      </c>
      <c r="FB23">
        <v>3.79</v>
      </c>
      <c r="FC23">
        <v>4.8819999999999997</v>
      </c>
      <c r="FD23">
        <v>5.4619999999999997</v>
      </c>
      <c r="FE23">
        <v>6.1</v>
      </c>
      <c r="FF23">
        <v>7.1070000000000002</v>
      </c>
      <c r="FG23">
        <v>1.0029999999999999</v>
      </c>
      <c r="FH23">
        <v>760</v>
      </c>
      <c r="FM23" t="s">
        <v>134</v>
      </c>
      <c r="FN23">
        <v>-8.0000000000000002E-3</v>
      </c>
      <c r="FO23">
        <v>0.57299999999999995</v>
      </c>
      <c r="FP23">
        <v>-0.94599999999999995</v>
      </c>
      <c r="FQ23">
        <v>-0.495</v>
      </c>
      <c r="FR23">
        <v>2E-3</v>
      </c>
      <c r="FS23">
        <v>0.47599999999999998</v>
      </c>
      <c r="FT23">
        <v>0.94799999999999995</v>
      </c>
      <c r="FU23">
        <v>1.0009999999999999</v>
      </c>
      <c r="FV23">
        <v>3000</v>
      </c>
      <c r="GA23" t="s">
        <v>43</v>
      </c>
      <c r="GB23">
        <v>6.7140000000000004</v>
      </c>
      <c r="GC23">
        <v>0.42299999999999999</v>
      </c>
      <c r="GD23">
        <v>5.7960000000000003</v>
      </c>
      <c r="GE23">
        <v>6.4390000000000001</v>
      </c>
      <c r="GF23">
        <v>6.7549999999999999</v>
      </c>
      <c r="GG23">
        <v>7.0570000000000004</v>
      </c>
      <c r="GH23">
        <v>7.34</v>
      </c>
      <c r="GI23">
        <v>1.002</v>
      </c>
      <c r="GJ23">
        <v>1700</v>
      </c>
      <c r="GO23" t="s">
        <v>43</v>
      </c>
      <c r="GP23">
        <v>5.5289999999999999</v>
      </c>
      <c r="GQ23">
        <v>0.872</v>
      </c>
      <c r="GR23">
        <v>3.8420000000000001</v>
      </c>
      <c r="GS23">
        <v>4.9029999999999996</v>
      </c>
      <c r="GT23">
        <v>5.53</v>
      </c>
      <c r="GU23">
        <v>6.1580000000000004</v>
      </c>
      <c r="GV23">
        <v>7.16</v>
      </c>
      <c r="GW23">
        <v>1.002</v>
      </c>
      <c r="GX23">
        <v>1900</v>
      </c>
      <c r="HC23" t="s">
        <v>43</v>
      </c>
      <c r="HD23">
        <v>5.5510000000000002</v>
      </c>
      <c r="HE23">
        <v>0.85199999999999998</v>
      </c>
      <c r="HF23">
        <v>3.9</v>
      </c>
      <c r="HG23">
        <v>4.96</v>
      </c>
      <c r="HH23">
        <v>5.5170000000000003</v>
      </c>
      <c r="HI23">
        <v>6.1779999999999999</v>
      </c>
      <c r="HJ23">
        <v>7.1509999999999998</v>
      </c>
      <c r="HK23">
        <v>1.0009999999999999</v>
      </c>
      <c r="HL23">
        <v>3000</v>
      </c>
      <c r="HP23" s="7"/>
      <c r="HQ23" s="7" t="s">
        <v>43</v>
      </c>
      <c r="HR23" s="7">
        <v>5.1440000000000001</v>
      </c>
      <c r="HS23" s="7">
        <v>0.86</v>
      </c>
      <c r="HT23" s="7">
        <v>3.5419999999999998</v>
      </c>
      <c r="HU23" s="7">
        <v>4.5439999999999996</v>
      </c>
      <c r="HV23" s="7">
        <v>5.1059999999999999</v>
      </c>
      <c r="HW23" s="7">
        <v>5.734</v>
      </c>
      <c r="HX23" s="7">
        <v>6.8840000000000003</v>
      </c>
      <c r="HY23" s="7">
        <v>1.002</v>
      </c>
      <c r="HZ23" s="7">
        <v>1200</v>
      </c>
      <c r="IA23" s="7"/>
      <c r="IE23" t="s">
        <v>43</v>
      </c>
      <c r="IF23">
        <v>6.5880000000000001</v>
      </c>
      <c r="IG23">
        <v>0.443</v>
      </c>
      <c r="IH23">
        <v>5.6829999999999998</v>
      </c>
      <c r="II23">
        <v>6.27</v>
      </c>
      <c r="IJ23">
        <v>6.601</v>
      </c>
      <c r="IK23">
        <v>6.9320000000000004</v>
      </c>
      <c r="IL23">
        <v>7.3230000000000004</v>
      </c>
      <c r="IM23">
        <v>1.0009999999999999</v>
      </c>
      <c r="IN23">
        <v>3000</v>
      </c>
      <c r="IS23" t="s">
        <v>43</v>
      </c>
      <c r="IT23">
        <v>6.7329999999999997</v>
      </c>
      <c r="IU23">
        <v>0.42099999999999999</v>
      </c>
      <c r="IV23">
        <v>5.8129999999999997</v>
      </c>
      <c r="IW23">
        <v>6.4420000000000002</v>
      </c>
      <c r="IX23">
        <v>6.79</v>
      </c>
      <c r="IY23">
        <v>7.0720000000000001</v>
      </c>
      <c r="IZ23">
        <v>7.35</v>
      </c>
      <c r="JA23">
        <v>1.0009999999999999</v>
      </c>
      <c r="JB23">
        <v>3000</v>
      </c>
      <c r="JF23" t="s">
        <v>43</v>
      </c>
      <c r="JG23">
        <v>5.5890000000000004</v>
      </c>
      <c r="JH23">
        <v>0.79200000000000004</v>
      </c>
      <c r="JI23">
        <v>4.0540000000000003</v>
      </c>
      <c r="JJ23">
        <v>5.0439999999999996</v>
      </c>
      <c r="JK23">
        <v>5.5679999999999996</v>
      </c>
      <c r="JL23">
        <v>6.1520000000000001</v>
      </c>
      <c r="JM23">
        <v>7.141</v>
      </c>
      <c r="JN23">
        <v>1.002</v>
      </c>
      <c r="JO23">
        <v>1100</v>
      </c>
      <c r="JT23" t="s">
        <v>43</v>
      </c>
      <c r="JU23">
        <v>5.5869999999999997</v>
      </c>
      <c r="JV23">
        <v>0.77900000000000003</v>
      </c>
      <c r="JW23">
        <v>4.1029999999999998</v>
      </c>
      <c r="JX23">
        <v>5.032</v>
      </c>
      <c r="JY23">
        <v>5.5789999999999997</v>
      </c>
      <c r="JZ23">
        <v>6.141</v>
      </c>
      <c r="KA23">
        <v>7.0469999999999997</v>
      </c>
      <c r="KB23">
        <v>1.0009999999999999</v>
      </c>
      <c r="KC23">
        <v>2200</v>
      </c>
      <c r="KH23" t="s">
        <v>43</v>
      </c>
      <c r="KI23">
        <v>5.49</v>
      </c>
      <c r="KJ23">
        <v>0.78100000000000003</v>
      </c>
      <c r="KK23">
        <v>4.0380000000000003</v>
      </c>
      <c r="KL23">
        <v>4.9409999999999998</v>
      </c>
      <c r="KM23">
        <v>5.46</v>
      </c>
      <c r="KN23">
        <v>6.0170000000000003</v>
      </c>
      <c r="KO23">
        <v>7.0830000000000002</v>
      </c>
      <c r="KP23">
        <v>1.0009999999999999</v>
      </c>
      <c r="KQ23">
        <v>3000</v>
      </c>
      <c r="KR23">
        <f t="shared" si="0"/>
        <v>242.25720685795415</v>
      </c>
      <c r="KS23">
        <f t="shared" si="1"/>
        <v>2007.9994935245145</v>
      </c>
      <c r="KV23" t="s">
        <v>43</v>
      </c>
      <c r="KW23">
        <v>6.2750000000000004</v>
      </c>
      <c r="KX23">
        <v>0.64200000000000002</v>
      </c>
      <c r="KY23">
        <v>5.085</v>
      </c>
      <c r="KZ23">
        <v>5.8460000000000001</v>
      </c>
      <c r="LA23">
        <v>6.2519999999999998</v>
      </c>
      <c r="LB23">
        <v>6.6820000000000004</v>
      </c>
      <c r="LC23">
        <v>7.5780000000000003</v>
      </c>
      <c r="LD23">
        <v>1.004</v>
      </c>
      <c r="LE23">
        <v>630</v>
      </c>
      <c r="LJ23" t="s">
        <v>43</v>
      </c>
      <c r="LK23">
        <v>5.79</v>
      </c>
      <c r="LL23">
        <v>0.42599999999999999</v>
      </c>
      <c r="LM23">
        <v>5.0129999999999999</v>
      </c>
      <c r="LN23">
        <v>5.4960000000000004</v>
      </c>
      <c r="LO23">
        <v>5.774</v>
      </c>
      <c r="LP23">
        <v>6.0709999999999997</v>
      </c>
      <c r="LQ23">
        <v>6.6740000000000004</v>
      </c>
      <c r="LR23">
        <v>1.002</v>
      </c>
      <c r="LS23">
        <v>1800</v>
      </c>
      <c r="LX23" t="s">
        <v>43</v>
      </c>
      <c r="LY23">
        <v>4.09</v>
      </c>
      <c r="LZ23">
        <v>2.8570000000000002</v>
      </c>
      <c r="MA23">
        <v>-1.075</v>
      </c>
      <c r="MB23">
        <v>2.0150000000000001</v>
      </c>
      <c r="MC23">
        <v>3.9740000000000002</v>
      </c>
      <c r="MD23">
        <v>6.0490000000000004</v>
      </c>
      <c r="ME23">
        <v>9.8680000000000003</v>
      </c>
      <c r="MF23">
        <v>2.0910000000000002</v>
      </c>
      <c r="MG23">
        <v>5</v>
      </c>
      <c r="ML23" t="s">
        <v>43</v>
      </c>
      <c r="MM23">
        <v>6.3680000000000003</v>
      </c>
      <c r="MN23">
        <v>0.56599999999999995</v>
      </c>
      <c r="MO23">
        <v>5.3010000000000002</v>
      </c>
      <c r="MP23">
        <v>5.9779999999999998</v>
      </c>
      <c r="MQ23">
        <v>6.3520000000000003</v>
      </c>
      <c r="MR23">
        <v>6.7409999999999997</v>
      </c>
      <c r="MS23">
        <v>7.5179999999999998</v>
      </c>
      <c r="MT23">
        <v>1.0009999999999999</v>
      </c>
      <c r="MU23">
        <v>300000</v>
      </c>
      <c r="MZ23" t="s">
        <v>43</v>
      </c>
      <c r="NA23">
        <v>6.3819999999999997</v>
      </c>
      <c r="NB23">
        <v>0.55100000000000005</v>
      </c>
      <c r="NC23">
        <v>5.3529999999999998</v>
      </c>
      <c r="ND23">
        <v>6.0110000000000001</v>
      </c>
      <c r="NE23">
        <v>6.3630000000000004</v>
      </c>
      <c r="NF23">
        <v>6.7460000000000004</v>
      </c>
      <c r="NG23">
        <v>7.4870000000000001</v>
      </c>
      <c r="NH23">
        <v>1.002</v>
      </c>
      <c r="NI23">
        <v>2800</v>
      </c>
      <c r="NM23" t="s">
        <v>43</v>
      </c>
      <c r="NN23">
        <v>7.093</v>
      </c>
      <c r="NO23">
        <v>0.47799999999999998</v>
      </c>
      <c r="NP23">
        <v>6.218</v>
      </c>
      <c r="NQ23">
        <v>6.7560000000000002</v>
      </c>
      <c r="NR23">
        <v>7.0730000000000004</v>
      </c>
      <c r="NS23">
        <v>7.4139999999999997</v>
      </c>
      <c r="NT23">
        <v>8.0730000000000004</v>
      </c>
      <c r="NU23">
        <v>1.0009999999999999</v>
      </c>
      <c r="NV23">
        <v>7200</v>
      </c>
      <c r="NY23" t="s">
        <v>43</v>
      </c>
      <c r="NZ23">
        <v>6.9960000000000004</v>
      </c>
      <c r="OA23">
        <v>0.47799999999999998</v>
      </c>
      <c r="OB23">
        <v>6.1689999999999996</v>
      </c>
      <c r="OC23">
        <v>6.6580000000000004</v>
      </c>
      <c r="OD23">
        <v>6.9509999999999996</v>
      </c>
      <c r="OE23">
        <v>7.2960000000000003</v>
      </c>
      <c r="OF23">
        <v>8.0370000000000008</v>
      </c>
      <c r="OG23">
        <v>1.0009999999999999</v>
      </c>
      <c r="OH23">
        <v>14000</v>
      </c>
      <c r="OP23" t="s">
        <v>43</v>
      </c>
      <c r="OQ23">
        <v>6.9989999999999997</v>
      </c>
      <c r="OR23">
        <v>0.34499999999999997</v>
      </c>
      <c r="OS23">
        <v>6.34</v>
      </c>
      <c r="OT23">
        <v>6.7720000000000002</v>
      </c>
      <c r="OU23">
        <v>6.9889999999999999</v>
      </c>
      <c r="OV23">
        <v>7.218</v>
      </c>
      <c r="OW23">
        <v>7.7140000000000004</v>
      </c>
      <c r="OX23">
        <v>1.0089999999999999</v>
      </c>
      <c r="OY23">
        <v>240</v>
      </c>
      <c r="PB23" t="s">
        <v>43</v>
      </c>
      <c r="PC23">
        <v>7.0529999999999999</v>
      </c>
      <c r="PD23">
        <v>0.313</v>
      </c>
      <c r="PE23">
        <v>6.4420000000000002</v>
      </c>
      <c r="PF23">
        <v>6.8470000000000004</v>
      </c>
      <c r="PG23">
        <v>7.0449999999999999</v>
      </c>
      <c r="PH23">
        <v>7.25</v>
      </c>
      <c r="PI23">
        <v>7.6959999999999997</v>
      </c>
      <c r="PJ23">
        <v>1.0069999999999999</v>
      </c>
      <c r="PK23">
        <v>680</v>
      </c>
      <c r="PN23" t="s">
        <v>43</v>
      </c>
      <c r="PO23">
        <v>7.3209999999999997</v>
      </c>
      <c r="PP23">
        <v>0.40799999999999997</v>
      </c>
      <c r="PQ23">
        <v>6.5259999999999998</v>
      </c>
      <c r="PR23">
        <v>7.0529999999999999</v>
      </c>
      <c r="PS23">
        <v>7.3090000000000002</v>
      </c>
      <c r="PT23">
        <v>7.59</v>
      </c>
      <c r="PU23">
        <v>8.125</v>
      </c>
      <c r="PV23">
        <v>1.0009999999999999</v>
      </c>
      <c r="PW23">
        <v>2400</v>
      </c>
      <c r="QA23" t="s">
        <v>43</v>
      </c>
      <c r="QB23">
        <v>5.891</v>
      </c>
      <c r="QC23">
        <v>0.21099999999999999</v>
      </c>
      <c r="QD23">
        <v>5.42</v>
      </c>
      <c r="QE23">
        <v>5.7590000000000003</v>
      </c>
      <c r="QF23">
        <v>5.9059999999999997</v>
      </c>
      <c r="QG23">
        <v>6.0439999999999996</v>
      </c>
      <c r="QH23">
        <v>6.2430000000000003</v>
      </c>
      <c r="QI23">
        <v>1.004</v>
      </c>
      <c r="QJ23">
        <v>1400</v>
      </c>
      <c r="QL23">
        <f t="shared" si="2"/>
        <v>1.4299999999999997</v>
      </c>
    </row>
    <row r="24" spans="1:454">
      <c r="A24" t="s">
        <v>44</v>
      </c>
      <c r="B24">
        <v>6.8019999999999996</v>
      </c>
      <c r="C24">
        <v>1.0029999999999999</v>
      </c>
      <c r="D24">
        <v>4.8339999999999996</v>
      </c>
      <c r="E24">
        <v>6.125</v>
      </c>
      <c r="F24">
        <v>6.8360000000000003</v>
      </c>
      <c r="G24">
        <v>7.4589999999999996</v>
      </c>
      <c r="H24">
        <v>8.6519999999999992</v>
      </c>
      <c r="I24">
        <v>1.018</v>
      </c>
      <c r="J24">
        <v>1000</v>
      </c>
      <c r="O24" t="s">
        <v>44</v>
      </c>
      <c r="P24">
        <v>4.5730000000000004</v>
      </c>
      <c r="Q24">
        <v>1.756</v>
      </c>
      <c r="R24">
        <v>0.76600000000000001</v>
      </c>
      <c r="S24">
        <v>3.355</v>
      </c>
      <c r="T24">
        <v>4.7859999999999996</v>
      </c>
      <c r="U24">
        <v>5.931</v>
      </c>
      <c r="V24">
        <v>7.2229999999999999</v>
      </c>
      <c r="W24">
        <v>1.0049999999999999</v>
      </c>
      <c r="X24">
        <v>460</v>
      </c>
      <c r="AC24" t="s">
        <v>44</v>
      </c>
      <c r="AD24">
        <v>6.3979999999999997</v>
      </c>
      <c r="AE24">
        <v>0.65600000000000003</v>
      </c>
      <c r="AF24">
        <v>4.9269999999999996</v>
      </c>
      <c r="AG24">
        <v>5.99</v>
      </c>
      <c r="AH24">
        <v>6.4720000000000004</v>
      </c>
      <c r="AI24">
        <v>6.931</v>
      </c>
      <c r="AJ24">
        <v>7.3310000000000004</v>
      </c>
      <c r="AK24">
        <v>1.0009999999999999</v>
      </c>
      <c r="AL24">
        <v>3000</v>
      </c>
      <c r="AQ24" t="s">
        <v>44</v>
      </c>
      <c r="AR24">
        <v>6.4489999999999998</v>
      </c>
      <c r="AS24">
        <v>0.60299999999999998</v>
      </c>
      <c r="AT24">
        <v>5.0970000000000004</v>
      </c>
      <c r="AU24">
        <v>6.0519999999999996</v>
      </c>
      <c r="AV24">
        <v>6.5350000000000001</v>
      </c>
      <c r="AW24">
        <v>6.9269999999999996</v>
      </c>
      <c r="AX24">
        <v>7.3259999999999996</v>
      </c>
      <c r="AY24">
        <v>1.0009999999999999</v>
      </c>
      <c r="AZ24">
        <v>3000</v>
      </c>
      <c r="BE24" t="s">
        <v>44</v>
      </c>
      <c r="BF24">
        <v>5.5380000000000003</v>
      </c>
      <c r="BG24">
        <v>0.77100000000000002</v>
      </c>
      <c r="BH24">
        <v>4.0149999999999997</v>
      </c>
      <c r="BI24">
        <v>4.9989999999999997</v>
      </c>
      <c r="BJ24">
        <v>5.5369999999999999</v>
      </c>
      <c r="BK24">
        <v>6.0910000000000002</v>
      </c>
      <c r="BL24">
        <v>6.98</v>
      </c>
      <c r="BM24">
        <v>1.0129999999999999</v>
      </c>
      <c r="BN24">
        <v>170</v>
      </c>
      <c r="BS24" t="s">
        <v>44</v>
      </c>
      <c r="BT24">
        <v>6.2880000000000003</v>
      </c>
      <c r="BU24">
        <v>0.71499999999999997</v>
      </c>
      <c r="BV24">
        <v>4.6639999999999997</v>
      </c>
      <c r="BW24">
        <v>5.8449999999999998</v>
      </c>
      <c r="BX24">
        <v>6.375</v>
      </c>
      <c r="BY24">
        <v>6.8559999999999999</v>
      </c>
      <c r="BZ24">
        <v>7.3239999999999998</v>
      </c>
      <c r="CA24">
        <v>1.0049999999999999</v>
      </c>
      <c r="CB24">
        <v>500</v>
      </c>
      <c r="CG24" t="s">
        <v>44</v>
      </c>
      <c r="CH24">
        <v>5.4610000000000003</v>
      </c>
      <c r="CI24">
        <v>0.8</v>
      </c>
      <c r="CJ24">
        <v>3.9279999999999999</v>
      </c>
      <c r="CK24">
        <v>4.91</v>
      </c>
      <c r="CL24">
        <v>5.444</v>
      </c>
      <c r="CM24">
        <v>6.0209999999999999</v>
      </c>
      <c r="CN24">
        <v>6.9939999999999998</v>
      </c>
      <c r="CO24">
        <v>1.008</v>
      </c>
      <c r="CP24">
        <v>270</v>
      </c>
      <c r="CU24" t="s">
        <v>44</v>
      </c>
      <c r="CV24">
        <v>6.4820000000000002</v>
      </c>
      <c r="CW24">
        <v>0.58899999999999997</v>
      </c>
      <c r="CX24">
        <v>5.1340000000000003</v>
      </c>
      <c r="CY24">
        <v>6.1210000000000004</v>
      </c>
      <c r="CZ24">
        <v>6.5750000000000002</v>
      </c>
      <c r="DA24">
        <v>6.931</v>
      </c>
      <c r="DB24">
        <v>7.327</v>
      </c>
      <c r="DC24">
        <v>1.004</v>
      </c>
      <c r="DD24">
        <v>590</v>
      </c>
      <c r="DI24" t="s">
        <v>44</v>
      </c>
      <c r="DJ24">
        <v>6.4290000000000003</v>
      </c>
      <c r="DK24">
        <v>0.63100000000000001</v>
      </c>
      <c r="DL24">
        <v>5.0119999999999996</v>
      </c>
      <c r="DM24">
        <v>6.0140000000000002</v>
      </c>
      <c r="DN24">
        <v>6.5030000000000001</v>
      </c>
      <c r="DO24">
        <v>6.9290000000000003</v>
      </c>
      <c r="DP24">
        <v>7.3369999999999997</v>
      </c>
      <c r="DQ24">
        <v>1.0069999999999999</v>
      </c>
      <c r="DR24">
        <v>420</v>
      </c>
      <c r="DY24" t="s">
        <v>44</v>
      </c>
      <c r="DZ24">
        <v>6.4779999999999998</v>
      </c>
      <c r="EA24">
        <v>0.59799999999999998</v>
      </c>
      <c r="EB24">
        <v>5.125</v>
      </c>
      <c r="EC24">
        <v>6.0990000000000002</v>
      </c>
      <c r="ED24">
        <v>6.5570000000000004</v>
      </c>
      <c r="EE24">
        <v>6.9610000000000003</v>
      </c>
      <c r="EF24">
        <v>7.3380000000000001</v>
      </c>
      <c r="EG24">
        <v>1.0009999999999999</v>
      </c>
      <c r="EH24">
        <v>3000</v>
      </c>
      <c r="EK24" t="s">
        <v>44</v>
      </c>
      <c r="EL24">
        <v>5.7930000000000001</v>
      </c>
      <c r="EM24">
        <v>0.83099999999999996</v>
      </c>
      <c r="EN24">
        <v>4.2279999999999998</v>
      </c>
      <c r="EO24">
        <v>5.1660000000000004</v>
      </c>
      <c r="EP24">
        <v>5.79</v>
      </c>
      <c r="EQ24">
        <v>6.4470000000000001</v>
      </c>
      <c r="ER24">
        <v>7.2610000000000001</v>
      </c>
      <c r="ES24">
        <v>1.0029999999999999</v>
      </c>
      <c r="ET24">
        <v>690</v>
      </c>
      <c r="EY24" t="s">
        <v>44</v>
      </c>
      <c r="EZ24">
        <v>6.0960000000000001</v>
      </c>
      <c r="FA24">
        <v>0.78900000000000003</v>
      </c>
      <c r="FB24">
        <v>4.3949999999999996</v>
      </c>
      <c r="FC24">
        <v>5.5460000000000003</v>
      </c>
      <c r="FD24">
        <v>6.1710000000000003</v>
      </c>
      <c r="FE24">
        <v>6.7309999999999999</v>
      </c>
      <c r="FF24">
        <v>7.2930000000000001</v>
      </c>
      <c r="FG24">
        <v>1.0009999999999999</v>
      </c>
      <c r="FH24">
        <v>3000</v>
      </c>
      <c r="FM24" t="s">
        <v>139</v>
      </c>
      <c r="FN24">
        <v>-4.4999999999999998E-2</v>
      </c>
      <c r="FO24">
        <v>4.4710000000000001</v>
      </c>
      <c r="FP24">
        <v>-8.6999999999999993</v>
      </c>
      <c r="FQ24">
        <v>-3.0750000000000002</v>
      </c>
      <c r="FR24">
        <v>-0.107</v>
      </c>
      <c r="FS24">
        <v>2.9969999999999999</v>
      </c>
      <c r="FT24">
        <v>8.6969999999999992</v>
      </c>
      <c r="FU24">
        <v>1.0009999999999999</v>
      </c>
      <c r="FV24">
        <v>3000</v>
      </c>
      <c r="GA24" t="s">
        <v>44</v>
      </c>
      <c r="GB24">
        <v>6.4809999999999999</v>
      </c>
      <c r="GC24">
        <v>0.61299999999999999</v>
      </c>
      <c r="GD24">
        <v>5.1040000000000001</v>
      </c>
      <c r="GE24">
        <v>6.0880000000000001</v>
      </c>
      <c r="GF24">
        <v>6.5720000000000001</v>
      </c>
      <c r="GG24">
        <v>6.976</v>
      </c>
      <c r="GH24">
        <v>7.3319999999999999</v>
      </c>
      <c r="GI24">
        <v>1.0009999999999999</v>
      </c>
      <c r="GJ24">
        <v>3000</v>
      </c>
      <c r="GO24" t="s">
        <v>44</v>
      </c>
      <c r="GP24">
        <v>6.077</v>
      </c>
      <c r="GQ24">
        <v>0.78</v>
      </c>
      <c r="GR24">
        <v>4.4489999999999998</v>
      </c>
      <c r="GS24">
        <v>5.5339999999999998</v>
      </c>
      <c r="GT24">
        <v>6.1440000000000001</v>
      </c>
      <c r="GU24">
        <v>6.6989999999999998</v>
      </c>
      <c r="GV24">
        <v>7.2750000000000004</v>
      </c>
      <c r="GW24">
        <v>1.0009999999999999</v>
      </c>
      <c r="GX24">
        <v>3000</v>
      </c>
      <c r="HC24" t="s">
        <v>44</v>
      </c>
      <c r="HD24">
        <v>6.0960000000000001</v>
      </c>
      <c r="HE24">
        <v>0.79800000000000004</v>
      </c>
      <c r="HF24">
        <v>4.3819999999999997</v>
      </c>
      <c r="HG24">
        <v>5.56</v>
      </c>
      <c r="HH24">
        <v>6.1909999999999998</v>
      </c>
      <c r="HI24">
        <v>6.7320000000000002</v>
      </c>
      <c r="HJ24">
        <v>7.3109999999999999</v>
      </c>
      <c r="HK24">
        <v>1.0009999999999999</v>
      </c>
      <c r="HL24">
        <v>2500</v>
      </c>
      <c r="HP24" s="7"/>
      <c r="HQ24" s="7" t="s">
        <v>44</v>
      </c>
      <c r="HR24" s="7">
        <v>5.82</v>
      </c>
      <c r="HS24" s="7">
        <v>0.81200000000000006</v>
      </c>
      <c r="HT24" s="7">
        <v>4.2329999999999997</v>
      </c>
      <c r="HU24" s="7">
        <v>5.2409999999999997</v>
      </c>
      <c r="HV24" s="7">
        <v>5.8460000000000001</v>
      </c>
      <c r="HW24" s="7">
        <v>6.4420000000000002</v>
      </c>
      <c r="HX24" s="7">
        <v>7.2350000000000003</v>
      </c>
      <c r="HY24" s="7">
        <v>1.0009999999999999</v>
      </c>
      <c r="HZ24" s="7">
        <v>3000</v>
      </c>
      <c r="IA24" s="7"/>
      <c r="IE24" t="s">
        <v>44</v>
      </c>
      <c r="IF24">
        <v>6.3029999999999999</v>
      </c>
      <c r="IG24">
        <v>0.72499999999999998</v>
      </c>
      <c r="IH24">
        <v>4.6580000000000004</v>
      </c>
      <c r="II24">
        <v>5.8129999999999997</v>
      </c>
      <c r="IJ24">
        <v>6.4059999999999997</v>
      </c>
      <c r="IK24">
        <v>6.891</v>
      </c>
      <c r="IL24">
        <v>7.3310000000000004</v>
      </c>
      <c r="IM24">
        <v>1.0009999999999999</v>
      </c>
      <c r="IN24">
        <v>2200</v>
      </c>
      <c r="IS24" t="s">
        <v>44</v>
      </c>
      <c r="IT24">
        <v>6.2990000000000004</v>
      </c>
      <c r="IU24">
        <v>0.73</v>
      </c>
      <c r="IV24">
        <v>4.6710000000000003</v>
      </c>
      <c r="IW24">
        <v>5.8109999999999999</v>
      </c>
      <c r="IX24">
        <v>6.407</v>
      </c>
      <c r="IY24">
        <v>6.8940000000000001</v>
      </c>
      <c r="IZ24">
        <v>7.3259999999999996</v>
      </c>
      <c r="JA24">
        <v>1.0009999999999999</v>
      </c>
      <c r="JB24">
        <v>3000</v>
      </c>
      <c r="JF24" t="s">
        <v>44</v>
      </c>
      <c r="JG24">
        <v>5.9169999999999998</v>
      </c>
      <c r="JH24">
        <v>0.8</v>
      </c>
      <c r="JI24">
        <v>4.3070000000000004</v>
      </c>
      <c r="JJ24">
        <v>5.335</v>
      </c>
      <c r="JK24">
        <v>5.9509999999999996</v>
      </c>
      <c r="JL24">
        <v>6.5170000000000003</v>
      </c>
      <c r="JM24">
        <v>7.2690000000000001</v>
      </c>
      <c r="JN24">
        <v>1.0009999999999999</v>
      </c>
      <c r="JO24">
        <v>3000</v>
      </c>
      <c r="JT24" t="s">
        <v>44</v>
      </c>
      <c r="JU24">
        <v>5.8739999999999997</v>
      </c>
      <c r="JV24">
        <v>0.81200000000000006</v>
      </c>
      <c r="JW24">
        <v>4.2699999999999996</v>
      </c>
      <c r="JX24">
        <v>5.282</v>
      </c>
      <c r="JY24">
        <v>5.9240000000000004</v>
      </c>
      <c r="JZ24">
        <v>6.4809999999999999</v>
      </c>
      <c r="KA24">
        <v>7.2469999999999999</v>
      </c>
      <c r="KB24">
        <v>1.0009999999999999</v>
      </c>
      <c r="KC24">
        <v>3000</v>
      </c>
      <c r="KH24" t="s">
        <v>44</v>
      </c>
      <c r="KI24">
        <v>5.8739999999999997</v>
      </c>
      <c r="KJ24">
        <v>0.82</v>
      </c>
      <c r="KK24">
        <v>4.2320000000000002</v>
      </c>
      <c r="KL24">
        <v>5.2830000000000004</v>
      </c>
      <c r="KM24">
        <v>5.907</v>
      </c>
      <c r="KN24">
        <v>6.53</v>
      </c>
      <c r="KO24">
        <v>7.2430000000000003</v>
      </c>
      <c r="KP24">
        <v>1.0009999999999999</v>
      </c>
      <c r="KQ24">
        <v>3000</v>
      </c>
      <c r="KR24">
        <f t="shared" si="0"/>
        <v>355.66881396311595</v>
      </c>
      <c r="KS24">
        <f t="shared" si="1"/>
        <v>2322.0834880525113</v>
      </c>
      <c r="KV24" t="s">
        <v>44</v>
      </c>
      <c r="KW24">
        <v>6.5279999999999996</v>
      </c>
      <c r="KX24">
        <v>0.38400000000000001</v>
      </c>
      <c r="KY24">
        <v>5.7919999999999998</v>
      </c>
      <c r="KZ24">
        <v>6.2590000000000003</v>
      </c>
      <c r="LA24">
        <v>6.5279999999999996</v>
      </c>
      <c r="LB24">
        <v>6.7910000000000004</v>
      </c>
      <c r="LC24">
        <v>7.2889999999999997</v>
      </c>
      <c r="LD24">
        <v>1.006</v>
      </c>
      <c r="LE24">
        <v>400</v>
      </c>
      <c r="LJ24" t="s">
        <v>44</v>
      </c>
      <c r="LK24">
        <v>5.9269999999999996</v>
      </c>
      <c r="LL24">
        <v>0.27400000000000002</v>
      </c>
      <c r="LM24">
        <v>5.4450000000000003</v>
      </c>
      <c r="LN24">
        <v>5.7359999999999998</v>
      </c>
      <c r="LO24">
        <v>5.9139999999999997</v>
      </c>
      <c r="LP24">
        <v>6.0960000000000001</v>
      </c>
      <c r="LQ24">
        <v>6.4980000000000002</v>
      </c>
      <c r="LR24">
        <v>1.0029999999999999</v>
      </c>
      <c r="LS24">
        <v>870</v>
      </c>
      <c r="LX24" t="s">
        <v>44</v>
      </c>
      <c r="LY24">
        <v>2.8260000000000001</v>
      </c>
      <c r="LZ24">
        <v>1.07</v>
      </c>
      <c r="MA24">
        <v>0.66200000000000003</v>
      </c>
      <c r="MB24">
        <v>2.105</v>
      </c>
      <c r="MC24">
        <v>2.8479999999999999</v>
      </c>
      <c r="MD24">
        <v>3.589</v>
      </c>
      <c r="ME24">
        <v>4.6989999999999998</v>
      </c>
      <c r="MF24">
        <v>1.4770000000000001</v>
      </c>
      <c r="MG24">
        <v>8</v>
      </c>
      <c r="ML24" t="s">
        <v>44</v>
      </c>
      <c r="MM24">
        <v>6.7270000000000003</v>
      </c>
      <c r="MN24">
        <v>0.32600000000000001</v>
      </c>
      <c r="MO24">
        <v>6.0650000000000004</v>
      </c>
      <c r="MP24">
        <v>6.5019999999999998</v>
      </c>
      <c r="MQ24">
        <v>6.7430000000000003</v>
      </c>
      <c r="MR24">
        <v>6.968</v>
      </c>
      <c r="MS24">
        <v>7.3049999999999997</v>
      </c>
      <c r="MT24">
        <v>1.0009999999999999</v>
      </c>
      <c r="MU24">
        <v>6000</v>
      </c>
      <c r="MZ24" t="s">
        <v>44</v>
      </c>
      <c r="NA24">
        <v>6.7750000000000004</v>
      </c>
      <c r="NB24">
        <v>0.30299999999999999</v>
      </c>
      <c r="NC24">
        <v>6.1710000000000003</v>
      </c>
      <c r="ND24">
        <v>6.5670000000000002</v>
      </c>
      <c r="NE24">
        <v>6.79</v>
      </c>
      <c r="NF24">
        <v>6.9939999999999998</v>
      </c>
      <c r="NG24">
        <v>7.3140000000000001</v>
      </c>
      <c r="NH24">
        <v>1.002</v>
      </c>
      <c r="NI24">
        <v>1500</v>
      </c>
      <c r="NM24" t="s">
        <v>44</v>
      </c>
      <c r="NN24">
        <v>6.9550000000000001</v>
      </c>
      <c r="NO24">
        <v>0.28599999999999998</v>
      </c>
      <c r="NP24">
        <v>6.4219999999999997</v>
      </c>
      <c r="NQ24">
        <v>6.7460000000000004</v>
      </c>
      <c r="NR24">
        <v>6.9509999999999996</v>
      </c>
      <c r="NS24">
        <v>7.1660000000000004</v>
      </c>
      <c r="NT24">
        <v>7.492</v>
      </c>
      <c r="NU24">
        <v>1.0009999999999999</v>
      </c>
      <c r="NV24">
        <v>6400</v>
      </c>
      <c r="NY24" t="s">
        <v>44</v>
      </c>
      <c r="NZ24">
        <v>6.8220000000000001</v>
      </c>
      <c r="OA24">
        <v>0.30099999999999999</v>
      </c>
      <c r="OB24">
        <v>6.3019999999999996</v>
      </c>
      <c r="OC24">
        <v>6.601</v>
      </c>
      <c r="OD24">
        <v>6.7949999999999999</v>
      </c>
      <c r="OE24">
        <v>7.0259999999999998</v>
      </c>
      <c r="OF24">
        <v>7.4509999999999996</v>
      </c>
      <c r="OG24">
        <v>1.0009999999999999</v>
      </c>
      <c r="OH24">
        <v>7300</v>
      </c>
      <c r="OP24" t="s">
        <v>44</v>
      </c>
      <c r="OQ24">
        <v>7.0030000000000001</v>
      </c>
      <c r="OR24">
        <v>0.24299999999999999</v>
      </c>
      <c r="OS24">
        <v>6.4790000000000001</v>
      </c>
      <c r="OT24">
        <v>6.835</v>
      </c>
      <c r="OU24">
        <v>7.0339999999999998</v>
      </c>
      <c r="OV24">
        <v>7.19</v>
      </c>
      <c r="OW24">
        <v>7.391</v>
      </c>
      <c r="OX24">
        <v>1.018</v>
      </c>
      <c r="OY24">
        <v>130</v>
      </c>
      <c r="PB24" t="s">
        <v>44</v>
      </c>
      <c r="PC24">
        <v>7.1260000000000003</v>
      </c>
      <c r="PD24">
        <v>0.183</v>
      </c>
      <c r="PE24">
        <v>6.7190000000000003</v>
      </c>
      <c r="PF24">
        <v>7.0140000000000002</v>
      </c>
      <c r="PG24">
        <v>7.1529999999999996</v>
      </c>
      <c r="PH24">
        <v>7.2619999999999996</v>
      </c>
      <c r="PI24">
        <v>7.4089999999999998</v>
      </c>
      <c r="PJ24">
        <v>1.008</v>
      </c>
      <c r="PK24">
        <v>340</v>
      </c>
      <c r="PN24" t="s">
        <v>44</v>
      </c>
      <c r="PO24">
        <v>7.2889999999999997</v>
      </c>
      <c r="PP24">
        <v>0.33800000000000002</v>
      </c>
      <c r="PQ24">
        <v>6.6189999999999998</v>
      </c>
      <c r="PR24">
        <v>7.0709999999999997</v>
      </c>
      <c r="PS24">
        <v>7.2850000000000001</v>
      </c>
      <c r="PT24">
        <v>7.5149999999999997</v>
      </c>
      <c r="PU24">
        <v>7.9420000000000002</v>
      </c>
      <c r="PV24">
        <v>1.0009999999999999</v>
      </c>
      <c r="PW24">
        <v>2900</v>
      </c>
      <c r="QA24" t="s">
        <v>44</v>
      </c>
      <c r="QB24">
        <v>5.968</v>
      </c>
      <c r="QC24">
        <v>0.191</v>
      </c>
      <c r="QD24">
        <v>5.5359999999999996</v>
      </c>
      <c r="QE24">
        <v>5.8479999999999999</v>
      </c>
      <c r="QF24">
        <v>5.9809999999999999</v>
      </c>
      <c r="QG24">
        <v>6.1059999999999999</v>
      </c>
      <c r="QH24">
        <v>6.2869999999999999</v>
      </c>
      <c r="QI24">
        <v>1.0049999999999999</v>
      </c>
      <c r="QJ24">
        <v>1100</v>
      </c>
      <c r="QL24">
        <f t="shared" si="2"/>
        <v>1.3209999999999997</v>
      </c>
    </row>
    <row r="25" spans="1:454">
      <c r="A25" t="s">
        <v>45</v>
      </c>
      <c r="B25">
        <v>6.7930000000000001</v>
      </c>
      <c r="C25">
        <v>1.014</v>
      </c>
      <c r="D25">
        <v>4.8330000000000002</v>
      </c>
      <c r="E25">
        <v>6.1150000000000002</v>
      </c>
      <c r="F25">
        <v>6.8330000000000002</v>
      </c>
      <c r="G25">
        <v>7.4359999999999999</v>
      </c>
      <c r="H25">
        <v>8.7530000000000001</v>
      </c>
      <c r="I25">
        <v>1.0129999999999999</v>
      </c>
      <c r="J25">
        <v>1000</v>
      </c>
      <c r="O25" t="s">
        <v>45</v>
      </c>
      <c r="P25">
        <v>4.5629999999999997</v>
      </c>
      <c r="Q25">
        <v>1.8480000000000001</v>
      </c>
      <c r="R25">
        <v>0.47499999999999998</v>
      </c>
      <c r="S25">
        <v>3.3490000000000002</v>
      </c>
      <c r="T25">
        <v>4.843</v>
      </c>
      <c r="U25">
        <v>6.0640000000000001</v>
      </c>
      <c r="V25">
        <v>7.23</v>
      </c>
      <c r="W25">
        <v>1.0009999999999999</v>
      </c>
      <c r="X25">
        <v>2200</v>
      </c>
      <c r="AC25" t="s">
        <v>45</v>
      </c>
      <c r="AD25">
        <v>6.24</v>
      </c>
      <c r="AE25">
        <v>0.75800000000000001</v>
      </c>
      <c r="AF25">
        <v>4.4720000000000004</v>
      </c>
      <c r="AG25">
        <v>5.7839999999999998</v>
      </c>
      <c r="AH25">
        <v>6.3230000000000004</v>
      </c>
      <c r="AI25">
        <v>6.8470000000000004</v>
      </c>
      <c r="AJ25">
        <v>7.3220000000000001</v>
      </c>
      <c r="AK25">
        <v>1.0009999999999999</v>
      </c>
      <c r="AL25">
        <v>3000</v>
      </c>
      <c r="AQ25" t="s">
        <v>45</v>
      </c>
      <c r="AR25">
        <v>6.2779999999999996</v>
      </c>
      <c r="AS25">
        <v>0.72899999999999998</v>
      </c>
      <c r="AT25">
        <v>4.6950000000000003</v>
      </c>
      <c r="AU25">
        <v>5.8010000000000002</v>
      </c>
      <c r="AV25">
        <v>6.3819999999999997</v>
      </c>
      <c r="AW25">
        <v>6.8550000000000004</v>
      </c>
      <c r="AX25">
        <v>7.3230000000000004</v>
      </c>
      <c r="AY25">
        <v>1.002</v>
      </c>
      <c r="AZ25">
        <v>1600</v>
      </c>
      <c r="BE25" t="s">
        <v>45</v>
      </c>
      <c r="BF25">
        <v>5.0579999999999998</v>
      </c>
      <c r="BG25">
        <v>1.032</v>
      </c>
      <c r="BH25">
        <v>3.0129999999999999</v>
      </c>
      <c r="BI25">
        <v>4.343</v>
      </c>
      <c r="BJ25">
        <v>5.1040000000000001</v>
      </c>
      <c r="BK25">
        <v>5.8380000000000001</v>
      </c>
      <c r="BL25">
        <v>6.8710000000000004</v>
      </c>
      <c r="BM25">
        <v>1.0820000000000001</v>
      </c>
      <c r="BN25">
        <v>30</v>
      </c>
      <c r="BS25" t="s">
        <v>45</v>
      </c>
      <c r="BT25">
        <v>6.1630000000000003</v>
      </c>
      <c r="BU25">
        <v>0.81399999999999995</v>
      </c>
      <c r="BV25">
        <v>4.2750000000000004</v>
      </c>
      <c r="BW25">
        <v>5.66</v>
      </c>
      <c r="BX25">
        <v>6.28</v>
      </c>
      <c r="BY25">
        <v>6.8129999999999997</v>
      </c>
      <c r="BZ25">
        <v>7.32</v>
      </c>
      <c r="CA25">
        <v>1.002</v>
      </c>
      <c r="CB25">
        <v>1500</v>
      </c>
      <c r="CG25" t="s">
        <v>45</v>
      </c>
      <c r="CH25">
        <v>5.0069999999999997</v>
      </c>
      <c r="CI25">
        <v>1.056</v>
      </c>
      <c r="CJ25">
        <v>2.9430000000000001</v>
      </c>
      <c r="CK25">
        <v>4.2809999999999997</v>
      </c>
      <c r="CL25">
        <v>5.0359999999999996</v>
      </c>
      <c r="CM25">
        <v>5.7619999999999996</v>
      </c>
      <c r="CN25">
        <v>6.944</v>
      </c>
      <c r="CO25">
        <v>1.042</v>
      </c>
      <c r="CP25">
        <v>53</v>
      </c>
      <c r="CU25" t="s">
        <v>45</v>
      </c>
      <c r="CV25">
        <v>6.3090000000000002</v>
      </c>
      <c r="CW25">
        <v>0.72899999999999998</v>
      </c>
      <c r="CX25">
        <v>4.5519999999999996</v>
      </c>
      <c r="CY25">
        <v>5.9029999999999996</v>
      </c>
      <c r="CZ25">
        <v>6.4349999999999996</v>
      </c>
      <c r="DA25">
        <v>6.8479999999999999</v>
      </c>
      <c r="DB25">
        <v>7.3179999999999996</v>
      </c>
      <c r="DC25">
        <v>1.008</v>
      </c>
      <c r="DD25">
        <v>420</v>
      </c>
      <c r="DI25" t="s">
        <v>45</v>
      </c>
      <c r="DJ25">
        <v>6.2919999999999998</v>
      </c>
      <c r="DK25">
        <v>0.73899999999999999</v>
      </c>
      <c r="DL25">
        <v>4.57</v>
      </c>
      <c r="DM25">
        <v>5.8529999999999998</v>
      </c>
      <c r="DN25">
        <v>6.4039999999999999</v>
      </c>
      <c r="DO25">
        <v>6.867</v>
      </c>
      <c r="DP25">
        <v>7.3280000000000003</v>
      </c>
      <c r="DQ25">
        <v>1.0029999999999999</v>
      </c>
      <c r="DR25">
        <v>1900</v>
      </c>
      <c r="DY25" t="s">
        <v>45</v>
      </c>
      <c r="DZ25">
        <v>6.32</v>
      </c>
      <c r="EA25">
        <v>0.71499999999999997</v>
      </c>
      <c r="EB25">
        <v>4.6829999999999998</v>
      </c>
      <c r="EC25">
        <v>5.8819999999999997</v>
      </c>
      <c r="ED25">
        <v>6.4180000000000001</v>
      </c>
      <c r="EE25">
        <v>6.8860000000000001</v>
      </c>
      <c r="EF25">
        <v>7.3220000000000001</v>
      </c>
      <c r="EG25">
        <v>1.0009999999999999</v>
      </c>
      <c r="EH25">
        <v>2800</v>
      </c>
      <c r="EK25" t="s">
        <v>45</v>
      </c>
      <c r="EL25">
        <v>5.5090000000000003</v>
      </c>
      <c r="EM25">
        <v>1.0449999999999999</v>
      </c>
      <c r="EN25">
        <v>3.39</v>
      </c>
      <c r="EO25">
        <v>4.7960000000000003</v>
      </c>
      <c r="EP25">
        <v>5.5469999999999997</v>
      </c>
      <c r="EQ25">
        <v>6.34</v>
      </c>
      <c r="ER25">
        <v>7.19</v>
      </c>
      <c r="ES25">
        <v>1</v>
      </c>
      <c r="ET25">
        <v>1500</v>
      </c>
      <c r="EY25" t="s">
        <v>45</v>
      </c>
      <c r="EZ25">
        <v>5.7839999999999998</v>
      </c>
      <c r="FA25">
        <v>1.01</v>
      </c>
      <c r="FB25">
        <v>3.492</v>
      </c>
      <c r="FC25">
        <v>5.1580000000000004</v>
      </c>
      <c r="FD25">
        <v>5.8959999999999999</v>
      </c>
      <c r="FE25">
        <v>6.5730000000000004</v>
      </c>
      <c r="FF25">
        <v>7.28</v>
      </c>
      <c r="FG25">
        <v>1.0009999999999999</v>
      </c>
      <c r="FH25">
        <v>3000</v>
      </c>
      <c r="FM25" t="s">
        <v>140</v>
      </c>
      <c r="FN25">
        <v>1.4E-2</v>
      </c>
      <c r="FO25">
        <v>4.49</v>
      </c>
      <c r="FP25">
        <v>-8.8800000000000008</v>
      </c>
      <c r="FQ25">
        <v>-2.9580000000000002</v>
      </c>
      <c r="FR25">
        <v>2.9000000000000001E-2</v>
      </c>
      <c r="FS25">
        <v>3.04</v>
      </c>
      <c r="FT25">
        <v>8.5239999999999991</v>
      </c>
      <c r="FU25">
        <v>1.0009999999999999</v>
      </c>
      <c r="FV25">
        <v>2100</v>
      </c>
      <c r="GA25" t="s">
        <v>45</v>
      </c>
      <c r="GB25">
        <v>6.516</v>
      </c>
      <c r="GC25">
        <v>0.63</v>
      </c>
      <c r="GD25">
        <v>5.0350000000000001</v>
      </c>
      <c r="GE25">
        <v>6.1349999999999998</v>
      </c>
      <c r="GF25">
        <v>6.6459999999999999</v>
      </c>
      <c r="GG25">
        <v>7.0190000000000001</v>
      </c>
      <c r="GH25">
        <v>7.3419999999999996</v>
      </c>
      <c r="GI25">
        <v>1.0009999999999999</v>
      </c>
      <c r="GJ25">
        <v>3000</v>
      </c>
      <c r="GO25" t="s">
        <v>45</v>
      </c>
      <c r="GP25">
        <v>5.8319999999999999</v>
      </c>
      <c r="GQ25">
        <v>0.999</v>
      </c>
      <c r="GR25">
        <v>3.5870000000000002</v>
      </c>
      <c r="GS25">
        <v>5.1879999999999997</v>
      </c>
      <c r="GT25">
        <v>5.9859999999999998</v>
      </c>
      <c r="GU25">
        <v>6.61</v>
      </c>
      <c r="GV25">
        <v>7.2990000000000004</v>
      </c>
      <c r="GW25">
        <v>1.0009999999999999</v>
      </c>
      <c r="GX25">
        <v>3000</v>
      </c>
      <c r="HC25" t="s">
        <v>45</v>
      </c>
      <c r="HD25">
        <v>5.8470000000000004</v>
      </c>
      <c r="HE25">
        <v>0.96099999999999997</v>
      </c>
      <c r="HF25">
        <v>3.7330000000000001</v>
      </c>
      <c r="HG25">
        <v>5.22</v>
      </c>
      <c r="HH25">
        <v>5.9560000000000004</v>
      </c>
      <c r="HI25">
        <v>6.5759999999999996</v>
      </c>
      <c r="HJ25">
        <v>7.2939999999999996</v>
      </c>
      <c r="HK25">
        <v>1.0029999999999999</v>
      </c>
      <c r="HL25">
        <v>1200</v>
      </c>
      <c r="HP25" s="7"/>
      <c r="HQ25" s="7" t="s">
        <v>45</v>
      </c>
      <c r="HR25" s="7">
        <v>5.5430000000000001</v>
      </c>
      <c r="HS25" s="7">
        <v>1.006</v>
      </c>
      <c r="HT25" s="7">
        <v>3.3860000000000001</v>
      </c>
      <c r="HU25" s="7">
        <v>4.8620000000000001</v>
      </c>
      <c r="HV25" s="7">
        <v>5.6059999999999999</v>
      </c>
      <c r="HW25" s="7">
        <v>6.2969999999999997</v>
      </c>
      <c r="HX25" s="7">
        <v>7.2130000000000001</v>
      </c>
      <c r="HY25" s="7">
        <v>1.004</v>
      </c>
      <c r="HZ25" s="7">
        <v>900</v>
      </c>
      <c r="IA25" s="7"/>
      <c r="IE25" t="s">
        <v>45</v>
      </c>
      <c r="IF25">
        <v>6.2670000000000003</v>
      </c>
      <c r="IG25">
        <v>0.78600000000000003</v>
      </c>
      <c r="IH25">
        <v>4.49</v>
      </c>
      <c r="II25">
        <v>5.7930000000000001</v>
      </c>
      <c r="IJ25">
        <v>6.4059999999999997</v>
      </c>
      <c r="IK25">
        <v>6.8940000000000001</v>
      </c>
      <c r="IL25">
        <v>7.3259999999999996</v>
      </c>
      <c r="IM25">
        <v>1.0009999999999999</v>
      </c>
      <c r="IN25">
        <v>3000</v>
      </c>
      <c r="IS25" t="s">
        <v>45</v>
      </c>
      <c r="IT25">
        <v>6.3179999999999996</v>
      </c>
      <c r="IU25">
        <v>0.74399999999999999</v>
      </c>
      <c r="IV25">
        <v>4.6130000000000004</v>
      </c>
      <c r="IW25">
        <v>5.8559999999999999</v>
      </c>
      <c r="IX25">
        <v>6.4509999999999996</v>
      </c>
      <c r="IY25">
        <v>6.9059999999999997</v>
      </c>
      <c r="IZ25">
        <v>7.3310000000000004</v>
      </c>
      <c r="JA25">
        <v>1.006</v>
      </c>
      <c r="JB25">
        <v>420</v>
      </c>
      <c r="JF25" t="s">
        <v>45</v>
      </c>
      <c r="JG25">
        <v>5.83</v>
      </c>
      <c r="JH25">
        <v>0.93100000000000005</v>
      </c>
      <c r="JI25">
        <v>3.82</v>
      </c>
      <c r="JJ25">
        <v>5.2240000000000002</v>
      </c>
      <c r="JK25">
        <v>5.9219999999999997</v>
      </c>
      <c r="JL25">
        <v>6.5629999999999997</v>
      </c>
      <c r="JM25">
        <v>7.2590000000000003</v>
      </c>
      <c r="JN25">
        <v>1.0009999999999999</v>
      </c>
      <c r="JO25">
        <v>3000</v>
      </c>
      <c r="JT25" t="s">
        <v>45</v>
      </c>
      <c r="JU25">
        <v>5.7869999999999999</v>
      </c>
      <c r="JV25">
        <v>0.95</v>
      </c>
      <c r="JW25">
        <v>3.673</v>
      </c>
      <c r="JX25">
        <v>5.1680000000000001</v>
      </c>
      <c r="JY25">
        <v>5.8760000000000003</v>
      </c>
      <c r="JZ25">
        <v>6.5250000000000004</v>
      </c>
      <c r="KA25">
        <v>7.2619999999999996</v>
      </c>
      <c r="KB25">
        <v>1.0049999999999999</v>
      </c>
      <c r="KC25">
        <v>850</v>
      </c>
      <c r="KH25" t="s">
        <v>45</v>
      </c>
      <c r="KI25">
        <v>5.7359999999999998</v>
      </c>
      <c r="KJ25">
        <v>0.99399999999999999</v>
      </c>
      <c r="KK25">
        <v>3.4609999999999999</v>
      </c>
      <c r="KL25">
        <v>5.12</v>
      </c>
      <c r="KM25">
        <v>5.8310000000000004</v>
      </c>
      <c r="KN25">
        <v>6.4950000000000001</v>
      </c>
      <c r="KO25">
        <v>7.2560000000000002</v>
      </c>
      <c r="KP25">
        <v>1.0009999999999999</v>
      </c>
      <c r="KQ25">
        <v>3000</v>
      </c>
      <c r="KR25">
        <f t="shared" si="0"/>
        <v>309.82263853805006</v>
      </c>
      <c r="KS25">
        <f t="shared" si="1"/>
        <v>2193.419135889204</v>
      </c>
      <c r="KV25" t="s">
        <v>45</v>
      </c>
      <c r="KW25">
        <v>6.49</v>
      </c>
      <c r="KX25">
        <v>0.40899999999999997</v>
      </c>
      <c r="KY25">
        <v>5.7130000000000001</v>
      </c>
      <c r="KZ25">
        <v>6.2039999999999997</v>
      </c>
      <c r="LA25">
        <v>6.4870000000000001</v>
      </c>
      <c r="LB25">
        <v>6.7619999999999996</v>
      </c>
      <c r="LC25">
        <v>7.3079999999999998</v>
      </c>
      <c r="LD25">
        <v>1.0049999999999999</v>
      </c>
      <c r="LE25">
        <v>430</v>
      </c>
      <c r="LJ25" t="s">
        <v>45</v>
      </c>
      <c r="LK25">
        <v>5.9059999999999997</v>
      </c>
      <c r="LL25">
        <v>0.28899999999999998</v>
      </c>
      <c r="LM25">
        <v>5.39</v>
      </c>
      <c r="LN25">
        <v>5.7060000000000004</v>
      </c>
      <c r="LO25">
        <v>5.891</v>
      </c>
      <c r="LP25">
        <v>6.085</v>
      </c>
      <c r="LQ25">
        <v>6.508</v>
      </c>
      <c r="LR25">
        <v>1.0029999999999999</v>
      </c>
      <c r="LS25">
        <v>980</v>
      </c>
      <c r="LX25" t="s">
        <v>45</v>
      </c>
      <c r="LY25">
        <v>3.0150000000000001</v>
      </c>
      <c r="LZ25">
        <v>1.294</v>
      </c>
      <c r="MA25">
        <v>0.41299999999999998</v>
      </c>
      <c r="MB25">
        <v>2.1030000000000002</v>
      </c>
      <c r="MC25">
        <v>3.032</v>
      </c>
      <c r="MD25">
        <v>3.9550000000000001</v>
      </c>
      <c r="ME25">
        <v>5.3540000000000001</v>
      </c>
      <c r="MF25">
        <v>1.6890000000000001</v>
      </c>
      <c r="MG25">
        <v>6</v>
      </c>
      <c r="ML25" t="s">
        <v>45</v>
      </c>
      <c r="MM25">
        <v>6.673</v>
      </c>
      <c r="MN25">
        <v>0.34899999999999998</v>
      </c>
      <c r="MO25">
        <v>5.9790000000000001</v>
      </c>
      <c r="MP25">
        <v>6.4340000000000002</v>
      </c>
      <c r="MQ25">
        <v>6.6829999999999998</v>
      </c>
      <c r="MR25">
        <v>6.9219999999999997</v>
      </c>
      <c r="MS25">
        <v>7.3220000000000001</v>
      </c>
      <c r="MT25">
        <v>1.0009999999999999</v>
      </c>
      <c r="MU25">
        <v>8800</v>
      </c>
      <c r="MZ25" t="s">
        <v>45</v>
      </c>
      <c r="NA25">
        <v>6.7160000000000002</v>
      </c>
      <c r="NB25">
        <v>0.32800000000000001</v>
      </c>
      <c r="NC25">
        <v>6.0759999999999996</v>
      </c>
      <c r="ND25">
        <v>6.4880000000000004</v>
      </c>
      <c r="NE25">
        <v>6.726</v>
      </c>
      <c r="NF25">
        <v>6.9459999999999997</v>
      </c>
      <c r="NG25">
        <v>7.3380000000000001</v>
      </c>
      <c r="NH25">
        <v>1.002</v>
      </c>
      <c r="NI25">
        <v>1800</v>
      </c>
      <c r="NM25" t="s">
        <v>45</v>
      </c>
      <c r="NN25">
        <v>6.976</v>
      </c>
      <c r="NO25">
        <v>0.31</v>
      </c>
      <c r="NP25">
        <v>6.4020000000000001</v>
      </c>
      <c r="NQ25">
        <v>6.7510000000000003</v>
      </c>
      <c r="NR25">
        <v>6.9690000000000003</v>
      </c>
      <c r="NS25">
        <v>7.2</v>
      </c>
      <c r="NT25">
        <v>7.5739999999999998</v>
      </c>
      <c r="NU25">
        <v>1.0009999999999999</v>
      </c>
      <c r="NV25">
        <v>6400</v>
      </c>
      <c r="NY25" t="s">
        <v>45</v>
      </c>
      <c r="NZ25">
        <v>6.8479999999999999</v>
      </c>
      <c r="OA25">
        <v>0.32300000000000001</v>
      </c>
      <c r="OB25">
        <v>6.29</v>
      </c>
      <c r="OC25">
        <v>6.6130000000000004</v>
      </c>
      <c r="OD25">
        <v>6.8179999999999996</v>
      </c>
      <c r="OE25">
        <v>7.0640000000000001</v>
      </c>
      <c r="OF25">
        <v>7.5289999999999999</v>
      </c>
      <c r="OG25">
        <v>1.0009999999999999</v>
      </c>
      <c r="OH25">
        <v>8100</v>
      </c>
      <c r="OP25" t="s">
        <v>45</v>
      </c>
      <c r="OQ25">
        <v>7.0019999999999998</v>
      </c>
      <c r="OR25">
        <v>0.25</v>
      </c>
      <c r="OS25">
        <v>6.4749999999999996</v>
      </c>
      <c r="OT25">
        <v>6.8330000000000002</v>
      </c>
      <c r="OU25">
        <v>7.0279999999999996</v>
      </c>
      <c r="OV25">
        <v>7.1879999999999997</v>
      </c>
      <c r="OW25">
        <v>7.4219999999999997</v>
      </c>
      <c r="OX25">
        <v>1.0169999999999999</v>
      </c>
      <c r="OY25">
        <v>140</v>
      </c>
      <c r="PB25" t="s">
        <v>45</v>
      </c>
      <c r="PC25">
        <v>7.1150000000000002</v>
      </c>
      <c r="PD25">
        <v>0.19600000000000001</v>
      </c>
      <c r="PE25">
        <v>6.6959999999999997</v>
      </c>
      <c r="PF25">
        <v>6.992</v>
      </c>
      <c r="PG25">
        <v>7.1340000000000003</v>
      </c>
      <c r="PH25">
        <v>7.2549999999999999</v>
      </c>
      <c r="PI25">
        <v>7.4450000000000003</v>
      </c>
      <c r="PJ25">
        <v>1.008</v>
      </c>
      <c r="PK25">
        <v>390</v>
      </c>
      <c r="PN25" t="s">
        <v>45</v>
      </c>
      <c r="PO25">
        <v>7.3250000000000002</v>
      </c>
      <c r="PP25">
        <v>0.41799999999999998</v>
      </c>
      <c r="PQ25">
        <v>6.5090000000000003</v>
      </c>
      <c r="PR25">
        <v>7.0510000000000002</v>
      </c>
      <c r="PS25">
        <v>7.3129999999999997</v>
      </c>
      <c r="PT25">
        <v>7.601</v>
      </c>
      <c r="PU25">
        <v>8.15</v>
      </c>
      <c r="PV25">
        <v>1.0009999999999999</v>
      </c>
      <c r="PW25">
        <v>2300</v>
      </c>
      <c r="QA25" t="s">
        <v>45</v>
      </c>
      <c r="QB25">
        <v>5.88</v>
      </c>
      <c r="QC25">
        <v>0.214</v>
      </c>
      <c r="QD25">
        <v>5.4039999999999999</v>
      </c>
      <c r="QE25">
        <v>5.7460000000000004</v>
      </c>
      <c r="QF25">
        <v>5.8949999999999996</v>
      </c>
      <c r="QG25">
        <v>6.0350000000000001</v>
      </c>
      <c r="QH25">
        <v>6.2370000000000001</v>
      </c>
      <c r="QI25">
        <v>1.004</v>
      </c>
      <c r="QJ25">
        <v>1300</v>
      </c>
      <c r="QL25">
        <f t="shared" si="2"/>
        <v>1.4450000000000003</v>
      </c>
    </row>
    <row r="26" spans="1:454">
      <c r="A26" t="s">
        <v>46</v>
      </c>
      <c r="B26">
        <v>6.4210000000000003</v>
      </c>
      <c r="C26">
        <v>1.103</v>
      </c>
      <c r="D26">
        <v>4.0910000000000002</v>
      </c>
      <c r="E26">
        <v>5.7809999999999997</v>
      </c>
      <c r="F26">
        <v>6.4809999999999999</v>
      </c>
      <c r="G26">
        <v>7.1360000000000001</v>
      </c>
      <c r="H26">
        <v>8.2949999999999999</v>
      </c>
      <c r="I26">
        <v>1.0249999999999999</v>
      </c>
      <c r="J26">
        <v>1300</v>
      </c>
      <c r="O26" t="s">
        <v>46</v>
      </c>
      <c r="P26">
        <v>3.359</v>
      </c>
      <c r="Q26">
        <v>1.893</v>
      </c>
      <c r="R26">
        <v>0.22800000000000001</v>
      </c>
      <c r="S26">
        <v>1.8680000000000001</v>
      </c>
      <c r="T26">
        <v>3.29</v>
      </c>
      <c r="U26">
        <v>4.8019999999999996</v>
      </c>
      <c r="V26">
        <v>6.9290000000000003</v>
      </c>
      <c r="W26">
        <v>1.0029999999999999</v>
      </c>
      <c r="X26">
        <v>1200</v>
      </c>
      <c r="AC26" t="s">
        <v>46</v>
      </c>
      <c r="AD26">
        <v>5.8920000000000003</v>
      </c>
      <c r="AE26">
        <v>0.68100000000000005</v>
      </c>
      <c r="AF26">
        <v>4.5860000000000003</v>
      </c>
      <c r="AG26">
        <v>5.4009999999999998</v>
      </c>
      <c r="AH26">
        <v>5.9039999999999999</v>
      </c>
      <c r="AI26">
        <v>6.375</v>
      </c>
      <c r="AJ26">
        <v>7.1909999999999998</v>
      </c>
      <c r="AK26">
        <v>1.0029999999999999</v>
      </c>
      <c r="AL26">
        <v>900</v>
      </c>
      <c r="AQ26" t="s">
        <v>46</v>
      </c>
      <c r="AR26">
        <v>5.9770000000000003</v>
      </c>
      <c r="AS26">
        <v>0.66500000000000004</v>
      </c>
      <c r="AT26">
        <v>4.7089999999999996</v>
      </c>
      <c r="AU26">
        <v>5.4989999999999997</v>
      </c>
      <c r="AV26">
        <v>5.9909999999999997</v>
      </c>
      <c r="AW26">
        <v>6.4729999999999999</v>
      </c>
      <c r="AX26">
        <v>7.21</v>
      </c>
      <c r="AY26">
        <v>1.0029999999999999</v>
      </c>
      <c r="AZ26">
        <v>710</v>
      </c>
      <c r="BE26" t="s">
        <v>46</v>
      </c>
      <c r="BF26">
        <v>5.5140000000000002</v>
      </c>
      <c r="BG26">
        <v>0.63</v>
      </c>
      <c r="BH26">
        <v>4.3540000000000001</v>
      </c>
      <c r="BI26">
        <v>5.0659999999999998</v>
      </c>
      <c r="BJ26">
        <v>5.4859999999999998</v>
      </c>
      <c r="BK26">
        <v>5.9429999999999996</v>
      </c>
      <c r="BL26">
        <v>6.7629999999999999</v>
      </c>
      <c r="BM26">
        <v>1.028</v>
      </c>
      <c r="BN26">
        <v>75</v>
      </c>
      <c r="BS26" t="s">
        <v>46</v>
      </c>
      <c r="BT26">
        <v>5.6550000000000002</v>
      </c>
      <c r="BU26">
        <v>0.68400000000000005</v>
      </c>
      <c r="BV26">
        <v>4.4020000000000001</v>
      </c>
      <c r="BW26">
        <v>5.1719999999999997</v>
      </c>
      <c r="BX26">
        <v>5.6349999999999998</v>
      </c>
      <c r="BY26">
        <v>6.1210000000000004</v>
      </c>
      <c r="BZ26">
        <v>7.0510000000000002</v>
      </c>
      <c r="CA26">
        <v>1.0009999999999999</v>
      </c>
      <c r="CB26">
        <v>3000</v>
      </c>
      <c r="CG26" t="s">
        <v>46</v>
      </c>
      <c r="CH26">
        <v>5.524</v>
      </c>
      <c r="CI26">
        <v>0.61399999999999999</v>
      </c>
      <c r="CJ26">
        <v>4.4139999999999997</v>
      </c>
      <c r="CK26">
        <v>5.0890000000000004</v>
      </c>
      <c r="CL26">
        <v>5.4820000000000002</v>
      </c>
      <c r="CM26">
        <v>5.9459999999999997</v>
      </c>
      <c r="CN26">
        <v>6.7839999999999998</v>
      </c>
      <c r="CO26">
        <v>1.016</v>
      </c>
      <c r="CP26">
        <v>130</v>
      </c>
      <c r="CU26" t="s">
        <v>46</v>
      </c>
      <c r="CV26">
        <v>6.1959999999999997</v>
      </c>
      <c r="CW26">
        <v>0.68600000000000005</v>
      </c>
      <c r="CX26">
        <v>4.758</v>
      </c>
      <c r="CY26">
        <v>5.7290000000000001</v>
      </c>
      <c r="CZ26">
        <v>6.2549999999999999</v>
      </c>
      <c r="DA26">
        <v>6.7510000000000003</v>
      </c>
      <c r="DB26">
        <v>7.2750000000000004</v>
      </c>
      <c r="DC26">
        <v>1.0149999999999999</v>
      </c>
      <c r="DD26">
        <v>140</v>
      </c>
      <c r="DI26" t="s">
        <v>46</v>
      </c>
      <c r="DJ26">
        <v>5.9569999999999999</v>
      </c>
      <c r="DK26">
        <v>0.68700000000000006</v>
      </c>
      <c r="DL26">
        <v>4.625</v>
      </c>
      <c r="DM26">
        <v>5.4640000000000004</v>
      </c>
      <c r="DN26">
        <v>5.9459999999999997</v>
      </c>
      <c r="DO26">
        <v>6.4720000000000004</v>
      </c>
      <c r="DP26">
        <v>7.1929999999999996</v>
      </c>
      <c r="DQ26">
        <v>1.0069999999999999</v>
      </c>
      <c r="DR26">
        <v>330</v>
      </c>
      <c r="DY26" t="s">
        <v>46</v>
      </c>
      <c r="DZ26">
        <v>6.0990000000000002</v>
      </c>
      <c r="EA26">
        <v>0.63600000000000001</v>
      </c>
      <c r="EB26">
        <v>4.8029999999999999</v>
      </c>
      <c r="EC26">
        <v>5.6529999999999996</v>
      </c>
      <c r="ED26">
        <v>6.1269999999999998</v>
      </c>
      <c r="EE26">
        <v>6.5739999999999998</v>
      </c>
      <c r="EF26">
        <v>7.2169999999999996</v>
      </c>
      <c r="EG26">
        <v>1.0029999999999999</v>
      </c>
      <c r="EH26">
        <v>800</v>
      </c>
      <c r="EK26" t="s">
        <v>46</v>
      </c>
      <c r="EL26">
        <v>4.4829999999999997</v>
      </c>
      <c r="EM26">
        <v>0.53700000000000003</v>
      </c>
      <c r="EN26">
        <v>3.5379999999999998</v>
      </c>
      <c r="EO26">
        <v>4.1349999999999998</v>
      </c>
      <c r="EP26">
        <v>4.4379999999999997</v>
      </c>
      <c r="EQ26">
        <v>4.798</v>
      </c>
      <c r="ER26">
        <v>5.6890000000000001</v>
      </c>
      <c r="ES26">
        <v>1.0069999999999999</v>
      </c>
      <c r="ET26">
        <v>300</v>
      </c>
      <c r="EY26" t="s">
        <v>46</v>
      </c>
      <c r="EZ26">
        <v>4.6900000000000004</v>
      </c>
      <c r="FA26">
        <v>0.63900000000000001</v>
      </c>
      <c r="FB26">
        <v>3.5129999999999999</v>
      </c>
      <c r="FC26">
        <v>4.2460000000000004</v>
      </c>
      <c r="FD26">
        <v>4.6630000000000003</v>
      </c>
      <c r="FE26">
        <v>5.1079999999999997</v>
      </c>
      <c r="FF26">
        <v>6.0110000000000001</v>
      </c>
      <c r="FG26">
        <v>1.0009999999999999</v>
      </c>
      <c r="FH26">
        <v>3000</v>
      </c>
      <c r="FM26" t="s">
        <v>141</v>
      </c>
      <c r="FN26">
        <v>-8.9999999999999993E-3</v>
      </c>
      <c r="FO26">
        <v>4.4560000000000004</v>
      </c>
      <c r="FP26">
        <v>-8.4640000000000004</v>
      </c>
      <c r="FQ26">
        <v>-3.0529999999999999</v>
      </c>
      <c r="FR26">
        <v>3.9E-2</v>
      </c>
      <c r="FS26">
        <v>3.0310000000000001</v>
      </c>
      <c r="FT26">
        <v>8.6270000000000007</v>
      </c>
      <c r="FU26">
        <v>1.002</v>
      </c>
      <c r="FV26">
        <v>1500</v>
      </c>
      <c r="GA26" t="s">
        <v>46</v>
      </c>
      <c r="GB26">
        <v>5.343</v>
      </c>
      <c r="GC26">
        <v>0.58299999999999996</v>
      </c>
      <c r="GD26">
        <v>4.266</v>
      </c>
      <c r="GE26">
        <v>4.9370000000000003</v>
      </c>
      <c r="GF26">
        <v>5.3159999999999998</v>
      </c>
      <c r="GG26">
        <v>5.7160000000000002</v>
      </c>
      <c r="GH26">
        <v>6.5659999999999998</v>
      </c>
      <c r="GI26">
        <v>1.0009999999999999</v>
      </c>
      <c r="GJ26">
        <v>3000</v>
      </c>
      <c r="GO26" t="s">
        <v>46</v>
      </c>
      <c r="GP26">
        <v>4.7510000000000003</v>
      </c>
      <c r="GQ26">
        <v>0.68899999999999995</v>
      </c>
      <c r="GR26">
        <v>3.532</v>
      </c>
      <c r="GS26">
        <v>4.2569999999999997</v>
      </c>
      <c r="GT26">
        <v>4.6970000000000001</v>
      </c>
      <c r="GU26">
        <v>5.1680000000000001</v>
      </c>
      <c r="GV26">
        <v>6.2039999999999997</v>
      </c>
      <c r="GW26">
        <v>1.002</v>
      </c>
      <c r="GX26">
        <v>1500</v>
      </c>
      <c r="HC26" t="s">
        <v>46</v>
      </c>
      <c r="HD26">
        <v>4.8280000000000003</v>
      </c>
      <c r="HE26">
        <v>0.69899999999999995</v>
      </c>
      <c r="HF26">
        <v>3.5819999999999999</v>
      </c>
      <c r="HG26">
        <v>4.3360000000000003</v>
      </c>
      <c r="HH26">
        <v>4.7779999999999996</v>
      </c>
      <c r="HI26">
        <v>5.2720000000000002</v>
      </c>
      <c r="HJ26">
        <v>6.3490000000000002</v>
      </c>
      <c r="HK26">
        <v>1.006</v>
      </c>
      <c r="HL26">
        <v>390</v>
      </c>
      <c r="HP26" s="7"/>
      <c r="HQ26" s="7" t="s">
        <v>46</v>
      </c>
      <c r="HR26" s="7">
        <v>4.8159999999999998</v>
      </c>
      <c r="HS26" s="7">
        <v>0.58199999999999996</v>
      </c>
      <c r="HT26" s="7">
        <v>3.8079999999999998</v>
      </c>
      <c r="HU26" s="7">
        <v>4.4059999999999997</v>
      </c>
      <c r="HV26" s="7">
        <v>4.7629999999999999</v>
      </c>
      <c r="HW26" s="7">
        <v>5.1710000000000003</v>
      </c>
      <c r="HX26" s="7">
        <v>6.069</v>
      </c>
      <c r="HY26" s="7">
        <v>1.002</v>
      </c>
      <c r="HZ26" s="7">
        <v>1200</v>
      </c>
      <c r="IA26" s="7"/>
      <c r="IE26" t="s">
        <v>46</v>
      </c>
      <c r="IF26">
        <v>5.0019999999999998</v>
      </c>
      <c r="IG26">
        <v>0.57799999999999996</v>
      </c>
      <c r="IH26">
        <v>3.9889999999999999</v>
      </c>
      <c r="II26">
        <v>4.6029999999999998</v>
      </c>
      <c r="IJ26">
        <v>4.9470000000000001</v>
      </c>
      <c r="IK26">
        <v>5.3559999999999999</v>
      </c>
      <c r="IL26">
        <v>6.282</v>
      </c>
      <c r="IM26">
        <v>1.0009999999999999</v>
      </c>
      <c r="IN26">
        <v>3000</v>
      </c>
      <c r="IS26" t="s">
        <v>46</v>
      </c>
      <c r="IT26">
        <v>4.9710000000000001</v>
      </c>
      <c r="IU26">
        <v>0.55500000000000005</v>
      </c>
      <c r="IV26">
        <v>4.0270000000000001</v>
      </c>
      <c r="IW26">
        <v>4.593</v>
      </c>
      <c r="IX26">
        <v>4.923</v>
      </c>
      <c r="IY26">
        <v>5.2770000000000001</v>
      </c>
      <c r="IZ26">
        <v>6.2460000000000004</v>
      </c>
      <c r="JA26">
        <v>1.006</v>
      </c>
      <c r="JB26">
        <v>500</v>
      </c>
      <c r="JF26" t="s">
        <v>46</v>
      </c>
      <c r="JG26">
        <v>4.9029999999999996</v>
      </c>
      <c r="JH26">
        <v>0.59399999999999997</v>
      </c>
      <c r="JI26">
        <v>3.85</v>
      </c>
      <c r="JJ26">
        <v>4.4980000000000002</v>
      </c>
      <c r="JK26">
        <v>4.8680000000000003</v>
      </c>
      <c r="JL26">
        <v>5.27</v>
      </c>
      <c r="JM26">
        <v>6.1459999999999999</v>
      </c>
      <c r="JN26">
        <v>1.0009999999999999</v>
      </c>
      <c r="JO26">
        <v>3000</v>
      </c>
      <c r="JT26" t="s">
        <v>46</v>
      </c>
      <c r="JU26">
        <v>4.8949999999999996</v>
      </c>
      <c r="JV26">
        <v>0.59399999999999997</v>
      </c>
      <c r="JW26">
        <v>3.863</v>
      </c>
      <c r="JX26">
        <v>4.476</v>
      </c>
      <c r="JY26">
        <v>4.835</v>
      </c>
      <c r="JZ26">
        <v>5.2690000000000001</v>
      </c>
      <c r="KA26">
        <v>6.1509999999999998</v>
      </c>
      <c r="KB26">
        <v>1.0009999999999999</v>
      </c>
      <c r="KC26">
        <v>3000</v>
      </c>
      <c r="KH26" t="s">
        <v>46</v>
      </c>
      <c r="KI26">
        <v>4.8220000000000001</v>
      </c>
      <c r="KJ26">
        <v>0.59</v>
      </c>
      <c r="KK26">
        <v>3.7669999999999999</v>
      </c>
      <c r="KL26">
        <v>4.41</v>
      </c>
      <c r="KM26">
        <v>4.7969999999999997</v>
      </c>
      <c r="KN26">
        <v>5.18</v>
      </c>
      <c r="KO26">
        <v>6.1319999999999997</v>
      </c>
      <c r="KP26">
        <v>1.0049999999999999</v>
      </c>
      <c r="KQ26">
        <v>420</v>
      </c>
      <c r="KR26">
        <f t="shared" si="0"/>
        <v>124.21326905693459</v>
      </c>
      <c r="KS26">
        <f t="shared" si="1"/>
        <v>1827.4467143659022</v>
      </c>
      <c r="KV26" t="s">
        <v>46</v>
      </c>
      <c r="KW26">
        <v>6.6509999999999998</v>
      </c>
      <c r="KX26">
        <v>0.36299999999999999</v>
      </c>
      <c r="KY26">
        <v>5.9409999999999998</v>
      </c>
      <c r="KZ26">
        <v>6.3949999999999996</v>
      </c>
      <c r="LA26">
        <v>6.6470000000000002</v>
      </c>
      <c r="LB26">
        <v>6.9089999999999998</v>
      </c>
      <c r="LC26">
        <v>7.335</v>
      </c>
      <c r="LD26">
        <v>1.006</v>
      </c>
      <c r="LE26">
        <v>390</v>
      </c>
      <c r="LJ26" t="s">
        <v>46</v>
      </c>
      <c r="LK26">
        <v>5.9939999999999998</v>
      </c>
      <c r="LL26">
        <v>0.25600000000000001</v>
      </c>
      <c r="LM26">
        <v>5.53</v>
      </c>
      <c r="LN26">
        <v>5.8159999999999998</v>
      </c>
      <c r="LO26">
        <v>5.9729999999999999</v>
      </c>
      <c r="LP26">
        <v>6.1539999999999999</v>
      </c>
      <c r="LQ26">
        <v>6.5229999999999997</v>
      </c>
      <c r="LR26">
        <v>1.004</v>
      </c>
      <c r="LS26">
        <v>640</v>
      </c>
      <c r="LX26" t="s">
        <v>46</v>
      </c>
      <c r="LY26">
        <v>2.2090000000000001</v>
      </c>
      <c r="LZ26">
        <v>0.83499999999999996</v>
      </c>
      <c r="MA26">
        <v>0.46800000000000003</v>
      </c>
      <c r="MB26">
        <v>1.657</v>
      </c>
      <c r="MC26">
        <v>2.2400000000000002</v>
      </c>
      <c r="MD26">
        <v>2.819</v>
      </c>
      <c r="ME26">
        <v>3.6789999999999998</v>
      </c>
      <c r="MF26">
        <v>1.038</v>
      </c>
      <c r="MG26">
        <v>67</v>
      </c>
      <c r="ML26" t="s">
        <v>46</v>
      </c>
      <c r="MM26">
        <v>6.9029999999999996</v>
      </c>
      <c r="MN26">
        <v>0.31</v>
      </c>
      <c r="MO26">
        <v>6.2619999999999996</v>
      </c>
      <c r="MP26">
        <v>6.6859999999999999</v>
      </c>
      <c r="MQ26">
        <v>6.9219999999999997</v>
      </c>
      <c r="MR26">
        <v>7.1470000000000002</v>
      </c>
      <c r="MS26">
        <v>7.4039999999999999</v>
      </c>
      <c r="MT26">
        <v>1.002</v>
      </c>
      <c r="MU26">
        <v>2800</v>
      </c>
      <c r="MZ26" t="s">
        <v>46</v>
      </c>
      <c r="NA26">
        <v>6.9669999999999996</v>
      </c>
      <c r="NB26">
        <v>0.28000000000000003</v>
      </c>
      <c r="NC26">
        <v>6.3739999999999997</v>
      </c>
      <c r="ND26">
        <v>6.774</v>
      </c>
      <c r="NE26">
        <v>6.99</v>
      </c>
      <c r="NF26">
        <v>7.1870000000000003</v>
      </c>
      <c r="NG26">
        <v>7.4059999999999997</v>
      </c>
      <c r="NH26">
        <v>1.0029999999999999</v>
      </c>
      <c r="NI26">
        <v>910</v>
      </c>
      <c r="NM26" t="s">
        <v>46</v>
      </c>
      <c r="NN26">
        <v>6.8879999999999999</v>
      </c>
      <c r="NO26">
        <v>0.23400000000000001</v>
      </c>
      <c r="NP26">
        <v>6.4489999999999998</v>
      </c>
      <c r="NQ26">
        <v>6.7160000000000002</v>
      </c>
      <c r="NR26">
        <v>6.8869999999999996</v>
      </c>
      <c r="NS26">
        <v>7.0670000000000002</v>
      </c>
      <c r="NT26">
        <v>7.3090000000000002</v>
      </c>
      <c r="NU26">
        <v>1.0009999999999999</v>
      </c>
      <c r="NV26">
        <v>7200</v>
      </c>
      <c r="NY26" t="s">
        <v>46</v>
      </c>
      <c r="NZ26">
        <v>6.7380000000000004</v>
      </c>
      <c r="OA26">
        <v>0.247</v>
      </c>
      <c r="OB26">
        <v>6.3129999999999997</v>
      </c>
      <c r="OC26">
        <v>6.5540000000000003</v>
      </c>
      <c r="OD26">
        <v>6.7149999999999999</v>
      </c>
      <c r="OE26">
        <v>6.9059999999999997</v>
      </c>
      <c r="OF26">
        <v>7.2489999999999997</v>
      </c>
      <c r="OG26">
        <v>1.0009999999999999</v>
      </c>
      <c r="OH26">
        <v>5300</v>
      </c>
      <c r="OP26" t="s">
        <v>46</v>
      </c>
      <c r="OQ26">
        <v>7.0049999999999999</v>
      </c>
      <c r="OR26">
        <v>0.245</v>
      </c>
      <c r="OS26">
        <v>6.4809999999999999</v>
      </c>
      <c r="OT26">
        <v>6.8369999999999997</v>
      </c>
      <c r="OU26">
        <v>7.0369999999999999</v>
      </c>
      <c r="OV26">
        <v>7.202</v>
      </c>
      <c r="OW26">
        <v>7.3710000000000004</v>
      </c>
      <c r="OX26">
        <v>1.018</v>
      </c>
      <c r="OY26">
        <v>140</v>
      </c>
      <c r="PB26" t="s">
        <v>46</v>
      </c>
      <c r="PC26">
        <v>7.1619999999999999</v>
      </c>
      <c r="PD26">
        <v>0.17299999999999999</v>
      </c>
      <c r="PE26">
        <v>6.7610000000000001</v>
      </c>
      <c r="PF26">
        <v>7.0519999999999996</v>
      </c>
      <c r="PG26">
        <v>7.194</v>
      </c>
      <c r="PH26">
        <v>7.3</v>
      </c>
      <c r="PI26">
        <v>7.3920000000000003</v>
      </c>
      <c r="PJ26">
        <v>1.0089999999999999</v>
      </c>
      <c r="PK26">
        <v>270</v>
      </c>
      <c r="PN26" t="s">
        <v>46</v>
      </c>
      <c r="PO26">
        <v>7.1289999999999996</v>
      </c>
      <c r="PP26">
        <v>0.18</v>
      </c>
      <c r="PQ26">
        <v>6.7320000000000002</v>
      </c>
      <c r="PR26">
        <v>7.0119999999999996</v>
      </c>
      <c r="PS26">
        <v>7.1449999999999996</v>
      </c>
      <c r="PT26">
        <v>7.2569999999999997</v>
      </c>
      <c r="PU26">
        <v>7.4459999999999997</v>
      </c>
      <c r="PV26">
        <v>1.002</v>
      </c>
      <c r="PW26">
        <v>1200</v>
      </c>
      <c r="QA26" t="s">
        <v>46</v>
      </c>
      <c r="QB26">
        <v>6.3540000000000001</v>
      </c>
      <c r="QC26">
        <v>0.14299999999999999</v>
      </c>
      <c r="QD26">
        <v>6.07</v>
      </c>
      <c r="QE26">
        <v>6.2569999999999997</v>
      </c>
      <c r="QF26">
        <v>6.3630000000000004</v>
      </c>
      <c r="QG26">
        <v>6.4589999999999996</v>
      </c>
      <c r="QH26">
        <v>6.6070000000000002</v>
      </c>
      <c r="QI26">
        <v>1.077</v>
      </c>
      <c r="QJ26">
        <v>32</v>
      </c>
      <c r="QL26">
        <f t="shared" si="2"/>
        <v>0.77499999999999947</v>
      </c>
    </row>
    <row r="27" spans="1:454">
      <c r="A27" t="s">
        <v>47</v>
      </c>
      <c r="B27">
        <v>7.056</v>
      </c>
      <c r="C27">
        <v>1.077</v>
      </c>
      <c r="D27">
        <v>5.0170000000000003</v>
      </c>
      <c r="E27">
        <v>6.3090000000000002</v>
      </c>
      <c r="F27">
        <v>7.0350000000000001</v>
      </c>
      <c r="G27">
        <v>7.8049999999999997</v>
      </c>
      <c r="H27">
        <v>9.1769999999999996</v>
      </c>
      <c r="I27">
        <v>1.0309999999999999</v>
      </c>
      <c r="J27">
        <v>73</v>
      </c>
      <c r="O27" t="s">
        <v>47</v>
      </c>
      <c r="P27">
        <v>5.5289999999999999</v>
      </c>
      <c r="Q27">
        <v>1.3480000000000001</v>
      </c>
      <c r="R27">
        <v>2.3010000000000002</v>
      </c>
      <c r="S27">
        <v>4.7380000000000004</v>
      </c>
      <c r="T27">
        <v>5.7590000000000003</v>
      </c>
      <c r="U27">
        <v>6.6040000000000001</v>
      </c>
      <c r="V27">
        <v>7.3049999999999997</v>
      </c>
      <c r="W27">
        <v>1.01</v>
      </c>
      <c r="X27">
        <v>1200</v>
      </c>
      <c r="AC27" t="s">
        <v>47</v>
      </c>
      <c r="AD27">
        <v>6.7729999999999997</v>
      </c>
      <c r="AE27">
        <v>0.48399999999999999</v>
      </c>
      <c r="AF27">
        <v>5.617</v>
      </c>
      <c r="AG27">
        <v>6.4980000000000002</v>
      </c>
      <c r="AH27">
        <v>6.8869999999999996</v>
      </c>
      <c r="AI27">
        <v>7.157</v>
      </c>
      <c r="AJ27">
        <v>7.359</v>
      </c>
      <c r="AK27">
        <v>1.002</v>
      </c>
      <c r="AL27">
        <v>1600</v>
      </c>
      <c r="AQ27" t="s">
        <v>47</v>
      </c>
      <c r="AR27">
        <v>6.8529999999999998</v>
      </c>
      <c r="AS27">
        <v>0.42699999999999999</v>
      </c>
      <c r="AT27">
        <v>5.7919999999999998</v>
      </c>
      <c r="AU27">
        <v>6.6230000000000002</v>
      </c>
      <c r="AV27">
        <v>6.9539999999999997</v>
      </c>
      <c r="AW27">
        <v>7.1859999999999999</v>
      </c>
      <c r="AX27">
        <v>7.3639999999999999</v>
      </c>
      <c r="AY27">
        <v>1.0009999999999999</v>
      </c>
      <c r="AZ27">
        <v>3000</v>
      </c>
      <c r="BE27" t="s">
        <v>47</v>
      </c>
      <c r="BF27">
        <v>6.9269999999999996</v>
      </c>
      <c r="BG27">
        <v>0.36799999999999999</v>
      </c>
      <c r="BH27">
        <v>6.0430000000000001</v>
      </c>
      <c r="BI27">
        <v>6.7229999999999999</v>
      </c>
      <c r="BJ27">
        <v>7.0229999999999997</v>
      </c>
      <c r="BK27">
        <v>7.2130000000000001</v>
      </c>
      <c r="BL27">
        <v>7.3630000000000004</v>
      </c>
      <c r="BM27">
        <v>1.0029999999999999</v>
      </c>
      <c r="BN27">
        <v>1500</v>
      </c>
      <c r="BS27" t="s">
        <v>47</v>
      </c>
      <c r="BT27">
        <v>6.7569999999999997</v>
      </c>
      <c r="BU27">
        <v>0.49099999999999999</v>
      </c>
      <c r="BV27">
        <v>5.5259999999999998</v>
      </c>
      <c r="BW27">
        <v>6.4950000000000001</v>
      </c>
      <c r="BX27">
        <v>6.8659999999999997</v>
      </c>
      <c r="BY27">
        <v>7.1470000000000002</v>
      </c>
      <c r="BZ27">
        <v>7.359</v>
      </c>
      <c r="CA27">
        <v>1.0009999999999999</v>
      </c>
      <c r="CB27">
        <v>3000</v>
      </c>
      <c r="CG27" t="s">
        <v>47</v>
      </c>
      <c r="CH27">
        <v>6.8730000000000002</v>
      </c>
      <c r="CI27">
        <v>0.40899999999999997</v>
      </c>
      <c r="CJ27">
        <v>5.8719999999999999</v>
      </c>
      <c r="CK27">
        <v>6.6449999999999996</v>
      </c>
      <c r="CL27">
        <v>6.9640000000000004</v>
      </c>
      <c r="CM27">
        <v>7.1970000000000001</v>
      </c>
      <c r="CN27">
        <v>7.3650000000000002</v>
      </c>
      <c r="CO27">
        <v>1.0009999999999999</v>
      </c>
      <c r="CP27">
        <v>3000</v>
      </c>
      <c r="CU27" t="s">
        <v>47</v>
      </c>
      <c r="CV27">
        <v>6.8310000000000004</v>
      </c>
      <c r="CW27">
        <v>0.45500000000000002</v>
      </c>
      <c r="CX27">
        <v>5.7279999999999998</v>
      </c>
      <c r="CY27">
        <v>6.5709999999999997</v>
      </c>
      <c r="CZ27">
        <v>6.9459999999999997</v>
      </c>
      <c r="DA27">
        <v>7.1950000000000003</v>
      </c>
      <c r="DB27">
        <v>7.3620000000000001</v>
      </c>
      <c r="DC27">
        <v>1.002</v>
      </c>
      <c r="DD27">
        <v>1100</v>
      </c>
      <c r="DI27" t="s">
        <v>47</v>
      </c>
      <c r="DJ27">
        <v>6.7779999999999996</v>
      </c>
      <c r="DK27">
        <v>0.48</v>
      </c>
      <c r="DL27">
        <v>5.5990000000000002</v>
      </c>
      <c r="DM27">
        <v>6.5049999999999999</v>
      </c>
      <c r="DN27">
        <v>6.8929999999999998</v>
      </c>
      <c r="DO27">
        <v>7.1470000000000002</v>
      </c>
      <c r="DP27">
        <v>7.3570000000000002</v>
      </c>
      <c r="DQ27">
        <v>1.008</v>
      </c>
      <c r="DR27">
        <v>350</v>
      </c>
      <c r="DY27" t="s">
        <v>47</v>
      </c>
      <c r="DZ27">
        <v>6.8129999999999997</v>
      </c>
      <c r="EA27">
        <v>0.441</v>
      </c>
      <c r="EB27">
        <v>5.7510000000000003</v>
      </c>
      <c r="EC27">
        <v>6.569</v>
      </c>
      <c r="ED27">
        <v>6.8970000000000002</v>
      </c>
      <c r="EE27">
        <v>7.1609999999999996</v>
      </c>
      <c r="EF27">
        <v>7.3609999999999998</v>
      </c>
      <c r="EG27">
        <v>1.0009999999999999</v>
      </c>
      <c r="EH27">
        <v>3000</v>
      </c>
      <c r="EK27" t="s">
        <v>47</v>
      </c>
      <c r="EL27">
        <v>5.4020000000000001</v>
      </c>
      <c r="EM27">
        <v>0.81899999999999995</v>
      </c>
      <c r="EN27">
        <v>3.867</v>
      </c>
      <c r="EO27">
        <v>4.8250000000000002</v>
      </c>
      <c r="EP27">
        <v>5.3860000000000001</v>
      </c>
      <c r="EQ27">
        <v>5.9409999999999998</v>
      </c>
      <c r="ER27">
        <v>7.0270000000000001</v>
      </c>
      <c r="ES27">
        <v>1.002</v>
      </c>
      <c r="ET27">
        <v>910</v>
      </c>
      <c r="EY27" t="s">
        <v>47</v>
      </c>
      <c r="EZ27">
        <v>5.6619999999999999</v>
      </c>
      <c r="FA27">
        <v>0.748</v>
      </c>
      <c r="FB27">
        <v>4.2430000000000003</v>
      </c>
      <c r="FC27">
        <v>5.1479999999999997</v>
      </c>
      <c r="FD27">
        <v>5.6379999999999999</v>
      </c>
      <c r="FE27">
        <v>6.1870000000000003</v>
      </c>
      <c r="FF27">
        <v>7.1109999999999998</v>
      </c>
      <c r="FG27">
        <v>1.0009999999999999</v>
      </c>
      <c r="FH27">
        <v>3000</v>
      </c>
      <c r="FM27" t="s">
        <v>142</v>
      </c>
      <c r="FN27">
        <v>4.3999999999999997E-2</v>
      </c>
      <c r="FO27">
        <v>4.4870000000000001</v>
      </c>
      <c r="FP27">
        <v>-8.923</v>
      </c>
      <c r="FQ27">
        <v>-2.9409999999999998</v>
      </c>
      <c r="FR27">
        <v>0.122</v>
      </c>
      <c r="FS27">
        <v>3.0710000000000002</v>
      </c>
      <c r="FT27">
        <v>8.67</v>
      </c>
      <c r="FU27">
        <v>1.0009999999999999</v>
      </c>
      <c r="FV27">
        <v>3000</v>
      </c>
      <c r="GA27" t="s">
        <v>47</v>
      </c>
      <c r="GB27">
        <v>6.9290000000000003</v>
      </c>
      <c r="GC27">
        <v>0.32700000000000001</v>
      </c>
      <c r="GD27">
        <v>6.1639999999999997</v>
      </c>
      <c r="GE27">
        <v>6.7359999999999998</v>
      </c>
      <c r="GF27">
        <v>6.9930000000000003</v>
      </c>
      <c r="GG27">
        <v>7.1929999999999996</v>
      </c>
      <c r="GH27">
        <v>7.3609999999999998</v>
      </c>
      <c r="GI27">
        <v>1.0009999999999999</v>
      </c>
      <c r="GJ27">
        <v>3000</v>
      </c>
      <c r="GO27" t="s">
        <v>47</v>
      </c>
      <c r="GP27">
        <v>5.6980000000000004</v>
      </c>
      <c r="GQ27">
        <v>0.75900000000000001</v>
      </c>
      <c r="GR27">
        <v>4.242</v>
      </c>
      <c r="GS27">
        <v>5.1639999999999997</v>
      </c>
      <c r="GT27">
        <v>5.6779999999999999</v>
      </c>
      <c r="GU27">
        <v>6.2290000000000001</v>
      </c>
      <c r="GV27">
        <v>7.1970000000000001</v>
      </c>
      <c r="GW27">
        <v>1.006</v>
      </c>
      <c r="GX27">
        <v>380</v>
      </c>
      <c r="HC27" t="s">
        <v>47</v>
      </c>
      <c r="HD27">
        <v>5.7140000000000004</v>
      </c>
      <c r="HE27">
        <v>0.71299999999999997</v>
      </c>
      <c r="HF27">
        <v>4.3689999999999998</v>
      </c>
      <c r="HG27">
        <v>5.2110000000000003</v>
      </c>
      <c r="HH27">
        <v>5.6950000000000003</v>
      </c>
      <c r="HI27">
        <v>6.2130000000000001</v>
      </c>
      <c r="HJ27">
        <v>7.09</v>
      </c>
      <c r="HK27">
        <v>1.004</v>
      </c>
      <c r="HL27">
        <v>610</v>
      </c>
      <c r="HP27" s="7"/>
      <c r="HQ27" s="7" t="s">
        <v>47</v>
      </c>
      <c r="HR27" s="7">
        <v>5.468</v>
      </c>
      <c r="HS27" s="7">
        <v>0.68400000000000005</v>
      </c>
      <c r="HT27" s="7">
        <v>4.22</v>
      </c>
      <c r="HU27" s="7">
        <v>4.9740000000000002</v>
      </c>
      <c r="HV27" s="7">
        <v>5.444</v>
      </c>
      <c r="HW27" s="7">
        <v>5.9119999999999999</v>
      </c>
      <c r="HX27" s="7">
        <v>6.8719999999999999</v>
      </c>
      <c r="HY27" s="7">
        <v>1.0009999999999999</v>
      </c>
      <c r="HZ27" s="7">
        <v>3000</v>
      </c>
      <c r="IA27" s="7"/>
      <c r="IE27" t="s">
        <v>47</v>
      </c>
      <c r="IF27">
        <v>6.4249999999999998</v>
      </c>
      <c r="IG27">
        <v>0.42299999999999999</v>
      </c>
      <c r="IH27">
        <v>5.6029999999999998</v>
      </c>
      <c r="II27">
        <v>6.1180000000000003</v>
      </c>
      <c r="IJ27">
        <v>6.4269999999999996</v>
      </c>
      <c r="IK27">
        <v>6.7279999999999998</v>
      </c>
      <c r="IL27">
        <v>7.2329999999999997</v>
      </c>
      <c r="IM27">
        <v>1.0009999999999999</v>
      </c>
      <c r="IN27">
        <v>3000</v>
      </c>
      <c r="IS27" t="s">
        <v>47</v>
      </c>
      <c r="IT27">
        <v>6.5620000000000003</v>
      </c>
      <c r="IU27">
        <v>0.42799999999999999</v>
      </c>
      <c r="IV27">
        <v>5.72</v>
      </c>
      <c r="IW27">
        <v>6.2610000000000001</v>
      </c>
      <c r="IX27">
        <v>6.5739999999999998</v>
      </c>
      <c r="IY27">
        <v>6.89</v>
      </c>
      <c r="IZ27">
        <v>7.2969999999999997</v>
      </c>
      <c r="JA27">
        <v>1.002</v>
      </c>
      <c r="JB27">
        <v>1300</v>
      </c>
      <c r="JF27" t="s">
        <v>47</v>
      </c>
      <c r="JG27">
        <v>5.8150000000000004</v>
      </c>
      <c r="JH27">
        <v>0.61799999999999999</v>
      </c>
      <c r="JI27">
        <v>4.6500000000000004</v>
      </c>
      <c r="JJ27">
        <v>5.3739999999999997</v>
      </c>
      <c r="JK27">
        <v>5.8120000000000003</v>
      </c>
      <c r="JL27">
        <v>6.2249999999999996</v>
      </c>
      <c r="JM27">
        <v>7.0730000000000004</v>
      </c>
      <c r="JN27">
        <v>1.002</v>
      </c>
      <c r="JO27">
        <v>1500</v>
      </c>
      <c r="JT27" t="s">
        <v>47</v>
      </c>
      <c r="JU27">
        <v>5.6989999999999998</v>
      </c>
      <c r="JV27">
        <v>0.65900000000000003</v>
      </c>
      <c r="JW27">
        <v>4.4649999999999999</v>
      </c>
      <c r="JX27">
        <v>5.226</v>
      </c>
      <c r="JY27">
        <v>5.681</v>
      </c>
      <c r="JZ27">
        <v>6.1509999999999998</v>
      </c>
      <c r="KA27">
        <v>7.0259999999999998</v>
      </c>
      <c r="KB27">
        <v>1.0009999999999999</v>
      </c>
      <c r="KC27">
        <v>3000</v>
      </c>
      <c r="KH27" t="s">
        <v>47</v>
      </c>
      <c r="KI27">
        <v>5.6539999999999999</v>
      </c>
      <c r="KJ27">
        <v>0.67300000000000004</v>
      </c>
      <c r="KK27">
        <v>4.4009999999999998</v>
      </c>
      <c r="KL27">
        <v>5.1580000000000004</v>
      </c>
      <c r="KM27">
        <v>5.6319999999999997</v>
      </c>
      <c r="KN27">
        <v>6.0970000000000004</v>
      </c>
      <c r="KO27">
        <v>7.0149999999999997</v>
      </c>
      <c r="KP27">
        <v>1.008</v>
      </c>
      <c r="KQ27">
        <v>280</v>
      </c>
      <c r="KR27">
        <f t="shared" si="0"/>
        <v>285.43090905442028</v>
      </c>
      <c r="KS27">
        <f t="shared" si="1"/>
        <v>1297.5490466465526</v>
      </c>
      <c r="KV27" t="s">
        <v>47</v>
      </c>
      <c r="KW27">
        <v>6.7939999999999996</v>
      </c>
      <c r="KX27">
        <v>0.45400000000000001</v>
      </c>
      <c r="KY27">
        <v>5.9580000000000002</v>
      </c>
      <c r="KZ27">
        <v>6.484</v>
      </c>
      <c r="LA27">
        <v>6.7729999999999997</v>
      </c>
      <c r="LB27">
        <v>7.101</v>
      </c>
      <c r="LC27">
        <v>7.7089999999999996</v>
      </c>
      <c r="LD27">
        <v>1.004</v>
      </c>
      <c r="LE27">
        <v>540</v>
      </c>
      <c r="LJ27" t="s">
        <v>47</v>
      </c>
      <c r="LK27">
        <v>6.0709999999999997</v>
      </c>
      <c r="LL27">
        <v>0.29899999999999999</v>
      </c>
      <c r="LM27">
        <v>5.5330000000000004</v>
      </c>
      <c r="LN27">
        <v>5.8650000000000002</v>
      </c>
      <c r="LO27">
        <v>6.0449999999999999</v>
      </c>
      <c r="LP27">
        <v>6.2549999999999999</v>
      </c>
      <c r="LQ27">
        <v>6.7</v>
      </c>
      <c r="LR27">
        <v>1.004</v>
      </c>
      <c r="LS27">
        <v>640</v>
      </c>
      <c r="LX27" t="s">
        <v>47</v>
      </c>
      <c r="LY27">
        <v>1.492</v>
      </c>
      <c r="LZ27">
        <v>1.623</v>
      </c>
      <c r="MA27">
        <v>-2.2080000000000002</v>
      </c>
      <c r="MB27">
        <v>0.52800000000000002</v>
      </c>
      <c r="MC27">
        <v>1.7310000000000001</v>
      </c>
      <c r="MD27">
        <v>2.7109999999999999</v>
      </c>
      <c r="ME27">
        <v>3.984</v>
      </c>
      <c r="MF27">
        <v>1.647</v>
      </c>
      <c r="MG27">
        <v>6</v>
      </c>
      <c r="ML27" t="s">
        <v>47</v>
      </c>
      <c r="MM27">
        <v>7.1070000000000002</v>
      </c>
      <c r="MN27">
        <v>0.40200000000000002</v>
      </c>
      <c r="MO27">
        <v>6.32</v>
      </c>
      <c r="MP27">
        <v>6.8280000000000003</v>
      </c>
      <c r="MQ27">
        <v>7.11</v>
      </c>
      <c r="MR27">
        <v>7.39</v>
      </c>
      <c r="MS27">
        <v>7.8760000000000003</v>
      </c>
      <c r="MT27">
        <v>1.002</v>
      </c>
      <c r="MU27">
        <v>2700</v>
      </c>
      <c r="MZ27" t="s">
        <v>47</v>
      </c>
      <c r="NA27">
        <v>7.19</v>
      </c>
      <c r="NB27">
        <v>0.371</v>
      </c>
      <c r="NC27">
        <v>6.4489999999999998</v>
      </c>
      <c r="ND27">
        <v>6.9420000000000002</v>
      </c>
      <c r="NE27">
        <v>7.2030000000000003</v>
      </c>
      <c r="NF27">
        <v>7.4480000000000004</v>
      </c>
      <c r="NG27">
        <v>7.8879999999999999</v>
      </c>
      <c r="NH27">
        <v>1.0029999999999999</v>
      </c>
      <c r="NI27">
        <v>890</v>
      </c>
      <c r="NM27" t="s">
        <v>47</v>
      </c>
      <c r="NN27">
        <v>6.81</v>
      </c>
      <c r="NO27">
        <v>0.245</v>
      </c>
      <c r="NP27">
        <v>6.3869999999999996</v>
      </c>
      <c r="NQ27">
        <v>6.6349999999999998</v>
      </c>
      <c r="NR27">
        <v>6.7910000000000004</v>
      </c>
      <c r="NS27">
        <v>6.9649999999999999</v>
      </c>
      <c r="NT27">
        <v>7.3289999999999997</v>
      </c>
      <c r="NU27">
        <v>1.0009999999999999</v>
      </c>
      <c r="NV27">
        <v>12000</v>
      </c>
      <c r="NY27" t="s">
        <v>47</v>
      </c>
      <c r="NZ27">
        <v>6.6390000000000002</v>
      </c>
      <c r="OA27">
        <v>0.24</v>
      </c>
      <c r="OB27">
        <v>6.2359999999999998</v>
      </c>
      <c r="OC27">
        <v>6.4669999999999996</v>
      </c>
      <c r="OD27">
        <v>6.6150000000000002</v>
      </c>
      <c r="OE27">
        <v>6.7889999999999997</v>
      </c>
      <c r="OF27">
        <v>7.1660000000000004</v>
      </c>
      <c r="OG27">
        <v>1.0009999999999999</v>
      </c>
      <c r="OH27">
        <v>5000</v>
      </c>
      <c r="OP27" t="s">
        <v>47</v>
      </c>
      <c r="OQ27">
        <v>7.0069999999999997</v>
      </c>
      <c r="OR27">
        <v>0.29499999999999998</v>
      </c>
      <c r="OS27">
        <v>6.3959999999999999</v>
      </c>
      <c r="OT27">
        <v>6.81</v>
      </c>
      <c r="OU27">
        <v>7.032</v>
      </c>
      <c r="OV27">
        <v>7.226</v>
      </c>
      <c r="OW27">
        <v>7.5140000000000002</v>
      </c>
      <c r="OX27">
        <v>1.014</v>
      </c>
      <c r="OY27">
        <v>180</v>
      </c>
      <c r="PB27" t="s">
        <v>47</v>
      </c>
      <c r="PC27">
        <v>7.2030000000000003</v>
      </c>
      <c r="PD27">
        <v>0.22</v>
      </c>
      <c r="PE27">
        <v>6.7409999999999997</v>
      </c>
      <c r="PF27">
        <v>7.0609999999999999</v>
      </c>
      <c r="PG27">
        <v>7.2210000000000001</v>
      </c>
      <c r="PH27">
        <v>7.3620000000000001</v>
      </c>
      <c r="PI27">
        <v>7.5810000000000004</v>
      </c>
      <c r="PJ27">
        <v>1.01</v>
      </c>
      <c r="PK27">
        <v>300</v>
      </c>
      <c r="PN27" t="s">
        <v>47</v>
      </c>
      <c r="PO27">
        <v>7.1059999999999999</v>
      </c>
      <c r="PP27">
        <v>0.21199999999999999</v>
      </c>
      <c r="PQ27">
        <v>6.6669999999999998</v>
      </c>
      <c r="PR27">
        <v>6.9660000000000002</v>
      </c>
      <c r="PS27">
        <v>7.1120000000000001</v>
      </c>
      <c r="PT27">
        <v>7.2519999999999998</v>
      </c>
      <c r="PU27">
        <v>7.5049999999999999</v>
      </c>
      <c r="PV27">
        <v>1.002</v>
      </c>
      <c r="PW27">
        <v>1000</v>
      </c>
      <c r="QA27" t="s">
        <v>47</v>
      </c>
      <c r="QB27">
        <v>6.4089999999999998</v>
      </c>
      <c r="QC27">
        <v>0.14699999999999999</v>
      </c>
      <c r="QD27">
        <v>6.1219999999999999</v>
      </c>
      <c r="QE27">
        <v>6.3070000000000004</v>
      </c>
      <c r="QF27">
        <v>6.423</v>
      </c>
      <c r="QG27">
        <v>6.5179999999999998</v>
      </c>
      <c r="QH27">
        <v>6.6619999999999999</v>
      </c>
      <c r="QI27">
        <v>1.093</v>
      </c>
      <c r="QJ27">
        <v>27</v>
      </c>
      <c r="QL27">
        <f t="shared" si="2"/>
        <v>0.69700000000000006</v>
      </c>
    </row>
    <row r="28" spans="1:454">
      <c r="A28" t="s">
        <v>48</v>
      </c>
      <c r="B28">
        <v>6.8289999999999997</v>
      </c>
      <c r="C28">
        <v>1.006</v>
      </c>
      <c r="D28">
        <v>4.8600000000000003</v>
      </c>
      <c r="E28">
        <v>6.1520000000000001</v>
      </c>
      <c r="F28">
        <v>6.8689999999999998</v>
      </c>
      <c r="G28">
        <v>7.4950000000000001</v>
      </c>
      <c r="H28">
        <v>8.766</v>
      </c>
      <c r="I28">
        <v>1.006</v>
      </c>
      <c r="J28">
        <v>930</v>
      </c>
      <c r="O28" t="s">
        <v>48</v>
      </c>
      <c r="P28">
        <v>5.1870000000000003</v>
      </c>
      <c r="Q28">
        <v>1.3660000000000001</v>
      </c>
      <c r="R28">
        <v>2.2610000000000001</v>
      </c>
      <c r="S28">
        <v>4.2770000000000001</v>
      </c>
      <c r="T28">
        <v>5.3140000000000001</v>
      </c>
      <c r="U28">
        <v>6.3019999999999996</v>
      </c>
      <c r="V28">
        <v>7.2409999999999997</v>
      </c>
      <c r="W28">
        <v>1.0109999999999999</v>
      </c>
      <c r="X28">
        <v>280</v>
      </c>
      <c r="AC28" t="s">
        <v>48</v>
      </c>
      <c r="AD28">
        <v>6.0190000000000001</v>
      </c>
      <c r="AE28">
        <v>0.877</v>
      </c>
      <c r="AF28">
        <v>4.1630000000000003</v>
      </c>
      <c r="AG28">
        <v>5.3959999999999999</v>
      </c>
      <c r="AH28">
        <v>6.117</v>
      </c>
      <c r="AI28">
        <v>6.742</v>
      </c>
      <c r="AJ28">
        <v>7.327</v>
      </c>
      <c r="AK28">
        <v>1.002</v>
      </c>
      <c r="AL28">
        <v>1100</v>
      </c>
      <c r="AQ28" t="s">
        <v>48</v>
      </c>
      <c r="AR28">
        <v>5.95</v>
      </c>
      <c r="AS28">
        <v>0.86799999999999999</v>
      </c>
      <c r="AT28">
        <v>4.0970000000000004</v>
      </c>
      <c r="AU28">
        <v>5.3639999999999999</v>
      </c>
      <c r="AV28">
        <v>6.0060000000000002</v>
      </c>
      <c r="AW28">
        <v>6.641</v>
      </c>
      <c r="AX28">
        <v>7.3040000000000003</v>
      </c>
      <c r="AY28">
        <v>1.002</v>
      </c>
      <c r="AZ28">
        <v>1300</v>
      </c>
      <c r="BE28" t="s">
        <v>48</v>
      </c>
      <c r="BF28">
        <v>5.7110000000000003</v>
      </c>
      <c r="BG28">
        <v>0.72799999999999998</v>
      </c>
      <c r="BH28">
        <v>4.2889999999999997</v>
      </c>
      <c r="BI28">
        <v>5.2220000000000004</v>
      </c>
      <c r="BJ28">
        <v>5.6959999999999997</v>
      </c>
      <c r="BK28">
        <v>6.2130000000000001</v>
      </c>
      <c r="BL28">
        <v>7.1459999999999999</v>
      </c>
      <c r="BM28">
        <v>1.002</v>
      </c>
      <c r="BN28">
        <v>1200</v>
      </c>
      <c r="BS28" t="s">
        <v>48</v>
      </c>
      <c r="BT28">
        <v>5.9969999999999999</v>
      </c>
      <c r="BU28">
        <v>0.86299999999999999</v>
      </c>
      <c r="BV28">
        <v>4.2160000000000002</v>
      </c>
      <c r="BW28">
        <v>5.3949999999999996</v>
      </c>
      <c r="BX28">
        <v>6.0730000000000004</v>
      </c>
      <c r="BY28">
        <v>6.6959999999999997</v>
      </c>
      <c r="BZ28">
        <v>7.3090000000000002</v>
      </c>
      <c r="CA28">
        <v>1.002</v>
      </c>
      <c r="CB28">
        <v>1700</v>
      </c>
      <c r="CG28" t="s">
        <v>48</v>
      </c>
      <c r="CH28">
        <v>5.7160000000000002</v>
      </c>
      <c r="CI28">
        <v>0.74299999999999999</v>
      </c>
      <c r="CJ28">
        <v>4.3029999999999999</v>
      </c>
      <c r="CK28">
        <v>5.2039999999999997</v>
      </c>
      <c r="CL28">
        <v>5.7039999999999997</v>
      </c>
      <c r="CM28">
        <v>6.2409999999999997</v>
      </c>
      <c r="CN28">
        <v>7.1360000000000001</v>
      </c>
      <c r="CO28">
        <v>1.0049999999999999</v>
      </c>
      <c r="CP28">
        <v>470</v>
      </c>
      <c r="CU28" t="s">
        <v>48</v>
      </c>
      <c r="CV28">
        <v>6.08</v>
      </c>
      <c r="CW28">
        <v>0.83199999999999996</v>
      </c>
      <c r="CX28">
        <v>4.3209999999999997</v>
      </c>
      <c r="CY28">
        <v>5.5209999999999999</v>
      </c>
      <c r="CZ28">
        <v>6.1740000000000004</v>
      </c>
      <c r="DA28">
        <v>6.73</v>
      </c>
      <c r="DB28">
        <v>7.3259999999999996</v>
      </c>
      <c r="DC28">
        <v>1.006</v>
      </c>
      <c r="DD28">
        <v>360</v>
      </c>
      <c r="DI28" t="s">
        <v>48</v>
      </c>
      <c r="DJ28">
        <v>6.0730000000000004</v>
      </c>
      <c r="DK28">
        <v>0.86699999999999999</v>
      </c>
      <c r="DL28">
        <v>4.1669999999999998</v>
      </c>
      <c r="DM28">
        <v>5.4859999999999998</v>
      </c>
      <c r="DN28">
        <v>6.165</v>
      </c>
      <c r="DO28">
        <v>6.7889999999999997</v>
      </c>
      <c r="DP28">
        <v>7.3220000000000001</v>
      </c>
      <c r="DQ28">
        <v>1.002</v>
      </c>
      <c r="DR28">
        <v>3000</v>
      </c>
      <c r="DY28" t="s">
        <v>48</v>
      </c>
      <c r="DZ28">
        <v>6.008</v>
      </c>
      <c r="EA28">
        <v>0.85499999999999998</v>
      </c>
      <c r="EB28">
        <v>4.2789999999999999</v>
      </c>
      <c r="EC28">
        <v>5.3819999999999997</v>
      </c>
      <c r="ED28">
        <v>6.0609999999999999</v>
      </c>
      <c r="EE28">
        <v>6.7119999999999997</v>
      </c>
      <c r="EF28">
        <v>7.31</v>
      </c>
      <c r="EG28">
        <v>1.0009999999999999</v>
      </c>
      <c r="EH28">
        <v>3000</v>
      </c>
      <c r="EK28" t="s">
        <v>48</v>
      </c>
      <c r="EL28">
        <v>5.4470000000000001</v>
      </c>
      <c r="EM28">
        <v>0.95299999999999996</v>
      </c>
      <c r="EN28">
        <v>3.7269999999999999</v>
      </c>
      <c r="EO28">
        <v>4.7770000000000001</v>
      </c>
      <c r="EP28">
        <v>5.4160000000000004</v>
      </c>
      <c r="EQ28">
        <v>6.157</v>
      </c>
      <c r="ER28">
        <v>7.2160000000000002</v>
      </c>
      <c r="ES28">
        <v>1.002</v>
      </c>
      <c r="ET28">
        <v>900</v>
      </c>
      <c r="EY28" t="s">
        <v>48</v>
      </c>
      <c r="EZ28">
        <v>6.1920000000000002</v>
      </c>
      <c r="FA28">
        <v>0.79700000000000004</v>
      </c>
      <c r="FB28">
        <v>4.3840000000000003</v>
      </c>
      <c r="FC28">
        <v>5.6660000000000004</v>
      </c>
      <c r="FD28">
        <v>6.2919999999999998</v>
      </c>
      <c r="FE28">
        <v>6.8380000000000001</v>
      </c>
      <c r="FF28">
        <v>7.3310000000000004</v>
      </c>
      <c r="FG28">
        <v>1.0009999999999999</v>
      </c>
      <c r="FH28">
        <v>3000</v>
      </c>
      <c r="FM28" t="s">
        <v>143</v>
      </c>
      <c r="FN28">
        <v>3099.6260000000002</v>
      </c>
      <c r="FO28">
        <v>57.484999999999999</v>
      </c>
      <c r="FP28">
        <v>2987.527</v>
      </c>
      <c r="FQ28">
        <v>3060.5369999999998</v>
      </c>
      <c r="FR28">
        <v>3098.8429999999998</v>
      </c>
      <c r="FS28">
        <v>3137.42</v>
      </c>
      <c r="FT28">
        <v>3212.8049999999998</v>
      </c>
      <c r="FU28">
        <v>1.0009999999999999</v>
      </c>
      <c r="FV28">
        <v>3000</v>
      </c>
      <c r="GA28" t="s">
        <v>48</v>
      </c>
      <c r="GB28">
        <v>6.5359999999999996</v>
      </c>
      <c r="GC28">
        <v>0.51600000000000001</v>
      </c>
      <c r="GD28">
        <v>5.4450000000000003</v>
      </c>
      <c r="GE28">
        <v>6.1769999999999996</v>
      </c>
      <c r="GF28">
        <v>6.58</v>
      </c>
      <c r="GG28">
        <v>6.9470000000000001</v>
      </c>
      <c r="GH28">
        <v>7.3250000000000002</v>
      </c>
      <c r="GI28">
        <v>1.002</v>
      </c>
      <c r="GJ28">
        <v>1100</v>
      </c>
      <c r="GO28" t="s">
        <v>48</v>
      </c>
      <c r="GP28">
        <v>6.1890000000000001</v>
      </c>
      <c r="GQ28">
        <v>0.80400000000000005</v>
      </c>
      <c r="GR28">
        <v>4.4409999999999998</v>
      </c>
      <c r="GS28">
        <v>5.6669999999999998</v>
      </c>
      <c r="GT28">
        <v>6.2930000000000001</v>
      </c>
      <c r="GU28">
        <v>6.8440000000000003</v>
      </c>
      <c r="GV28">
        <v>7.3209999999999997</v>
      </c>
      <c r="GW28">
        <v>1.0009999999999999</v>
      </c>
      <c r="GX28">
        <v>2900</v>
      </c>
      <c r="HC28" t="s">
        <v>48</v>
      </c>
      <c r="HD28">
        <v>6.21</v>
      </c>
      <c r="HE28">
        <v>0.77400000000000002</v>
      </c>
      <c r="HF28">
        <v>4.4950000000000001</v>
      </c>
      <c r="HG28">
        <v>5.6909999999999998</v>
      </c>
      <c r="HH28">
        <v>6.306</v>
      </c>
      <c r="HI28">
        <v>6.8360000000000003</v>
      </c>
      <c r="HJ28">
        <v>7.3220000000000001</v>
      </c>
      <c r="HK28">
        <v>1.0009999999999999</v>
      </c>
      <c r="HL28">
        <v>3000</v>
      </c>
      <c r="HP28" s="7"/>
      <c r="HQ28" s="7" t="s">
        <v>48</v>
      </c>
      <c r="HR28" s="7">
        <v>5.9160000000000004</v>
      </c>
      <c r="HS28" s="7">
        <v>0.84299999999999997</v>
      </c>
      <c r="HT28" s="7">
        <v>4.2210000000000001</v>
      </c>
      <c r="HU28" s="7">
        <v>5.3230000000000004</v>
      </c>
      <c r="HV28" s="7">
        <v>5.968</v>
      </c>
      <c r="HW28" s="7">
        <v>6.569</v>
      </c>
      <c r="HX28" s="7">
        <v>7.2839999999999998</v>
      </c>
      <c r="HY28" s="7">
        <v>1</v>
      </c>
      <c r="HZ28" s="7">
        <v>3000</v>
      </c>
      <c r="IA28" s="7"/>
      <c r="IE28" t="s">
        <v>48</v>
      </c>
      <c r="IF28">
        <v>6.5739999999999998</v>
      </c>
      <c r="IG28">
        <v>0.53900000000000003</v>
      </c>
      <c r="IH28">
        <v>5.3840000000000003</v>
      </c>
      <c r="II28">
        <v>6.2069999999999999</v>
      </c>
      <c r="IJ28">
        <v>6.6459999999999999</v>
      </c>
      <c r="IK28">
        <v>7.024</v>
      </c>
      <c r="IL28">
        <v>7.3390000000000004</v>
      </c>
      <c r="IM28">
        <v>1.0029999999999999</v>
      </c>
      <c r="IN28">
        <v>840</v>
      </c>
      <c r="IS28" t="s">
        <v>48</v>
      </c>
      <c r="IT28">
        <v>6.5090000000000003</v>
      </c>
      <c r="IU28">
        <v>0.55800000000000005</v>
      </c>
      <c r="IV28">
        <v>5.3230000000000004</v>
      </c>
      <c r="IW28">
        <v>6.1349999999999998</v>
      </c>
      <c r="IX28">
        <v>6.5570000000000004</v>
      </c>
      <c r="IY28">
        <v>6.9640000000000004</v>
      </c>
      <c r="IZ28">
        <v>7.3339999999999996</v>
      </c>
      <c r="JA28">
        <v>1.002</v>
      </c>
      <c r="JB28">
        <v>1400</v>
      </c>
      <c r="JF28" t="s">
        <v>48</v>
      </c>
      <c r="JG28">
        <v>6.1609999999999996</v>
      </c>
      <c r="JH28">
        <v>0.746</v>
      </c>
      <c r="JI28">
        <v>4.5789999999999997</v>
      </c>
      <c r="JJ28">
        <v>5.6369999999999996</v>
      </c>
      <c r="JK28">
        <v>6.2359999999999998</v>
      </c>
      <c r="JL28">
        <v>6.7510000000000003</v>
      </c>
      <c r="JM28">
        <v>7.3029999999999999</v>
      </c>
      <c r="JN28">
        <v>1.0009999999999999</v>
      </c>
      <c r="JO28">
        <v>3000</v>
      </c>
      <c r="JT28" t="s">
        <v>48</v>
      </c>
      <c r="JU28">
        <v>6.1539999999999999</v>
      </c>
      <c r="JV28">
        <v>0.72599999999999998</v>
      </c>
      <c r="JW28">
        <v>4.5819999999999999</v>
      </c>
      <c r="JX28">
        <v>5.6879999999999997</v>
      </c>
      <c r="JY28">
        <v>6.21</v>
      </c>
      <c r="JZ28">
        <v>6.7190000000000003</v>
      </c>
      <c r="KA28">
        <v>7.2960000000000003</v>
      </c>
      <c r="KB28">
        <v>1.0009999999999999</v>
      </c>
      <c r="KC28">
        <v>3000</v>
      </c>
      <c r="KH28" t="s">
        <v>48</v>
      </c>
      <c r="KI28">
        <v>6.1680000000000001</v>
      </c>
      <c r="KJ28">
        <v>0.72699999999999998</v>
      </c>
      <c r="KK28">
        <v>4.5990000000000002</v>
      </c>
      <c r="KL28">
        <v>5.6779999999999999</v>
      </c>
      <c r="KM28">
        <v>6.2350000000000003</v>
      </c>
      <c r="KN28">
        <v>6.7560000000000002</v>
      </c>
      <c r="KO28">
        <v>7.3019999999999996</v>
      </c>
      <c r="KP28">
        <v>1.0009999999999999</v>
      </c>
      <c r="KQ28">
        <v>2000</v>
      </c>
      <c r="KR28">
        <f t="shared" si="0"/>
        <v>477.23068961203177</v>
      </c>
      <c r="KS28">
        <f t="shared" si="1"/>
        <v>2099.1071420887383</v>
      </c>
      <c r="KV28" t="s">
        <v>48</v>
      </c>
      <c r="KW28">
        <v>6.2729999999999997</v>
      </c>
      <c r="KX28">
        <v>0.64600000000000002</v>
      </c>
      <c r="KY28">
        <v>5.0780000000000003</v>
      </c>
      <c r="KZ28">
        <v>5.8390000000000004</v>
      </c>
      <c r="LA28">
        <v>6.2489999999999997</v>
      </c>
      <c r="LB28">
        <v>6.681</v>
      </c>
      <c r="LC28">
        <v>7.58</v>
      </c>
      <c r="LD28">
        <v>1.004</v>
      </c>
      <c r="LE28">
        <v>630</v>
      </c>
      <c r="LJ28" t="s">
        <v>48</v>
      </c>
      <c r="LK28">
        <v>5.7889999999999997</v>
      </c>
      <c r="LL28">
        <v>0.42799999999999999</v>
      </c>
      <c r="LM28">
        <v>5.008</v>
      </c>
      <c r="LN28">
        <v>5.4939999999999998</v>
      </c>
      <c r="LO28">
        <v>5.7729999999999997</v>
      </c>
      <c r="LP28">
        <v>6.0709999999999997</v>
      </c>
      <c r="LQ28">
        <v>6.6769999999999996</v>
      </c>
      <c r="LR28">
        <v>1.002</v>
      </c>
      <c r="LS28">
        <v>1800</v>
      </c>
      <c r="LX28" t="s">
        <v>48</v>
      </c>
      <c r="LY28">
        <v>4.1029999999999998</v>
      </c>
      <c r="LZ28">
        <v>2.8769999999999998</v>
      </c>
      <c r="MA28">
        <v>-1.099</v>
      </c>
      <c r="MB28">
        <v>2.012</v>
      </c>
      <c r="MC28">
        <v>3.988</v>
      </c>
      <c r="MD28">
        <v>6.0739999999999998</v>
      </c>
      <c r="ME28">
        <v>9.9250000000000007</v>
      </c>
      <c r="MF28">
        <v>2.0920000000000001</v>
      </c>
      <c r="MG28">
        <v>5</v>
      </c>
      <c r="ML28" t="s">
        <v>48</v>
      </c>
      <c r="MM28">
        <v>6.3639999999999999</v>
      </c>
      <c r="MN28">
        <v>0.56899999999999995</v>
      </c>
      <c r="MO28">
        <v>5.2910000000000004</v>
      </c>
      <c r="MP28">
        <v>5.9720000000000004</v>
      </c>
      <c r="MQ28">
        <v>6.3479999999999999</v>
      </c>
      <c r="MR28">
        <v>6.74</v>
      </c>
      <c r="MS28">
        <v>7.52</v>
      </c>
      <c r="MT28">
        <v>1.0009999999999999</v>
      </c>
      <c r="MU28">
        <v>300000</v>
      </c>
      <c r="MZ28" t="s">
        <v>48</v>
      </c>
      <c r="NA28">
        <v>6.3780000000000001</v>
      </c>
      <c r="NB28">
        <v>0.55400000000000005</v>
      </c>
      <c r="NC28">
        <v>5.343</v>
      </c>
      <c r="ND28">
        <v>6.0049999999999999</v>
      </c>
      <c r="NE28">
        <v>6.359</v>
      </c>
      <c r="NF28">
        <v>6.7439999999999998</v>
      </c>
      <c r="NG28">
        <v>7.492</v>
      </c>
      <c r="NH28">
        <v>1.002</v>
      </c>
      <c r="NI28">
        <v>2800</v>
      </c>
      <c r="NM28" t="s">
        <v>48</v>
      </c>
      <c r="NN28">
        <v>7.0949999999999998</v>
      </c>
      <c r="NO28">
        <v>0.48</v>
      </c>
      <c r="NP28">
        <v>6.2160000000000002</v>
      </c>
      <c r="NQ28">
        <v>6.7549999999999999</v>
      </c>
      <c r="NR28">
        <v>7.0750000000000002</v>
      </c>
      <c r="NS28">
        <v>7.4160000000000004</v>
      </c>
      <c r="NT28">
        <v>8.0790000000000006</v>
      </c>
      <c r="NU28">
        <v>1.0009999999999999</v>
      </c>
      <c r="NV28">
        <v>7200</v>
      </c>
      <c r="NY28" t="s">
        <v>48</v>
      </c>
      <c r="NZ28">
        <v>6.9980000000000002</v>
      </c>
      <c r="OA28">
        <v>0.48</v>
      </c>
      <c r="OB28">
        <v>6.1669999999999998</v>
      </c>
      <c r="OC28">
        <v>6.6580000000000004</v>
      </c>
      <c r="OD28">
        <v>6.9530000000000003</v>
      </c>
      <c r="OE28">
        <v>7.2990000000000004</v>
      </c>
      <c r="OF28">
        <v>8.0429999999999993</v>
      </c>
      <c r="OG28">
        <v>1.0009999999999999</v>
      </c>
      <c r="OH28">
        <v>14000</v>
      </c>
      <c r="OP28" t="s">
        <v>48</v>
      </c>
      <c r="OQ28">
        <v>6.9989999999999997</v>
      </c>
      <c r="OR28">
        <v>0.34599999999999997</v>
      </c>
      <c r="OS28">
        <v>6.3380000000000001</v>
      </c>
      <c r="OT28">
        <v>6.77</v>
      </c>
      <c r="OU28">
        <v>6.9889999999999999</v>
      </c>
      <c r="OV28">
        <v>7.218</v>
      </c>
      <c r="OW28">
        <v>7.7169999999999996</v>
      </c>
      <c r="OX28">
        <v>1.0089999999999999</v>
      </c>
      <c r="OY28">
        <v>240</v>
      </c>
      <c r="PB28" t="s">
        <v>48</v>
      </c>
      <c r="PC28">
        <v>7.0519999999999996</v>
      </c>
      <c r="PD28">
        <v>0.315</v>
      </c>
      <c r="PE28">
        <v>6.4390000000000001</v>
      </c>
      <c r="PF28">
        <v>6.8460000000000001</v>
      </c>
      <c r="PG28">
        <v>7.0449999999999999</v>
      </c>
      <c r="PH28">
        <v>7.25</v>
      </c>
      <c r="PI28">
        <v>7.7</v>
      </c>
      <c r="PJ28">
        <v>1.0069999999999999</v>
      </c>
      <c r="PK28">
        <v>680</v>
      </c>
      <c r="PN28" t="s">
        <v>48</v>
      </c>
      <c r="PO28">
        <v>7.3159999999999998</v>
      </c>
      <c r="PP28">
        <v>0.39700000000000002</v>
      </c>
      <c r="PQ28">
        <v>6.5359999999999996</v>
      </c>
      <c r="PR28">
        <v>7.0540000000000003</v>
      </c>
      <c r="PS28">
        <v>7.3049999999999997</v>
      </c>
      <c r="PT28">
        <v>7.58</v>
      </c>
      <c r="PU28">
        <v>8.0990000000000002</v>
      </c>
      <c r="PV28">
        <v>1.0009999999999999</v>
      </c>
      <c r="PW28">
        <v>2500</v>
      </c>
      <c r="QA28" t="s">
        <v>48</v>
      </c>
      <c r="QB28">
        <v>5.9020000000000001</v>
      </c>
      <c r="QC28">
        <v>0.20799999999999999</v>
      </c>
      <c r="QD28">
        <v>5.4359999999999999</v>
      </c>
      <c r="QE28">
        <v>5.7709999999999999</v>
      </c>
      <c r="QF28">
        <v>5.9169999999999998</v>
      </c>
      <c r="QG28">
        <v>6.0529999999999999</v>
      </c>
      <c r="QH28">
        <v>6.2489999999999997</v>
      </c>
      <c r="QI28">
        <v>1.004</v>
      </c>
      <c r="QJ28">
        <v>1400</v>
      </c>
      <c r="QL28">
        <f t="shared" si="2"/>
        <v>1.4139999999999997</v>
      </c>
    </row>
    <row r="29" spans="1:454">
      <c r="A29" t="s">
        <v>49</v>
      </c>
      <c r="B29">
        <v>6.82</v>
      </c>
      <c r="C29">
        <v>0.96</v>
      </c>
      <c r="D29">
        <v>4.9029999999999996</v>
      </c>
      <c r="E29">
        <v>6.1849999999999996</v>
      </c>
      <c r="F29">
        <v>6.8730000000000002</v>
      </c>
      <c r="G29">
        <v>7.4710000000000001</v>
      </c>
      <c r="H29">
        <v>8.5399999999999991</v>
      </c>
      <c r="I29">
        <v>1.016</v>
      </c>
      <c r="J29">
        <v>380</v>
      </c>
      <c r="O29" t="s">
        <v>49</v>
      </c>
      <c r="P29">
        <v>5.2469999999999999</v>
      </c>
      <c r="Q29">
        <v>1.4039999999999999</v>
      </c>
      <c r="R29">
        <v>2.0499999999999998</v>
      </c>
      <c r="S29">
        <v>4.3029999999999999</v>
      </c>
      <c r="T29">
        <v>5.4640000000000004</v>
      </c>
      <c r="U29">
        <v>6.3490000000000002</v>
      </c>
      <c r="V29">
        <v>7.26</v>
      </c>
      <c r="W29">
        <v>1.01</v>
      </c>
      <c r="X29">
        <v>600</v>
      </c>
      <c r="AC29" t="s">
        <v>49</v>
      </c>
      <c r="AD29">
        <v>6.7110000000000003</v>
      </c>
      <c r="AE29">
        <v>0.48099999999999998</v>
      </c>
      <c r="AF29">
        <v>5.5910000000000002</v>
      </c>
      <c r="AG29">
        <v>6.41</v>
      </c>
      <c r="AH29">
        <v>6.798</v>
      </c>
      <c r="AI29">
        <v>7.0979999999999999</v>
      </c>
      <c r="AJ29">
        <v>7.3529999999999998</v>
      </c>
      <c r="AK29">
        <v>1.0029999999999999</v>
      </c>
      <c r="AL29">
        <v>970</v>
      </c>
      <c r="AQ29" t="s">
        <v>49</v>
      </c>
      <c r="AR29">
        <v>6.7009999999999996</v>
      </c>
      <c r="AS29">
        <v>0.48399999999999999</v>
      </c>
      <c r="AT29">
        <v>5.5860000000000003</v>
      </c>
      <c r="AU29">
        <v>6.4020000000000001</v>
      </c>
      <c r="AV29">
        <v>6.7889999999999997</v>
      </c>
      <c r="AW29">
        <v>7.1029999999999998</v>
      </c>
      <c r="AX29">
        <v>7.3490000000000002</v>
      </c>
      <c r="AY29">
        <v>1.0009999999999999</v>
      </c>
      <c r="AZ29">
        <v>3000</v>
      </c>
      <c r="BE29" t="s">
        <v>49</v>
      </c>
      <c r="BF29">
        <v>6.8179999999999996</v>
      </c>
      <c r="BG29">
        <v>0.41599999999999998</v>
      </c>
      <c r="BH29">
        <v>5.8380000000000001</v>
      </c>
      <c r="BI29">
        <v>6.585</v>
      </c>
      <c r="BJ29">
        <v>6.9020000000000001</v>
      </c>
      <c r="BK29">
        <v>7.1449999999999996</v>
      </c>
      <c r="BL29">
        <v>7.3529999999999998</v>
      </c>
      <c r="BM29">
        <v>1.006</v>
      </c>
      <c r="BN29">
        <v>520</v>
      </c>
      <c r="BS29" t="s">
        <v>49</v>
      </c>
      <c r="BT29">
        <v>6.7089999999999996</v>
      </c>
      <c r="BU29">
        <v>0.47899999999999998</v>
      </c>
      <c r="BV29">
        <v>5.6319999999999997</v>
      </c>
      <c r="BW29">
        <v>6.4160000000000004</v>
      </c>
      <c r="BX29">
        <v>6.7969999999999997</v>
      </c>
      <c r="BY29">
        <v>7.0880000000000001</v>
      </c>
      <c r="BZ29">
        <v>7.3520000000000003</v>
      </c>
      <c r="CA29">
        <v>1.0009999999999999</v>
      </c>
      <c r="CB29">
        <v>3000</v>
      </c>
      <c r="CG29" t="s">
        <v>49</v>
      </c>
      <c r="CH29">
        <v>6.7990000000000004</v>
      </c>
      <c r="CI29">
        <v>0.41899999999999998</v>
      </c>
      <c r="CJ29">
        <v>5.835</v>
      </c>
      <c r="CK29">
        <v>6.5519999999999996</v>
      </c>
      <c r="CL29">
        <v>6.8689999999999998</v>
      </c>
      <c r="CM29">
        <v>7.1360000000000001</v>
      </c>
      <c r="CN29">
        <v>7.3540000000000001</v>
      </c>
      <c r="CO29">
        <v>1.0009999999999999</v>
      </c>
      <c r="CP29">
        <v>3000</v>
      </c>
      <c r="CU29" t="s">
        <v>49</v>
      </c>
      <c r="CV29">
        <v>6.7530000000000001</v>
      </c>
      <c r="CW29">
        <v>0.436</v>
      </c>
      <c r="CX29">
        <v>5.72</v>
      </c>
      <c r="CY29">
        <v>6.4809999999999999</v>
      </c>
      <c r="CZ29">
        <v>6.8220000000000001</v>
      </c>
      <c r="DA29">
        <v>7.0949999999999998</v>
      </c>
      <c r="DB29">
        <v>7.3479999999999999</v>
      </c>
      <c r="DC29">
        <v>1.0069999999999999</v>
      </c>
      <c r="DD29">
        <v>470</v>
      </c>
      <c r="DI29" t="s">
        <v>49</v>
      </c>
      <c r="DJ29">
        <v>6.72</v>
      </c>
      <c r="DK29">
        <v>0.47299999999999998</v>
      </c>
      <c r="DL29">
        <v>5.585</v>
      </c>
      <c r="DM29">
        <v>6.44</v>
      </c>
      <c r="DN29">
        <v>6.7969999999999997</v>
      </c>
      <c r="DO29">
        <v>7.1020000000000003</v>
      </c>
      <c r="DP29">
        <v>7.3529999999999998</v>
      </c>
      <c r="DQ29">
        <v>1.002</v>
      </c>
      <c r="DR29">
        <v>1400</v>
      </c>
      <c r="DY29" t="s">
        <v>49</v>
      </c>
      <c r="DZ29">
        <v>6.7119999999999997</v>
      </c>
      <c r="EA29">
        <v>0.48</v>
      </c>
      <c r="EB29">
        <v>5.5830000000000002</v>
      </c>
      <c r="EC29">
        <v>6.423</v>
      </c>
      <c r="ED29">
        <v>6.8019999999999996</v>
      </c>
      <c r="EE29">
        <v>7.0979999999999999</v>
      </c>
      <c r="EF29">
        <v>7.35</v>
      </c>
      <c r="EG29">
        <v>1.002</v>
      </c>
      <c r="EH29">
        <v>1600</v>
      </c>
      <c r="EK29" t="s">
        <v>49</v>
      </c>
      <c r="EL29">
        <v>6.4390000000000001</v>
      </c>
      <c r="EM29">
        <v>0.55600000000000005</v>
      </c>
      <c r="EN29">
        <v>5.266</v>
      </c>
      <c r="EO29">
        <v>6.05</v>
      </c>
      <c r="EP29">
        <v>6.4539999999999997</v>
      </c>
      <c r="EQ29">
        <v>6.8879999999999999</v>
      </c>
      <c r="ER29">
        <v>7.3310000000000004</v>
      </c>
      <c r="ES29">
        <v>1.002</v>
      </c>
      <c r="ET29">
        <v>1200</v>
      </c>
      <c r="EY29" t="s">
        <v>49</v>
      </c>
      <c r="EZ29">
        <v>6.6680000000000001</v>
      </c>
      <c r="FA29">
        <v>0.51600000000000001</v>
      </c>
      <c r="FB29">
        <v>5.4359999999999999</v>
      </c>
      <c r="FC29">
        <v>6.3559999999999999</v>
      </c>
      <c r="FD29">
        <v>6.7649999999999997</v>
      </c>
      <c r="FE29">
        <v>7.077</v>
      </c>
      <c r="FF29">
        <v>7.3470000000000004</v>
      </c>
      <c r="FG29">
        <v>1.0009999999999999</v>
      </c>
      <c r="FH29">
        <v>3000</v>
      </c>
      <c r="GA29" t="s">
        <v>49</v>
      </c>
      <c r="GB29">
        <v>7.008</v>
      </c>
      <c r="GC29">
        <v>0.28799999999999998</v>
      </c>
      <c r="GD29">
        <v>6.327</v>
      </c>
      <c r="GE29">
        <v>6.835</v>
      </c>
      <c r="GF29">
        <v>7.0640000000000001</v>
      </c>
      <c r="GG29">
        <v>7.2469999999999999</v>
      </c>
      <c r="GH29">
        <v>7.3659999999999997</v>
      </c>
      <c r="GI29">
        <v>1.0009999999999999</v>
      </c>
      <c r="GJ29">
        <v>2200</v>
      </c>
      <c r="GO29" t="s">
        <v>49</v>
      </c>
      <c r="GP29">
        <v>6.6669999999999998</v>
      </c>
      <c r="GQ29">
        <v>0.50900000000000001</v>
      </c>
      <c r="GR29">
        <v>5.4980000000000002</v>
      </c>
      <c r="GS29">
        <v>6.3650000000000002</v>
      </c>
      <c r="GT29">
        <v>6.7489999999999997</v>
      </c>
      <c r="GU29">
        <v>7.0730000000000004</v>
      </c>
      <c r="GV29">
        <v>7.3540000000000001</v>
      </c>
      <c r="GW29">
        <v>1.004</v>
      </c>
      <c r="GX29">
        <v>810</v>
      </c>
      <c r="HC29" t="s">
        <v>49</v>
      </c>
      <c r="HD29">
        <v>6.6520000000000001</v>
      </c>
      <c r="HE29">
        <v>0.51800000000000002</v>
      </c>
      <c r="HF29">
        <v>5.44</v>
      </c>
      <c r="HG29">
        <v>6.3360000000000003</v>
      </c>
      <c r="HH29">
        <v>6.742</v>
      </c>
      <c r="HI29">
        <v>7.0629999999999997</v>
      </c>
      <c r="HJ29">
        <v>7.3470000000000004</v>
      </c>
      <c r="HK29">
        <v>1.0009999999999999</v>
      </c>
      <c r="HL29">
        <v>3000</v>
      </c>
      <c r="HP29" s="7"/>
      <c r="HQ29" s="7" t="s">
        <v>49</v>
      </c>
      <c r="HR29" s="7">
        <v>6.3520000000000003</v>
      </c>
      <c r="HS29" s="7">
        <v>0.62</v>
      </c>
      <c r="HT29" s="7">
        <v>5.0869999999999997</v>
      </c>
      <c r="HU29" s="7">
        <v>5.9290000000000003</v>
      </c>
      <c r="HV29" s="7">
        <v>6.4059999999999997</v>
      </c>
      <c r="HW29" s="7">
        <v>6.8449999999999998</v>
      </c>
      <c r="HX29" s="7">
        <v>7.3140000000000001</v>
      </c>
      <c r="HY29" s="7">
        <v>1.0009999999999999</v>
      </c>
      <c r="HZ29" s="7">
        <v>2900</v>
      </c>
      <c r="IA29" s="7"/>
      <c r="IE29" t="s">
        <v>49</v>
      </c>
      <c r="IF29">
        <v>7.04</v>
      </c>
      <c r="IG29">
        <v>0.26200000000000001</v>
      </c>
      <c r="IH29">
        <v>6.3970000000000002</v>
      </c>
      <c r="II29">
        <v>6.89</v>
      </c>
      <c r="IJ29">
        <v>7.1050000000000004</v>
      </c>
      <c r="IK29">
        <v>7.242</v>
      </c>
      <c r="IL29">
        <v>7.3659999999999997</v>
      </c>
      <c r="IM29">
        <v>1.002</v>
      </c>
      <c r="IN29">
        <v>2000</v>
      </c>
      <c r="IS29" t="s">
        <v>49</v>
      </c>
      <c r="IT29">
        <v>7.02</v>
      </c>
      <c r="IU29">
        <v>0.27700000000000002</v>
      </c>
      <c r="IV29">
        <v>6.3579999999999997</v>
      </c>
      <c r="IW29">
        <v>6.8559999999999999</v>
      </c>
      <c r="IX29">
        <v>7.08</v>
      </c>
      <c r="IY29">
        <v>7.2430000000000003</v>
      </c>
      <c r="IZ29">
        <v>7.3680000000000003</v>
      </c>
      <c r="JA29">
        <v>1.0009999999999999</v>
      </c>
      <c r="JB29">
        <v>3000</v>
      </c>
      <c r="JF29" t="s">
        <v>49</v>
      </c>
      <c r="JG29">
        <v>6.5910000000000002</v>
      </c>
      <c r="JH29">
        <v>0.501</v>
      </c>
      <c r="JI29">
        <v>5.492</v>
      </c>
      <c r="JJ29">
        <v>6.2489999999999997</v>
      </c>
      <c r="JK29">
        <v>6.6580000000000004</v>
      </c>
      <c r="JL29">
        <v>6.9829999999999997</v>
      </c>
      <c r="JM29">
        <v>7.335</v>
      </c>
      <c r="JN29">
        <v>1.002</v>
      </c>
      <c r="JO29">
        <v>1700</v>
      </c>
      <c r="JT29" t="s">
        <v>49</v>
      </c>
      <c r="JU29">
        <v>6.5919999999999996</v>
      </c>
      <c r="JV29">
        <v>0.504</v>
      </c>
      <c r="JW29">
        <v>5.4729999999999999</v>
      </c>
      <c r="JX29">
        <v>6.2690000000000001</v>
      </c>
      <c r="JY29">
        <v>6.6420000000000003</v>
      </c>
      <c r="JZ29">
        <v>6.99</v>
      </c>
      <c r="KA29">
        <v>7.3390000000000004</v>
      </c>
      <c r="KB29">
        <v>1.0009999999999999</v>
      </c>
      <c r="KC29">
        <v>3000</v>
      </c>
      <c r="KH29" t="s">
        <v>49</v>
      </c>
      <c r="KI29">
        <v>6.5519999999999996</v>
      </c>
      <c r="KJ29">
        <v>0.52300000000000002</v>
      </c>
      <c r="KK29">
        <v>5.4119999999999999</v>
      </c>
      <c r="KL29">
        <v>6.1989999999999998</v>
      </c>
      <c r="KM29">
        <v>6.609</v>
      </c>
      <c r="KN29">
        <v>6.98</v>
      </c>
      <c r="KO29">
        <v>7.3310000000000004</v>
      </c>
      <c r="KP29">
        <v>1.0009999999999999</v>
      </c>
      <c r="KQ29">
        <v>3000</v>
      </c>
      <c r="KR29">
        <f t="shared" si="0"/>
        <v>700.64406158465636</v>
      </c>
      <c r="KS29">
        <f t="shared" si="1"/>
        <v>1988.9300201368605</v>
      </c>
      <c r="KV29" t="s">
        <v>49</v>
      </c>
      <c r="KW29">
        <v>6.5880000000000001</v>
      </c>
      <c r="KX29">
        <v>0.36099999999999999</v>
      </c>
      <c r="KY29">
        <v>5.891</v>
      </c>
      <c r="KZ29">
        <v>6.3369999999999997</v>
      </c>
      <c r="LA29">
        <v>6.585</v>
      </c>
      <c r="LB29">
        <v>6.8440000000000003</v>
      </c>
      <c r="LC29">
        <v>7.2679999999999998</v>
      </c>
      <c r="LD29">
        <v>1.006</v>
      </c>
      <c r="LE29">
        <v>380</v>
      </c>
      <c r="LJ29" t="s">
        <v>49</v>
      </c>
      <c r="LK29">
        <v>5.96</v>
      </c>
      <c r="LL29">
        <v>0.25800000000000001</v>
      </c>
      <c r="LM29">
        <v>5.5010000000000003</v>
      </c>
      <c r="LN29">
        <v>5.7809999999999997</v>
      </c>
      <c r="LO29">
        <v>5.9470000000000001</v>
      </c>
      <c r="LP29">
        <v>6.12</v>
      </c>
      <c r="LQ29">
        <v>6.4960000000000004</v>
      </c>
      <c r="LR29">
        <v>1.0029999999999999</v>
      </c>
      <c r="LS29">
        <v>720</v>
      </c>
      <c r="LX29" t="s">
        <v>49</v>
      </c>
      <c r="LY29">
        <v>2.5219999999999998</v>
      </c>
      <c r="LZ29">
        <v>0.82499999999999996</v>
      </c>
      <c r="MA29">
        <v>0.89500000000000002</v>
      </c>
      <c r="MB29">
        <v>1.956</v>
      </c>
      <c r="MC29">
        <v>2.5630000000000002</v>
      </c>
      <c r="MD29">
        <v>3.0960000000000001</v>
      </c>
      <c r="ME29">
        <v>4.0469999999999997</v>
      </c>
      <c r="MF29">
        <v>1.0900000000000001</v>
      </c>
      <c r="MG29">
        <v>27</v>
      </c>
      <c r="ML29" t="s">
        <v>49</v>
      </c>
      <c r="MM29">
        <v>6.8140000000000001</v>
      </c>
      <c r="MN29">
        <v>0.30599999999999999</v>
      </c>
      <c r="MO29">
        <v>6.18</v>
      </c>
      <c r="MP29">
        <v>6.601</v>
      </c>
      <c r="MQ29">
        <v>6.8339999999999996</v>
      </c>
      <c r="MR29">
        <v>7.0540000000000003</v>
      </c>
      <c r="MS29">
        <v>7.3090000000000002</v>
      </c>
      <c r="MT29">
        <v>1.002</v>
      </c>
      <c r="MU29">
        <v>3700</v>
      </c>
      <c r="MZ29" t="s">
        <v>49</v>
      </c>
      <c r="NA29">
        <v>6.87</v>
      </c>
      <c r="NB29">
        <v>0.27900000000000003</v>
      </c>
      <c r="NC29">
        <v>6.2889999999999997</v>
      </c>
      <c r="ND29">
        <v>6.6740000000000004</v>
      </c>
      <c r="NE29">
        <v>6.89</v>
      </c>
      <c r="NF29">
        <v>7.0880000000000001</v>
      </c>
      <c r="NG29">
        <v>7.3239999999999998</v>
      </c>
      <c r="NH29">
        <v>1.002</v>
      </c>
      <c r="NI29">
        <v>1100</v>
      </c>
      <c r="NM29" t="s">
        <v>49</v>
      </c>
      <c r="NN29">
        <v>6.9219999999999997</v>
      </c>
      <c r="NO29">
        <v>0.255</v>
      </c>
      <c r="NP29">
        <v>6.4420000000000002</v>
      </c>
      <c r="NQ29">
        <v>6.7329999999999997</v>
      </c>
      <c r="NR29">
        <v>6.9210000000000003</v>
      </c>
      <c r="NS29">
        <v>7.1159999999999997</v>
      </c>
      <c r="NT29">
        <v>7.3789999999999996</v>
      </c>
      <c r="NU29">
        <v>1.0009999999999999</v>
      </c>
      <c r="NV29">
        <v>6600</v>
      </c>
      <c r="NY29" t="s">
        <v>49</v>
      </c>
      <c r="NZ29">
        <v>6.7809999999999997</v>
      </c>
      <c r="OA29">
        <v>0.27</v>
      </c>
      <c r="OB29">
        <v>6.3140000000000001</v>
      </c>
      <c r="OC29">
        <v>6.5810000000000004</v>
      </c>
      <c r="OD29">
        <v>6.7560000000000002</v>
      </c>
      <c r="OE29">
        <v>6.9660000000000002</v>
      </c>
      <c r="OF29">
        <v>7.34</v>
      </c>
      <c r="OG29">
        <v>1.0009999999999999</v>
      </c>
      <c r="OH29">
        <v>6100</v>
      </c>
      <c r="OP29" t="s">
        <v>49</v>
      </c>
      <c r="OQ29">
        <v>7.0039999999999996</v>
      </c>
      <c r="OR29">
        <v>0.23899999999999999</v>
      </c>
      <c r="OS29">
        <v>6.4930000000000003</v>
      </c>
      <c r="OT29">
        <v>6.8369999999999997</v>
      </c>
      <c r="OU29">
        <v>7.0380000000000003</v>
      </c>
      <c r="OV29">
        <v>7.1959999999999997</v>
      </c>
      <c r="OW29">
        <v>7.3570000000000002</v>
      </c>
      <c r="OX29">
        <v>1.0189999999999999</v>
      </c>
      <c r="OY29">
        <v>130</v>
      </c>
      <c r="PB29" t="s">
        <v>49</v>
      </c>
      <c r="PC29">
        <v>7.1440000000000001</v>
      </c>
      <c r="PD29">
        <v>0.17199999999999999</v>
      </c>
      <c r="PE29">
        <v>6.7409999999999997</v>
      </c>
      <c r="PF29">
        <v>7.0359999999999996</v>
      </c>
      <c r="PG29">
        <v>7.1760000000000002</v>
      </c>
      <c r="PH29">
        <v>7.282</v>
      </c>
      <c r="PI29">
        <v>7.3710000000000004</v>
      </c>
      <c r="PJ29">
        <v>1.0089999999999999</v>
      </c>
      <c r="PK29">
        <v>290</v>
      </c>
      <c r="PN29" t="s">
        <v>49</v>
      </c>
      <c r="PO29">
        <v>7.0830000000000002</v>
      </c>
      <c r="PP29">
        <v>0.252</v>
      </c>
      <c r="PQ29">
        <v>6.5750000000000002</v>
      </c>
      <c r="PR29">
        <v>6.9180000000000001</v>
      </c>
      <c r="PS29">
        <v>7.085</v>
      </c>
      <c r="PT29">
        <v>7.2510000000000003</v>
      </c>
      <c r="PU29">
        <v>7.5720000000000001</v>
      </c>
      <c r="PV29">
        <v>1.002</v>
      </c>
      <c r="PW29">
        <v>1000</v>
      </c>
      <c r="QA29" t="s">
        <v>49</v>
      </c>
      <c r="QB29">
        <v>6.4640000000000004</v>
      </c>
      <c r="QC29">
        <v>0.153</v>
      </c>
      <c r="QD29">
        <v>6.1589999999999998</v>
      </c>
      <c r="QE29">
        <v>6.3570000000000002</v>
      </c>
      <c r="QF29">
        <v>6.4809999999999999</v>
      </c>
      <c r="QG29">
        <v>6.5780000000000003</v>
      </c>
      <c r="QH29">
        <v>6.7249999999999996</v>
      </c>
      <c r="QI29">
        <v>1.107</v>
      </c>
      <c r="QJ29">
        <v>24</v>
      </c>
      <c r="QL29">
        <f t="shared" si="2"/>
        <v>0.61899999999999977</v>
      </c>
    </row>
    <row r="30" spans="1:454">
      <c r="A30" t="s">
        <v>50</v>
      </c>
      <c r="B30">
        <v>6.1310000000000002</v>
      </c>
      <c r="C30">
        <v>1.07</v>
      </c>
      <c r="D30">
        <v>4.0839999999999996</v>
      </c>
      <c r="E30">
        <v>5.3760000000000003</v>
      </c>
      <c r="F30">
        <v>6.1139999999999999</v>
      </c>
      <c r="G30">
        <v>6.8360000000000003</v>
      </c>
      <c r="H30">
        <v>8.3130000000000006</v>
      </c>
      <c r="I30">
        <v>1.2310000000000001</v>
      </c>
      <c r="J30">
        <v>13</v>
      </c>
      <c r="O30" t="s">
        <v>50</v>
      </c>
      <c r="P30">
        <v>5.69</v>
      </c>
      <c r="Q30">
        <v>1.393</v>
      </c>
      <c r="R30">
        <v>2.2130000000000001</v>
      </c>
      <c r="S30">
        <v>4.9210000000000003</v>
      </c>
      <c r="T30">
        <v>6.0359999999999996</v>
      </c>
      <c r="U30">
        <v>6.798</v>
      </c>
      <c r="V30">
        <v>7.34</v>
      </c>
      <c r="W30">
        <v>1.0109999999999999</v>
      </c>
      <c r="X30">
        <v>1100</v>
      </c>
      <c r="AC30" t="s">
        <v>50</v>
      </c>
      <c r="AD30">
        <v>7.1</v>
      </c>
      <c r="AE30">
        <v>0.246</v>
      </c>
      <c r="AF30">
        <v>6.4550000000000001</v>
      </c>
      <c r="AG30">
        <v>6.9790000000000001</v>
      </c>
      <c r="AH30">
        <v>7.1669999999999998</v>
      </c>
      <c r="AI30">
        <v>7.2880000000000003</v>
      </c>
      <c r="AJ30">
        <v>7.3730000000000002</v>
      </c>
      <c r="AK30">
        <v>1.0009999999999999</v>
      </c>
      <c r="AL30">
        <v>3000</v>
      </c>
      <c r="AQ30" t="s">
        <v>50</v>
      </c>
      <c r="AR30">
        <v>7.0970000000000004</v>
      </c>
      <c r="AS30">
        <v>0.247</v>
      </c>
      <c r="AT30">
        <v>6.4859999999999998</v>
      </c>
      <c r="AU30">
        <v>6.9669999999999996</v>
      </c>
      <c r="AV30">
        <v>7.1660000000000004</v>
      </c>
      <c r="AW30">
        <v>7.29</v>
      </c>
      <c r="AX30">
        <v>7.3719999999999999</v>
      </c>
      <c r="AY30">
        <v>1.002</v>
      </c>
      <c r="AZ30">
        <v>1600</v>
      </c>
      <c r="BE30" t="s">
        <v>50</v>
      </c>
      <c r="BF30">
        <v>7.11</v>
      </c>
      <c r="BG30">
        <v>0.23599999999999999</v>
      </c>
      <c r="BH30">
        <v>6.5149999999999997</v>
      </c>
      <c r="BI30">
        <v>6.9989999999999997</v>
      </c>
      <c r="BJ30">
        <v>7.18</v>
      </c>
      <c r="BK30">
        <v>7.2880000000000003</v>
      </c>
      <c r="BL30">
        <v>7.3719999999999999</v>
      </c>
      <c r="BM30">
        <v>1.0009999999999999</v>
      </c>
      <c r="BN30">
        <v>3000</v>
      </c>
      <c r="BS30" t="s">
        <v>50</v>
      </c>
      <c r="BT30">
        <v>7.0880000000000001</v>
      </c>
      <c r="BU30">
        <v>0.254</v>
      </c>
      <c r="BV30">
        <v>6.4530000000000003</v>
      </c>
      <c r="BW30">
        <v>6.9530000000000003</v>
      </c>
      <c r="BX30">
        <v>7.1539999999999999</v>
      </c>
      <c r="BY30">
        <v>7.2880000000000003</v>
      </c>
      <c r="BZ30">
        <v>7.37</v>
      </c>
      <c r="CA30">
        <v>1.0029999999999999</v>
      </c>
      <c r="CB30">
        <v>1700</v>
      </c>
      <c r="CG30" t="s">
        <v>50</v>
      </c>
      <c r="CH30">
        <v>7.1040000000000001</v>
      </c>
      <c r="CI30">
        <v>0.23899999999999999</v>
      </c>
      <c r="CJ30">
        <v>6.4980000000000002</v>
      </c>
      <c r="CK30">
        <v>6.9859999999999998</v>
      </c>
      <c r="CL30">
        <v>7.17</v>
      </c>
      <c r="CM30">
        <v>7.2859999999999996</v>
      </c>
      <c r="CN30">
        <v>7.3739999999999997</v>
      </c>
      <c r="CO30">
        <v>1.004</v>
      </c>
      <c r="CP30">
        <v>820</v>
      </c>
      <c r="CU30" t="s">
        <v>50</v>
      </c>
      <c r="CV30">
        <v>7.1029999999999998</v>
      </c>
      <c r="CW30">
        <v>0.24</v>
      </c>
      <c r="CX30">
        <v>6.5090000000000003</v>
      </c>
      <c r="CY30">
        <v>6.9729999999999999</v>
      </c>
      <c r="CZ30">
        <v>7.1639999999999997</v>
      </c>
      <c r="DA30">
        <v>7.29</v>
      </c>
      <c r="DB30">
        <v>7.3739999999999997</v>
      </c>
      <c r="DC30">
        <v>1.0009999999999999</v>
      </c>
      <c r="DD30">
        <v>3000</v>
      </c>
      <c r="DI30" t="s">
        <v>50</v>
      </c>
      <c r="DJ30">
        <v>7.1029999999999998</v>
      </c>
      <c r="DK30">
        <v>0.24399999999999999</v>
      </c>
      <c r="DL30">
        <v>6.4790000000000001</v>
      </c>
      <c r="DM30">
        <v>6.9859999999999998</v>
      </c>
      <c r="DN30">
        <v>7.1689999999999996</v>
      </c>
      <c r="DO30">
        <v>7.2910000000000004</v>
      </c>
      <c r="DP30">
        <v>7.3710000000000004</v>
      </c>
      <c r="DQ30">
        <v>1.0009999999999999</v>
      </c>
      <c r="DR30">
        <v>3000</v>
      </c>
      <c r="DY30" t="s">
        <v>50</v>
      </c>
      <c r="DZ30">
        <v>7.0970000000000004</v>
      </c>
      <c r="EA30">
        <v>0.247</v>
      </c>
      <c r="EB30">
        <v>6.4669999999999996</v>
      </c>
      <c r="EC30">
        <v>6.9829999999999997</v>
      </c>
      <c r="ED30">
        <v>7.1639999999999997</v>
      </c>
      <c r="EE30">
        <v>7.2789999999999999</v>
      </c>
      <c r="EF30">
        <v>7.3710000000000004</v>
      </c>
      <c r="EG30">
        <v>1.0009999999999999</v>
      </c>
      <c r="EH30">
        <v>3000</v>
      </c>
      <c r="EK30" t="s">
        <v>50</v>
      </c>
      <c r="EL30">
        <v>7.109</v>
      </c>
      <c r="EM30">
        <v>0.23799999999999999</v>
      </c>
      <c r="EN30">
        <v>6.4829999999999997</v>
      </c>
      <c r="EO30">
        <v>6.9889999999999999</v>
      </c>
      <c r="EP30">
        <v>7.18</v>
      </c>
      <c r="EQ30">
        <v>7.2919999999999998</v>
      </c>
      <c r="ER30">
        <v>7.3739999999999997</v>
      </c>
      <c r="ES30">
        <v>1.004</v>
      </c>
      <c r="ET30">
        <v>1100</v>
      </c>
      <c r="EY30" t="s">
        <v>50</v>
      </c>
      <c r="EZ30">
        <v>6.9820000000000002</v>
      </c>
      <c r="FA30">
        <v>0.32400000000000001</v>
      </c>
      <c r="FB30">
        <v>6.1820000000000004</v>
      </c>
      <c r="FC30">
        <v>6.8049999999999997</v>
      </c>
      <c r="FD30">
        <v>7.0590000000000002</v>
      </c>
      <c r="FE30">
        <v>7.234</v>
      </c>
      <c r="FF30">
        <v>7.3680000000000003</v>
      </c>
      <c r="FG30">
        <v>1.002</v>
      </c>
      <c r="FH30">
        <v>1100</v>
      </c>
      <c r="FM30" t="s">
        <v>144</v>
      </c>
      <c r="FN30" t="s">
        <v>14</v>
      </c>
      <c r="FO30" t="s">
        <v>145</v>
      </c>
      <c r="FP30" t="s">
        <v>26</v>
      </c>
      <c r="FQ30" t="s">
        <v>146</v>
      </c>
      <c r="FR30" t="s">
        <v>147</v>
      </c>
      <c r="FS30" t="s">
        <v>148</v>
      </c>
      <c r="FT30" t="s">
        <v>149</v>
      </c>
      <c r="FU30" t="s">
        <v>150</v>
      </c>
      <c r="FV30" t="s">
        <v>151</v>
      </c>
      <c r="FW30" t="s">
        <v>152</v>
      </c>
      <c r="FX30" t="s">
        <v>153</v>
      </c>
      <c r="GA30" t="s">
        <v>50</v>
      </c>
      <c r="GB30">
        <v>7.0970000000000004</v>
      </c>
      <c r="GC30">
        <v>0.23899999999999999</v>
      </c>
      <c r="GD30">
        <v>6.508</v>
      </c>
      <c r="GE30">
        <v>6.9720000000000004</v>
      </c>
      <c r="GF30">
        <v>7.1589999999999998</v>
      </c>
      <c r="GG30">
        <v>7.2830000000000004</v>
      </c>
      <c r="GH30">
        <v>7.3719999999999999</v>
      </c>
      <c r="GI30">
        <v>1.0009999999999999</v>
      </c>
      <c r="GJ30">
        <v>3000</v>
      </c>
      <c r="GO30" t="s">
        <v>50</v>
      </c>
      <c r="GP30">
        <v>6.9690000000000003</v>
      </c>
      <c r="GQ30">
        <v>0.32700000000000001</v>
      </c>
      <c r="GR30">
        <v>6.1550000000000002</v>
      </c>
      <c r="GS30">
        <v>6.7930000000000001</v>
      </c>
      <c r="GT30">
        <v>7.04</v>
      </c>
      <c r="GU30">
        <v>7.2270000000000003</v>
      </c>
      <c r="GV30">
        <v>7.3659999999999997</v>
      </c>
      <c r="GW30">
        <v>1.0029999999999999</v>
      </c>
      <c r="GX30">
        <v>1800</v>
      </c>
      <c r="HC30" t="s">
        <v>50</v>
      </c>
      <c r="HD30">
        <v>6.9809999999999999</v>
      </c>
      <c r="HE30">
        <v>0.32900000000000001</v>
      </c>
      <c r="HF30">
        <v>6.1440000000000001</v>
      </c>
      <c r="HG30">
        <v>6.806</v>
      </c>
      <c r="HH30">
        <v>7.06</v>
      </c>
      <c r="HI30">
        <v>7.2370000000000001</v>
      </c>
      <c r="HJ30">
        <v>7.3659999999999997</v>
      </c>
      <c r="HK30">
        <v>1.0009999999999999</v>
      </c>
      <c r="HL30">
        <v>3000</v>
      </c>
      <c r="HP30" s="7"/>
      <c r="HQ30" s="7" t="s">
        <v>50</v>
      </c>
      <c r="HR30" s="7">
        <v>7.1319999999999997</v>
      </c>
      <c r="HS30" s="7">
        <v>0.21299999999999999</v>
      </c>
      <c r="HT30" s="7">
        <v>6.5819999999999999</v>
      </c>
      <c r="HU30" s="7">
        <v>7.0209999999999999</v>
      </c>
      <c r="HV30" s="7">
        <v>7.1920000000000002</v>
      </c>
      <c r="HW30" s="7">
        <v>7.298</v>
      </c>
      <c r="HX30" s="7">
        <v>7.3730000000000002</v>
      </c>
      <c r="HY30" s="7">
        <v>1.0009999999999999</v>
      </c>
      <c r="HZ30" s="7">
        <v>3000</v>
      </c>
      <c r="IA30" s="7"/>
      <c r="IE30" t="s">
        <v>50</v>
      </c>
      <c r="IF30">
        <v>7.1150000000000002</v>
      </c>
      <c r="IG30">
        <v>0.218</v>
      </c>
      <c r="IH30">
        <v>6.56</v>
      </c>
      <c r="II30">
        <v>6.9989999999999997</v>
      </c>
      <c r="IJ30">
        <v>7.1689999999999996</v>
      </c>
      <c r="IK30">
        <v>7.2839999999999998</v>
      </c>
      <c r="IL30">
        <v>7.3710000000000004</v>
      </c>
      <c r="IM30">
        <v>1.0009999999999999</v>
      </c>
      <c r="IN30">
        <v>2300</v>
      </c>
      <c r="IS30" t="s">
        <v>50</v>
      </c>
      <c r="IT30">
        <v>7.1319999999999997</v>
      </c>
      <c r="IU30">
        <v>0.20599999999999999</v>
      </c>
      <c r="IV30">
        <v>6.6130000000000004</v>
      </c>
      <c r="IW30">
        <v>7.0259999999999998</v>
      </c>
      <c r="IX30">
        <v>7.1840000000000002</v>
      </c>
      <c r="IY30">
        <v>7.2949999999999999</v>
      </c>
      <c r="IZ30">
        <v>7.3739999999999997</v>
      </c>
      <c r="JA30">
        <v>1.0009999999999999</v>
      </c>
      <c r="JB30">
        <v>3000</v>
      </c>
      <c r="JF30" t="s">
        <v>50</v>
      </c>
      <c r="JG30">
        <v>7.1340000000000003</v>
      </c>
      <c r="JH30">
        <v>0.21099999999999999</v>
      </c>
      <c r="JI30">
        <v>6.5979999999999999</v>
      </c>
      <c r="JJ30">
        <v>7.0250000000000004</v>
      </c>
      <c r="JK30">
        <v>7.19</v>
      </c>
      <c r="JL30">
        <v>7.2969999999999997</v>
      </c>
      <c r="JM30">
        <v>7.3710000000000004</v>
      </c>
      <c r="JN30">
        <v>1.0009999999999999</v>
      </c>
      <c r="JO30">
        <v>3000</v>
      </c>
      <c r="JT30" t="s">
        <v>50</v>
      </c>
      <c r="JU30">
        <v>7.117</v>
      </c>
      <c r="JV30">
        <v>0.224</v>
      </c>
      <c r="JW30">
        <v>6.5389999999999997</v>
      </c>
      <c r="JX30">
        <v>7.0039999999999996</v>
      </c>
      <c r="JY30">
        <v>7.1790000000000003</v>
      </c>
      <c r="JZ30">
        <v>7.2889999999999997</v>
      </c>
      <c r="KA30">
        <v>7.3719999999999999</v>
      </c>
      <c r="KB30">
        <v>1.0009999999999999</v>
      </c>
      <c r="KC30">
        <v>3000</v>
      </c>
      <c r="KH30" t="s">
        <v>50</v>
      </c>
      <c r="KI30">
        <v>7.1239999999999997</v>
      </c>
      <c r="KJ30">
        <v>0.218</v>
      </c>
      <c r="KK30">
        <v>6.5490000000000004</v>
      </c>
      <c r="KL30">
        <v>7.0149999999999997</v>
      </c>
      <c r="KM30">
        <v>7.18</v>
      </c>
      <c r="KN30">
        <v>7.2919999999999998</v>
      </c>
      <c r="KO30">
        <v>7.3719999999999999</v>
      </c>
      <c r="KP30">
        <v>1.002</v>
      </c>
      <c r="KQ30">
        <v>1100</v>
      </c>
      <c r="KR30">
        <f t="shared" si="0"/>
        <v>1241.4061400049675</v>
      </c>
      <c r="KV30" t="s">
        <v>50</v>
      </c>
      <c r="KW30">
        <v>7.9470000000000001</v>
      </c>
      <c r="KX30">
        <v>0.221</v>
      </c>
      <c r="KY30">
        <v>7.4480000000000004</v>
      </c>
      <c r="KZ30">
        <v>7.8159999999999998</v>
      </c>
      <c r="LA30">
        <v>7.9640000000000004</v>
      </c>
      <c r="LB30">
        <v>8.0980000000000008</v>
      </c>
      <c r="LC30">
        <v>8.3379999999999992</v>
      </c>
      <c r="LD30">
        <v>1.0009999999999999</v>
      </c>
      <c r="LE30">
        <v>2800</v>
      </c>
      <c r="LJ30" t="s">
        <v>50</v>
      </c>
      <c r="LK30">
        <v>2.5169999999999999</v>
      </c>
      <c r="LL30">
        <v>0.81599999999999995</v>
      </c>
      <c r="LM30">
        <v>0.81699999999999995</v>
      </c>
      <c r="LN30">
        <v>1.988</v>
      </c>
      <c r="LO30">
        <v>2.5710000000000002</v>
      </c>
      <c r="LP30">
        <v>3.1150000000000002</v>
      </c>
      <c r="LQ30">
        <v>3.9470000000000001</v>
      </c>
      <c r="LR30">
        <v>1.0069999999999999</v>
      </c>
      <c r="LS30">
        <v>1800</v>
      </c>
      <c r="LX30" t="s">
        <v>50</v>
      </c>
      <c r="LY30">
        <v>3.2909999999999999</v>
      </c>
      <c r="LZ30">
        <v>1.022</v>
      </c>
      <c r="MA30">
        <v>1.268</v>
      </c>
      <c r="MB30">
        <v>2.5489999999999999</v>
      </c>
      <c r="MC30">
        <v>3.3719999999999999</v>
      </c>
      <c r="MD30">
        <v>4.0590000000000002</v>
      </c>
      <c r="ME30">
        <v>5.0469999999999997</v>
      </c>
      <c r="MF30">
        <v>1.3779999999999999</v>
      </c>
      <c r="MG30">
        <v>9</v>
      </c>
      <c r="ML30" t="s">
        <v>50</v>
      </c>
      <c r="MM30">
        <v>7.7859999999999996</v>
      </c>
      <c r="MN30">
        <v>0.2</v>
      </c>
      <c r="MO30">
        <v>7.351</v>
      </c>
      <c r="MP30">
        <v>7.6630000000000003</v>
      </c>
      <c r="MQ30">
        <v>7.7990000000000004</v>
      </c>
      <c r="MR30">
        <v>7.923</v>
      </c>
      <c r="MS30">
        <v>8.1430000000000007</v>
      </c>
      <c r="MT30">
        <v>1.0009999999999999</v>
      </c>
      <c r="MU30">
        <v>14000</v>
      </c>
      <c r="MZ30" t="s">
        <v>50</v>
      </c>
      <c r="NA30">
        <v>7.7859999999999996</v>
      </c>
      <c r="NB30">
        <v>0.19600000000000001</v>
      </c>
      <c r="NC30">
        <v>7.3609999999999998</v>
      </c>
      <c r="ND30">
        <v>7.6639999999999997</v>
      </c>
      <c r="NE30">
        <v>7.8040000000000003</v>
      </c>
      <c r="NF30">
        <v>7.9260000000000002</v>
      </c>
      <c r="NG30">
        <v>8.1229999999999993</v>
      </c>
      <c r="NH30">
        <v>1.002</v>
      </c>
      <c r="NI30">
        <v>1400</v>
      </c>
      <c r="NM30" t="s">
        <v>50</v>
      </c>
      <c r="NN30">
        <v>7.2809999999999997</v>
      </c>
      <c r="NO30">
        <v>0.111</v>
      </c>
      <c r="NP30">
        <v>7.0439999999999996</v>
      </c>
      <c r="NQ30">
        <v>7.2069999999999999</v>
      </c>
      <c r="NR30">
        <v>7.2910000000000004</v>
      </c>
      <c r="NS30">
        <v>7.3639999999999999</v>
      </c>
      <c r="NT30">
        <v>7.468</v>
      </c>
      <c r="NU30">
        <v>1.0009999999999999</v>
      </c>
      <c r="NV30">
        <v>3900</v>
      </c>
      <c r="NY30" t="s">
        <v>50</v>
      </c>
      <c r="NZ30">
        <v>7.2690000000000001</v>
      </c>
      <c r="OA30">
        <v>0.11799999999999999</v>
      </c>
      <c r="OB30">
        <v>7.0179999999999998</v>
      </c>
      <c r="OC30">
        <v>7.19</v>
      </c>
      <c r="OD30">
        <v>7.2789999999999999</v>
      </c>
      <c r="OE30">
        <v>7.3570000000000002</v>
      </c>
      <c r="OF30">
        <v>7.4660000000000002</v>
      </c>
      <c r="OG30">
        <v>1.0009999999999999</v>
      </c>
      <c r="OH30">
        <v>16000</v>
      </c>
      <c r="OP30" t="s">
        <v>50</v>
      </c>
      <c r="OQ30">
        <v>7.274</v>
      </c>
      <c r="OR30">
        <v>0.115</v>
      </c>
      <c r="OS30">
        <v>7.0250000000000004</v>
      </c>
      <c r="OT30">
        <v>7.1989999999999998</v>
      </c>
      <c r="OU30">
        <v>7.2859999999999996</v>
      </c>
      <c r="OV30">
        <v>7.359</v>
      </c>
      <c r="OW30">
        <v>7.4610000000000003</v>
      </c>
      <c r="OX30">
        <v>1.002</v>
      </c>
      <c r="OY30">
        <v>1100</v>
      </c>
      <c r="PB30" t="s">
        <v>50</v>
      </c>
      <c r="PC30">
        <v>7.29</v>
      </c>
      <c r="PD30">
        <v>0.107</v>
      </c>
      <c r="PE30">
        <v>7.0629999999999997</v>
      </c>
      <c r="PF30">
        <v>7.2169999999999996</v>
      </c>
      <c r="PG30">
        <v>7.3019999999999996</v>
      </c>
      <c r="PH30">
        <v>7.3710000000000004</v>
      </c>
      <c r="PI30">
        <v>7.468</v>
      </c>
      <c r="PJ30">
        <v>1.002</v>
      </c>
      <c r="PK30">
        <v>1300</v>
      </c>
      <c r="PN30" t="s">
        <v>50</v>
      </c>
      <c r="PO30">
        <v>7.3520000000000003</v>
      </c>
      <c r="PP30">
        <v>0.13</v>
      </c>
      <c r="PQ30">
        <v>7.1059999999999999</v>
      </c>
      <c r="PR30">
        <v>7.2610000000000001</v>
      </c>
      <c r="PS30">
        <v>7.35</v>
      </c>
      <c r="PT30">
        <v>7.4409999999999998</v>
      </c>
      <c r="PU30">
        <v>7.6070000000000002</v>
      </c>
      <c r="PV30">
        <v>1.0009999999999999</v>
      </c>
      <c r="PW30">
        <v>2500</v>
      </c>
      <c r="PX30">
        <f>AVERAGE(PO30:PO52)</f>
        <v>7.2064782608695639</v>
      </c>
      <c r="QA30" t="s">
        <v>50</v>
      </c>
      <c r="QB30">
        <v>6.9340000000000002</v>
      </c>
      <c r="QC30">
        <v>6.4000000000000001E-2</v>
      </c>
      <c r="QD30">
        <v>6.806</v>
      </c>
      <c r="QE30">
        <v>6.89</v>
      </c>
      <c r="QF30">
        <v>6.9340000000000002</v>
      </c>
      <c r="QG30">
        <v>6.9809999999999999</v>
      </c>
      <c r="QH30">
        <v>7.0549999999999997</v>
      </c>
      <c r="QI30">
        <v>1.0289999999999999</v>
      </c>
      <c r="QJ30">
        <v>75</v>
      </c>
      <c r="QK30">
        <f>AVERAGE(QB30:QB52)</f>
        <v>6.8164782608695651</v>
      </c>
      <c r="QL30">
        <f t="shared" si="2"/>
        <v>0.41800000000000015</v>
      </c>
    </row>
    <row r="31" spans="1:454">
      <c r="A31" t="s">
        <v>51</v>
      </c>
      <c r="B31">
        <v>6.1310000000000002</v>
      </c>
      <c r="C31">
        <v>1.204</v>
      </c>
      <c r="D31">
        <v>3.94</v>
      </c>
      <c r="E31">
        <v>5.3070000000000004</v>
      </c>
      <c r="F31">
        <v>6.0529999999999999</v>
      </c>
      <c r="G31">
        <v>6.9509999999999996</v>
      </c>
      <c r="H31">
        <v>8.4979999999999993</v>
      </c>
      <c r="I31">
        <v>1.19</v>
      </c>
      <c r="J31">
        <v>15</v>
      </c>
      <c r="O31" t="s">
        <v>51</v>
      </c>
      <c r="P31">
        <v>2.27</v>
      </c>
      <c r="Q31">
        <v>2.044</v>
      </c>
      <c r="R31">
        <v>2.1000000000000001E-2</v>
      </c>
      <c r="S31">
        <v>0.437</v>
      </c>
      <c r="T31">
        <v>1.645</v>
      </c>
      <c r="U31">
        <v>3.78</v>
      </c>
      <c r="V31">
        <v>6.7770000000000001</v>
      </c>
      <c r="W31">
        <v>1.0229999999999999</v>
      </c>
      <c r="X31">
        <v>120</v>
      </c>
      <c r="AC31" t="s">
        <v>51</v>
      </c>
      <c r="AD31">
        <v>5.5970000000000004</v>
      </c>
      <c r="AE31">
        <v>0.93</v>
      </c>
      <c r="AF31">
        <v>3.6560000000000001</v>
      </c>
      <c r="AG31">
        <v>4.9370000000000003</v>
      </c>
      <c r="AH31">
        <v>5.649</v>
      </c>
      <c r="AI31">
        <v>6.2830000000000004</v>
      </c>
      <c r="AJ31">
        <v>7.19</v>
      </c>
      <c r="AK31">
        <v>1.0009999999999999</v>
      </c>
      <c r="AL31">
        <v>3000</v>
      </c>
      <c r="AQ31" t="s">
        <v>51</v>
      </c>
      <c r="AR31">
        <v>5.6050000000000004</v>
      </c>
      <c r="AS31">
        <v>0.85299999999999998</v>
      </c>
      <c r="AT31">
        <v>3.9249999999999998</v>
      </c>
      <c r="AU31">
        <v>4.9950000000000001</v>
      </c>
      <c r="AV31">
        <v>5.6040000000000001</v>
      </c>
      <c r="AW31">
        <v>6.2350000000000003</v>
      </c>
      <c r="AX31">
        <v>7.165</v>
      </c>
      <c r="AY31">
        <v>1.0009999999999999</v>
      </c>
      <c r="AZ31">
        <v>3000</v>
      </c>
      <c r="BE31" t="s">
        <v>51</v>
      </c>
      <c r="BF31">
        <v>5.1580000000000004</v>
      </c>
      <c r="BG31">
        <v>0.73199999999999998</v>
      </c>
      <c r="BH31">
        <v>3.75</v>
      </c>
      <c r="BI31">
        <v>4.6630000000000003</v>
      </c>
      <c r="BJ31">
        <v>5.1429999999999998</v>
      </c>
      <c r="BK31">
        <v>5.649</v>
      </c>
      <c r="BL31">
        <v>6.6210000000000004</v>
      </c>
      <c r="BM31">
        <v>1.006</v>
      </c>
      <c r="BN31">
        <v>360</v>
      </c>
      <c r="BS31" t="s">
        <v>51</v>
      </c>
      <c r="BT31">
        <v>5.1849999999999996</v>
      </c>
      <c r="BU31">
        <v>0.95099999999999996</v>
      </c>
      <c r="BV31">
        <v>3.3620000000000001</v>
      </c>
      <c r="BW31">
        <v>4.5209999999999999</v>
      </c>
      <c r="BX31">
        <v>5.1829999999999998</v>
      </c>
      <c r="BY31">
        <v>5.8479999999999999</v>
      </c>
      <c r="BZ31">
        <v>7.0359999999999996</v>
      </c>
      <c r="CA31">
        <v>1.0009999999999999</v>
      </c>
      <c r="CB31">
        <v>3000</v>
      </c>
      <c r="CG31" t="s">
        <v>51</v>
      </c>
      <c r="CH31">
        <v>5.0880000000000001</v>
      </c>
      <c r="CI31">
        <v>0.77100000000000002</v>
      </c>
      <c r="CJ31">
        <v>3.6269999999999998</v>
      </c>
      <c r="CK31">
        <v>4.5570000000000004</v>
      </c>
      <c r="CL31">
        <v>5.0720000000000001</v>
      </c>
      <c r="CM31">
        <v>5.5979999999999999</v>
      </c>
      <c r="CN31">
        <v>6.6580000000000004</v>
      </c>
      <c r="CO31">
        <v>1.0109999999999999</v>
      </c>
      <c r="CP31">
        <v>190</v>
      </c>
      <c r="CU31" t="s">
        <v>51</v>
      </c>
      <c r="CV31">
        <v>5.3259999999999996</v>
      </c>
      <c r="CW31">
        <v>0.876</v>
      </c>
      <c r="CX31">
        <v>3.5089999999999999</v>
      </c>
      <c r="CY31">
        <v>4.758</v>
      </c>
      <c r="CZ31">
        <v>5.34</v>
      </c>
      <c r="DA31">
        <v>5.9109999999999996</v>
      </c>
      <c r="DB31">
        <v>6.99</v>
      </c>
      <c r="DC31">
        <v>1.006</v>
      </c>
      <c r="DD31">
        <v>390</v>
      </c>
      <c r="DI31" t="s">
        <v>51</v>
      </c>
      <c r="DJ31">
        <v>5.6619999999999999</v>
      </c>
      <c r="DK31">
        <v>0.93500000000000005</v>
      </c>
      <c r="DL31">
        <v>3.714</v>
      </c>
      <c r="DM31">
        <v>5.0199999999999996</v>
      </c>
      <c r="DN31">
        <v>5.7190000000000003</v>
      </c>
      <c r="DO31">
        <v>6.3739999999999997</v>
      </c>
      <c r="DP31">
        <v>7.218</v>
      </c>
      <c r="DQ31">
        <v>1.0089999999999999</v>
      </c>
      <c r="DR31">
        <v>250</v>
      </c>
      <c r="DY31" t="s">
        <v>51</v>
      </c>
      <c r="DZ31">
        <v>5.7370000000000001</v>
      </c>
      <c r="EA31">
        <v>0.86899999999999999</v>
      </c>
      <c r="EB31">
        <v>3.9870000000000001</v>
      </c>
      <c r="EC31">
        <v>5.1349999999999998</v>
      </c>
      <c r="ED31">
        <v>5.7750000000000004</v>
      </c>
      <c r="EE31">
        <v>6.3940000000000001</v>
      </c>
      <c r="EF31">
        <v>7.2460000000000004</v>
      </c>
      <c r="EG31">
        <v>1.004</v>
      </c>
      <c r="EH31">
        <v>580</v>
      </c>
      <c r="EK31" t="s">
        <v>51</v>
      </c>
      <c r="EL31">
        <v>5.9180000000000001</v>
      </c>
      <c r="EM31">
        <v>0.879</v>
      </c>
      <c r="EN31">
        <v>4.0209999999999999</v>
      </c>
      <c r="EO31">
        <v>5.3259999999999996</v>
      </c>
      <c r="EP31">
        <v>5.976</v>
      </c>
      <c r="EQ31">
        <v>6.6219999999999999</v>
      </c>
      <c r="ER31">
        <v>7.2949999999999999</v>
      </c>
      <c r="ES31">
        <v>1</v>
      </c>
      <c r="ET31">
        <v>1500</v>
      </c>
      <c r="EY31" t="s">
        <v>51</v>
      </c>
      <c r="EZ31">
        <v>5.4109999999999996</v>
      </c>
      <c r="FA31">
        <v>0.98399999999999999</v>
      </c>
      <c r="FB31">
        <v>3.4820000000000002</v>
      </c>
      <c r="FC31">
        <v>4.7119999999999997</v>
      </c>
      <c r="FD31">
        <v>5.4219999999999997</v>
      </c>
      <c r="FE31">
        <v>6.1420000000000003</v>
      </c>
      <c r="FF31">
        <v>7.1459999999999999</v>
      </c>
      <c r="FG31">
        <v>1.0009999999999999</v>
      </c>
      <c r="FH31">
        <v>2100</v>
      </c>
      <c r="FM31" t="s">
        <v>154</v>
      </c>
      <c r="FN31" t="s">
        <v>25</v>
      </c>
      <c r="FO31" t="s">
        <v>146</v>
      </c>
      <c r="FP31" t="s">
        <v>155</v>
      </c>
      <c r="FQ31" t="s">
        <v>156</v>
      </c>
      <c r="FR31" t="s">
        <v>157</v>
      </c>
      <c r="FS31" t="s">
        <v>158</v>
      </c>
      <c r="FT31" t="s">
        <v>159</v>
      </c>
      <c r="FU31" t="s">
        <v>160</v>
      </c>
      <c r="FV31" t="s">
        <v>161</v>
      </c>
      <c r="FW31" t="s">
        <v>162</v>
      </c>
      <c r="GA31" t="s">
        <v>51</v>
      </c>
      <c r="GB31">
        <v>6.843</v>
      </c>
      <c r="GC31">
        <v>0.41799999999999998</v>
      </c>
      <c r="GD31">
        <v>5.8689999999999998</v>
      </c>
      <c r="GE31">
        <v>6.585</v>
      </c>
      <c r="GF31">
        <v>6.9329999999999998</v>
      </c>
      <c r="GG31">
        <v>7.18</v>
      </c>
      <c r="GH31">
        <v>7.3579999999999997</v>
      </c>
      <c r="GI31">
        <v>1.0009999999999999</v>
      </c>
      <c r="GJ31">
        <v>2400</v>
      </c>
      <c r="GO31" t="s">
        <v>51</v>
      </c>
      <c r="GP31">
        <v>5.359</v>
      </c>
      <c r="GQ31">
        <v>0.95499999999999996</v>
      </c>
      <c r="GR31">
        <v>3.4409999999999998</v>
      </c>
      <c r="GS31">
        <v>4.7300000000000004</v>
      </c>
      <c r="GT31">
        <v>5.3819999999999997</v>
      </c>
      <c r="GU31">
        <v>6.048</v>
      </c>
      <c r="GV31">
        <v>7.1349999999999998</v>
      </c>
      <c r="GW31">
        <v>1.0009999999999999</v>
      </c>
      <c r="GX31">
        <v>3000</v>
      </c>
      <c r="HC31" t="s">
        <v>51</v>
      </c>
      <c r="HD31">
        <v>5.3719999999999999</v>
      </c>
      <c r="HE31">
        <v>0.94</v>
      </c>
      <c r="HF31">
        <v>3.577</v>
      </c>
      <c r="HG31">
        <v>4.7030000000000003</v>
      </c>
      <c r="HH31">
        <v>5.3579999999999997</v>
      </c>
      <c r="HI31">
        <v>6.0590000000000002</v>
      </c>
      <c r="HJ31">
        <v>7.1559999999999997</v>
      </c>
      <c r="HK31">
        <v>1.0009999999999999</v>
      </c>
      <c r="HL31">
        <v>3000</v>
      </c>
      <c r="HP31" s="7"/>
      <c r="HQ31" s="7" t="s">
        <v>51</v>
      </c>
      <c r="HR31" s="7">
        <v>5.5090000000000003</v>
      </c>
      <c r="HS31" s="7">
        <v>0.85199999999999998</v>
      </c>
      <c r="HT31" s="7">
        <v>3.8610000000000002</v>
      </c>
      <c r="HU31" s="7">
        <v>4.8949999999999996</v>
      </c>
      <c r="HV31" s="7">
        <v>5.51</v>
      </c>
      <c r="HW31" s="7">
        <v>6.1280000000000001</v>
      </c>
      <c r="HX31" s="7">
        <v>7.1180000000000003</v>
      </c>
      <c r="HY31" s="7">
        <v>1.0009999999999999</v>
      </c>
      <c r="HZ31" s="7">
        <v>3000</v>
      </c>
      <c r="IA31" s="7"/>
      <c r="IE31" t="s">
        <v>51</v>
      </c>
      <c r="IF31">
        <v>6.1870000000000003</v>
      </c>
      <c r="IG31">
        <v>0.66200000000000003</v>
      </c>
      <c r="IH31">
        <v>4.8460000000000001</v>
      </c>
      <c r="II31">
        <v>5.7080000000000002</v>
      </c>
      <c r="IJ31">
        <v>6.2039999999999997</v>
      </c>
      <c r="IK31">
        <v>6.6970000000000001</v>
      </c>
      <c r="IL31">
        <v>7.2880000000000003</v>
      </c>
      <c r="IM31">
        <v>1.002</v>
      </c>
      <c r="IN31">
        <v>1900</v>
      </c>
      <c r="IS31" t="s">
        <v>51</v>
      </c>
      <c r="IT31">
        <v>6.3860000000000001</v>
      </c>
      <c r="IU31">
        <v>0.59099999999999997</v>
      </c>
      <c r="IV31">
        <v>5.1539999999999999</v>
      </c>
      <c r="IW31">
        <v>5.9669999999999996</v>
      </c>
      <c r="IX31">
        <v>6.4569999999999999</v>
      </c>
      <c r="IY31">
        <v>6.8440000000000003</v>
      </c>
      <c r="IZ31">
        <v>7.3209999999999997</v>
      </c>
      <c r="JA31">
        <v>1.0009999999999999</v>
      </c>
      <c r="JB31">
        <v>3000</v>
      </c>
      <c r="JF31" t="s">
        <v>51</v>
      </c>
      <c r="JG31">
        <v>5.556</v>
      </c>
      <c r="JH31">
        <v>0.84799999999999998</v>
      </c>
      <c r="JI31">
        <v>3.9380000000000002</v>
      </c>
      <c r="JJ31">
        <v>4.9530000000000003</v>
      </c>
      <c r="JK31">
        <v>5.5510000000000002</v>
      </c>
      <c r="JL31">
        <v>6.1710000000000003</v>
      </c>
      <c r="JM31">
        <v>7.1619999999999999</v>
      </c>
      <c r="JN31">
        <v>1.004</v>
      </c>
      <c r="JO31">
        <v>560</v>
      </c>
      <c r="JT31" t="s">
        <v>51</v>
      </c>
      <c r="JU31">
        <v>5.4710000000000001</v>
      </c>
      <c r="JV31">
        <v>0.878</v>
      </c>
      <c r="JW31">
        <v>3.8050000000000002</v>
      </c>
      <c r="JX31">
        <v>4.8239999999999998</v>
      </c>
      <c r="JY31">
        <v>5.4610000000000003</v>
      </c>
      <c r="JZ31">
        <v>6.133</v>
      </c>
      <c r="KA31">
        <v>7.0780000000000003</v>
      </c>
      <c r="KB31">
        <v>1.0009999999999999</v>
      </c>
      <c r="KC31">
        <v>3000</v>
      </c>
      <c r="KH31" t="s">
        <v>51</v>
      </c>
      <c r="KI31">
        <v>5.5129999999999999</v>
      </c>
      <c r="KJ31">
        <v>0.88600000000000001</v>
      </c>
      <c r="KK31">
        <v>3.8330000000000002</v>
      </c>
      <c r="KL31">
        <v>4.88</v>
      </c>
      <c r="KM31">
        <v>5.5279999999999996</v>
      </c>
      <c r="KN31">
        <v>6.1340000000000003</v>
      </c>
      <c r="KO31">
        <v>7.16</v>
      </c>
      <c r="KP31">
        <v>1.002</v>
      </c>
      <c r="KQ31">
        <v>1300</v>
      </c>
      <c r="KR31">
        <f t="shared" si="0"/>
        <v>247.8936937419131</v>
      </c>
      <c r="KV31" t="s">
        <v>51</v>
      </c>
      <c r="KW31">
        <v>5.1459999999999999</v>
      </c>
      <c r="KX31">
        <v>0.45100000000000001</v>
      </c>
      <c r="KY31">
        <v>4.2590000000000003</v>
      </c>
      <c r="KZ31">
        <v>4.8369999999999997</v>
      </c>
      <c r="LA31">
        <v>5.1429999999999998</v>
      </c>
      <c r="LB31">
        <v>5.4429999999999996</v>
      </c>
      <c r="LC31">
        <v>6.0419999999999998</v>
      </c>
      <c r="LD31">
        <v>1.004</v>
      </c>
      <c r="LE31">
        <v>600</v>
      </c>
      <c r="LJ31" t="s">
        <v>51</v>
      </c>
      <c r="LK31">
        <v>2.0699999999999998</v>
      </c>
      <c r="LL31">
        <v>1.252</v>
      </c>
      <c r="LM31">
        <v>-0.76900000000000002</v>
      </c>
      <c r="LN31">
        <v>1.3129999999999999</v>
      </c>
      <c r="LO31">
        <v>2.2040000000000002</v>
      </c>
      <c r="LP31">
        <v>2.996</v>
      </c>
      <c r="LQ31">
        <v>4.1029999999999998</v>
      </c>
      <c r="LR31">
        <v>1.0029999999999999</v>
      </c>
      <c r="LS31">
        <v>860</v>
      </c>
      <c r="LX31" t="s">
        <v>51</v>
      </c>
      <c r="LY31">
        <v>0.52500000000000002</v>
      </c>
      <c r="LZ31">
        <v>1.76</v>
      </c>
      <c r="MA31">
        <v>-3.54</v>
      </c>
      <c r="MB31">
        <v>-0.54900000000000004</v>
      </c>
      <c r="MC31">
        <v>0.72899999999999998</v>
      </c>
      <c r="MD31">
        <v>1.8129999999999999</v>
      </c>
      <c r="ME31">
        <v>3.3639999999999999</v>
      </c>
      <c r="MF31">
        <v>1.4610000000000001</v>
      </c>
      <c r="MG31">
        <v>8</v>
      </c>
      <c r="ML31" t="s">
        <v>51</v>
      </c>
      <c r="MM31">
        <v>5.6630000000000003</v>
      </c>
      <c r="MN31">
        <v>0.42799999999999999</v>
      </c>
      <c r="MO31">
        <v>4.8339999999999996</v>
      </c>
      <c r="MP31">
        <v>5.3719999999999999</v>
      </c>
      <c r="MQ31">
        <v>5.66</v>
      </c>
      <c r="MR31">
        <v>5.95</v>
      </c>
      <c r="MS31">
        <v>6.5110000000000001</v>
      </c>
      <c r="MT31">
        <v>1.0009999999999999</v>
      </c>
      <c r="MU31">
        <v>34000</v>
      </c>
      <c r="MZ31" t="s">
        <v>51</v>
      </c>
      <c r="NA31">
        <v>5.6580000000000004</v>
      </c>
      <c r="NB31">
        <v>0.40500000000000003</v>
      </c>
      <c r="NC31">
        <v>4.8760000000000003</v>
      </c>
      <c r="ND31">
        <v>5.383</v>
      </c>
      <c r="NE31">
        <v>5.6509999999999998</v>
      </c>
      <c r="NF31">
        <v>5.93</v>
      </c>
      <c r="NG31">
        <v>6.4619999999999997</v>
      </c>
      <c r="NH31">
        <v>1.004</v>
      </c>
      <c r="NI31">
        <v>620</v>
      </c>
      <c r="NM31" t="s">
        <v>51</v>
      </c>
      <c r="NN31">
        <v>7.0149999999999997</v>
      </c>
      <c r="NO31">
        <v>0.21</v>
      </c>
      <c r="NP31">
        <v>6.5910000000000002</v>
      </c>
      <c r="NQ31">
        <v>6.875</v>
      </c>
      <c r="NR31">
        <v>7.024</v>
      </c>
      <c r="NS31">
        <v>7.1589999999999998</v>
      </c>
      <c r="NT31">
        <v>7.41</v>
      </c>
      <c r="NU31">
        <v>1.0009999999999999</v>
      </c>
      <c r="NV31">
        <v>30000</v>
      </c>
      <c r="NY31" t="s">
        <v>51</v>
      </c>
      <c r="NZ31">
        <v>6.9880000000000004</v>
      </c>
      <c r="OA31">
        <v>0.218</v>
      </c>
      <c r="OB31">
        <v>6.54</v>
      </c>
      <c r="OC31">
        <v>6.8419999999999996</v>
      </c>
      <c r="OD31">
        <v>6.9960000000000004</v>
      </c>
      <c r="OE31">
        <v>7.14</v>
      </c>
      <c r="OF31">
        <v>7.3940000000000001</v>
      </c>
      <c r="OG31">
        <v>1.0009999999999999</v>
      </c>
      <c r="OH31">
        <v>24000</v>
      </c>
      <c r="OP31" t="s">
        <v>51</v>
      </c>
      <c r="OQ31">
        <v>7.0110000000000001</v>
      </c>
      <c r="OR31">
        <v>0.22500000000000001</v>
      </c>
      <c r="OS31">
        <v>6.5510000000000002</v>
      </c>
      <c r="OT31">
        <v>6.86</v>
      </c>
      <c r="OU31">
        <v>7.02</v>
      </c>
      <c r="OV31">
        <v>7.1719999999999997</v>
      </c>
      <c r="OW31">
        <v>7.431</v>
      </c>
      <c r="OX31">
        <v>1.002</v>
      </c>
      <c r="OY31">
        <v>1900</v>
      </c>
      <c r="PB31" t="s">
        <v>51</v>
      </c>
      <c r="PC31">
        <v>7.0350000000000001</v>
      </c>
      <c r="PD31">
        <v>0.20599999999999999</v>
      </c>
      <c r="PE31">
        <v>6.625</v>
      </c>
      <c r="PF31">
        <v>6.8959999999999999</v>
      </c>
      <c r="PG31">
        <v>7.04</v>
      </c>
      <c r="PH31">
        <v>7.18</v>
      </c>
      <c r="PI31">
        <v>7.4290000000000003</v>
      </c>
      <c r="PJ31">
        <v>1.002</v>
      </c>
      <c r="PK31">
        <v>1500</v>
      </c>
      <c r="PN31" t="s">
        <v>51</v>
      </c>
      <c r="PO31">
        <v>7.0890000000000004</v>
      </c>
      <c r="PP31">
        <v>0.16900000000000001</v>
      </c>
      <c r="PQ31">
        <v>6.7249999999999996</v>
      </c>
      <c r="PR31">
        <v>6.98</v>
      </c>
      <c r="PS31">
        <v>7.1050000000000004</v>
      </c>
      <c r="PT31">
        <v>7.2140000000000004</v>
      </c>
      <c r="PU31">
        <v>7.37</v>
      </c>
      <c r="PV31">
        <v>1.0009999999999999</v>
      </c>
      <c r="PW31">
        <v>3000</v>
      </c>
      <c r="QA31" t="s">
        <v>51</v>
      </c>
      <c r="QB31">
        <v>6.7220000000000004</v>
      </c>
      <c r="QC31">
        <v>0.11799999999999999</v>
      </c>
      <c r="QD31">
        <v>6.4909999999999997</v>
      </c>
      <c r="QE31">
        <v>6.6379999999999999</v>
      </c>
      <c r="QF31">
        <v>6.7270000000000003</v>
      </c>
      <c r="QG31">
        <v>6.8109999999999999</v>
      </c>
      <c r="QH31">
        <v>6.9189999999999996</v>
      </c>
      <c r="QI31">
        <v>1.1459999999999999</v>
      </c>
      <c r="QJ31">
        <v>18</v>
      </c>
      <c r="QL31">
        <f t="shared" si="2"/>
        <v>0.36699999999999999</v>
      </c>
    </row>
    <row r="32" spans="1:454">
      <c r="A32" t="s">
        <v>52</v>
      </c>
      <c r="B32">
        <v>6.2569999999999997</v>
      </c>
      <c r="C32">
        <v>1.1459999999999999</v>
      </c>
      <c r="D32">
        <v>3.9649999999999999</v>
      </c>
      <c r="E32">
        <v>5.4720000000000004</v>
      </c>
      <c r="F32">
        <v>6.2809999999999997</v>
      </c>
      <c r="G32">
        <v>6.9969999999999999</v>
      </c>
      <c r="H32">
        <v>8.6489999999999991</v>
      </c>
      <c r="I32">
        <v>1.1779999999999999</v>
      </c>
      <c r="J32">
        <v>17</v>
      </c>
      <c r="O32" t="s">
        <v>52</v>
      </c>
      <c r="P32">
        <v>5.7759999999999998</v>
      </c>
      <c r="Q32">
        <v>1.694</v>
      </c>
      <c r="R32">
        <v>1.4890000000000001</v>
      </c>
      <c r="S32">
        <v>4.7889999999999997</v>
      </c>
      <c r="T32">
        <v>6.431</v>
      </c>
      <c r="U32">
        <v>7.1630000000000003</v>
      </c>
      <c r="V32">
        <v>7.3659999999999997</v>
      </c>
      <c r="W32">
        <v>1.01</v>
      </c>
      <c r="X32">
        <v>590</v>
      </c>
      <c r="AC32" t="s">
        <v>52</v>
      </c>
      <c r="AD32">
        <v>6.9370000000000003</v>
      </c>
      <c r="AE32">
        <v>0.42299999999999999</v>
      </c>
      <c r="AF32">
        <v>5.8609999999999998</v>
      </c>
      <c r="AG32">
        <v>6.7160000000000002</v>
      </c>
      <c r="AH32">
        <v>7.0670000000000002</v>
      </c>
      <c r="AI32">
        <v>7.2679999999999998</v>
      </c>
      <c r="AJ32">
        <v>7.3760000000000003</v>
      </c>
      <c r="AK32">
        <v>1.002</v>
      </c>
      <c r="AL32">
        <v>1000</v>
      </c>
      <c r="AQ32" t="s">
        <v>52</v>
      </c>
      <c r="AR32">
        <v>6.9189999999999996</v>
      </c>
      <c r="AS32">
        <v>0.433</v>
      </c>
      <c r="AT32">
        <v>5.7889999999999997</v>
      </c>
      <c r="AU32">
        <v>6.7060000000000004</v>
      </c>
      <c r="AV32">
        <v>7.0579999999999998</v>
      </c>
      <c r="AW32">
        <v>7.2510000000000003</v>
      </c>
      <c r="AX32">
        <v>7.37</v>
      </c>
      <c r="AY32">
        <v>1.002</v>
      </c>
      <c r="AZ32">
        <v>2600</v>
      </c>
      <c r="BE32" t="s">
        <v>52</v>
      </c>
      <c r="BF32">
        <v>6.8070000000000004</v>
      </c>
      <c r="BG32">
        <v>0.47899999999999998</v>
      </c>
      <c r="BH32">
        <v>5.6550000000000002</v>
      </c>
      <c r="BI32">
        <v>6.5389999999999997</v>
      </c>
      <c r="BJ32">
        <v>6.9260000000000002</v>
      </c>
      <c r="BK32">
        <v>7.1859999999999999</v>
      </c>
      <c r="BL32">
        <v>7.3659999999999997</v>
      </c>
      <c r="BM32">
        <v>1.0149999999999999</v>
      </c>
      <c r="BN32">
        <v>170</v>
      </c>
      <c r="BS32" t="s">
        <v>52</v>
      </c>
      <c r="BT32">
        <v>6.931</v>
      </c>
      <c r="BU32">
        <v>0.42</v>
      </c>
      <c r="BV32">
        <v>5.82</v>
      </c>
      <c r="BW32">
        <v>6.74</v>
      </c>
      <c r="BX32">
        <v>7.0570000000000004</v>
      </c>
      <c r="BY32">
        <v>7.2469999999999999</v>
      </c>
      <c r="BZ32">
        <v>7.3650000000000002</v>
      </c>
      <c r="CA32">
        <v>1.004</v>
      </c>
      <c r="CB32">
        <v>2400</v>
      </c>
      <c r="CG32" t="s">
        <v>52</v>
      </c>
      <c r="CH32">
        <v>6.8179999999999996</v>
      </c>
      <c r="CI32">
        <v>0.47</v>
      </c>
      <c r="CJ32">
        <v>5.65</v>
      </c>
      <c r="CK32">
        <v>6.5579999999999998</v>
      </c>
      <c r="CL32">
        <v>6.9379999999999997</v>
      </c>
      <c r="CM32">
        <v>7.1920000000000002</v>
      </c>
      <c r="CN32">
        <v>7.359</v>
      </c>
      <c r="CO32">
        <v>1.0049999999999999</v>
      </c>
      <c r="CP32">
        <v>490</v>
      </c>
      <c r="CU32" t="s">
        <v>52</v>
      </c>
      <c r="CV32">
        <v>7.0940000000000003</v>
      </c>
      <c r="CW32">
        <v>0.33900000000000002</v>
      </c>
      <c r="CX32">
        <v>6.1689999999999996</v>
      </c>
      <c r="CY32">
        <v>6.9790000000000001</v>
      </c>
      <c r="CZ32">
        <v>7.2190000000000003</v>
      </c>
      <c r="DA32">
        <v>7.335</v>
      </c>
      <c r="DB32">
        <v>7.38</v>
      </c>
      <c r="DC32">
        <v>1.0109999999999999</v>
      </c>
      <c r="DD32">
        <v>290</v>
      </c>
      <c r="DI32" t="s">
        <v>52</v>
      </c>
      <c r="DJ32">
        <v>6.9530000000000003</v>
      </c>
      <c r="DK32">
        <v>0.40899999999999997</v>
      </c>
      <c r="DL32">
        <v>5.8719999999999999</v>
      </c>
      <c r="DM32">
        <v>6.76</v>
      </c>
      <c r="DN32">
        <v>7.0739999999999998</v>
      </c>
      <c r="DO32">
        <v>7.2690000000000001</v>
      </c>
      <c r="DP32">
        <v>7.3719999999999999</v>
      </c>
      <c r="DQ32">
        <v>1.0069999999999999</v>
      </c>
      <c r="DR32">
        <v>350</v>
      </c>
      <c r="DY32" t="s">
        <v>52</v>
      </c>
      <c r="DZ32">
        <v>6.9589999999999996</v>
      </c>
      <c r="EA32">
        <v>0.40699999999999997</v>
      </c>
      <c r="EB32">
        <v>5.9080000000000004</v>
      </c>
      <c r="EC32">
        <v>6.7720000000000002</v>
      </c>
      <c r="ED32">
        <v>7.0869999999999997</v>
      </c>
      <c r="EE32">
        <v>7.27</v>
      </c>
      <c r="EF32">
        <v>7.37</v>
      </c>
      <c r="EG32">
        <v>1.0009999999999999</v>
      </c>
      <c r="EH32">
        <v>3000</v>
      </c>
      <c r="EK32" t="s">
        <v>52</v>
      </c>
      <c r="EL32">
        <v>6.1310000000000002</v>
      </c>
      <c r="EM32">
        <v>0.67600000000000005</v>
      </c>
      <c r="EN32">
        <v>4.8259999999999996</v>
      </c>
      <c r="EO32">
        <v>5.6289999999999996</v>
      </c>
      <c r="EP32">
        <v>6.1509999999999998</v>
      </c>
      <c r="EQ32">
        <v>6.641</v>
      </c>
      <c r="ER32">
        <v>7.2939999999999996</v>
      </c>
      <c r="ES32">
        <v>1.0089999999999999</v>
      </c>
      <c r="ET32">
        <v>230</v>
      </c>
      <c r="EY32" t="s">
        <v>52</v>
      </c>
      <c r="EZ32">
        <v>6.7069999999999999</v>
      </c>
      <c r="FA32">
        <v>0.55600000000000005</v>
      </c>
      <c r="FB32">
        <v>5.3319999999999999</v>
      </c>
      <c r="FC32">
        <v>6.3869999999999996</v>
      </c>
      <c r="FD32">
        <v>6.8479999999999999</v>
      </c>
      <c r="FE32">
        <v>7.1509999999999998</v>
      </c>
      <c r="FF32">
        <v>7.36</v>
      </c>
      <c r="FG32">
        <v>1.002</v>
      </c>
      <c r="FH32">
        <v>3000</v>
      </c>
      <c r="GA32" t="s">
        <v>52</v>
      </c>
      <c r="GB32">
        <v>6.6459999999999999</v>
      </c>
      <c r="GC32">
        <v>0.437</v>
      </c>
      <c r="GD32">
        <v>5.7119999999999997</v>
      </c>
      <c r="GE32">
        <v>6.3630000000000004</v>
      </c>
      <c r="GF32">
        <v>6.6829999999999998</v>
      </c>
      <c r="GG32">
        <v>6.984</v>
      </c>
      <c r="GH32">
        <v>7.327</v>
      </c>
      <c r="GI32">
        <v>1.002</v>
      </c>
      <c r="GJ32">
        <v>1300</v>
      </c>
      <c r="GO32" t="s">
        <v>52</v>
      </c>
      <c r="GP32">
        <v>6.7530000000000001</v>
      </c>
      <c r="GQ32">
        <v>0.53300000000000003</v>
      </c>
      <c r="GR32">
        <v>5.391</v>
      </c>
      <c r="GS32">
        <v>6.4569999999999999</v>
      </c>
      <c r="GT32">
        <v>6.8920000000000003</v>
      </c>
      <c r="GU32">
        <v>7.181</v>
      </c>
      <c r="GV32">
        <v>7.3630000000000004</v>
      </c>
      <c r="GW32">
        <v>1.0009999999999999</v>
      </c>
      <c r="GX32">
        <v>3000</v>
      </c>
      <c r="HC32" t="s">
        <v>52</v>
      </c>
      <c r="HD32">
        <v>6.7960000000000003</v>
      </c>
      <c r="HE32">
        <v>0.51200000000000001</v>
      </c>
      <c r="HF32">
        <v>5.5039999999999996</v>
      </c>
      <c r="HG32">
        <v>6.5389999999999997</v>
      </c>
      <c r="HH32">
        <v>6.9379999999999997</v>
      </c>
      <c r="HI32">
        <v>7.1929999999999996</v>
      </c>
      <c r="HJ32">
        <v>7.3650000000000002</v>
      </c>
      <c r="HK32">
        <v>1.002</v>
      </c>
      <c r="HL32">
        <v>1200</v>
      </c>
      <c r="HP32" s="7"/>
      <c r="HQ32" s="7" t="s">
        <v>52</v>
      </c>
      <c r="HR32" s="7">
        <v>6.8860000000000001</v>
      </c>
      <c r="HS32" s="7">
        <v>0.441</v>
      </c>
      <c r="HT32" s="7">
        <v>5.7270000000000003</v>
      </c>
      <c r="HU32" s="7">
        <v>6.6849999999999996</v>
      </c>
      <c r="HV32" s="7">
        <v>7.0030000000000001</v>
      </c>
      <c r="HW32" s="7">
        <v>7.2190000000000003</v>
      </c>
      <c r="HX32" s="7">
        <v>7.367</v>
      </c>
      <c r="HY32" s="7">
        <v>1.0049999999999999</v>
      </c>
      <c r="HZ32" s="7">
        <v>930</v>
      </c>
      <c r="IA32" s="7"/>
      <c r="IE32" t="s">
        <v>52</v>
      </c>
      <c r="IF32">
        <v>6.9020000000000001</v>
      </c>
      <c r="IG32">
        <v>0.36899999999999999</v>
      </c>
      <c r="IH32">
        <v>6.0339999999999998</v>
      </c>
      <c r="II32">
        <v>6.6769999999999996</v>
      </c>
      <c r="IJ32">
        <v>6.9880000000000004</v>
      </c>
      <c r="IK32">
        <v>7.2030000000000003</v>
      </c>
      <c r="IL32">
        <v>7.3659999999999997</v>
      </c>
      <c r="IM32">
        <v>1.0029999999999999</v>
      </c>
      <c r="IN32">
        <v>960</v>
      </c>
      <c r="IS32" t="s">
        <v>52</v>
      </c>
      <c r="IT32">
        <v>6.9160000000000004</v>
      </c>
      <c r="IU32">
        <v>0.37</v>
      </c>
      <c r="IV32">
        <v>6.0220000000000002</v>
      </c>
      <c r="IW32">
        <v>6.7169999999999996</v>
      </c>
      <c r="IX32">
        <v>6.9960000000000004</v>
      </c>
      <c r="IY32">
        <v>7.2080000000000002</v>
      </c>
      <c r="IZ32">
        <v>7.3639999999999999</v>
      </c>
      <c r="JA32">
        <v>1.0009999999999999</v>
      </c>
      <c r="JB32">
        <v>3000</v>
      </c>
      <c r="JF32" t="s">
        <v>52</v>
      </c>
      <c r="JG32">
        <v>6.9240000000000004</v>
      </c>
      <c r="JH32">
        <v>0.41199999999999998</v>
      </c>
      <c r="JI32">
        <v>5.8360000000000003</v>
      </c>
      <c r="JJ32">
        <v>6.742</v>
      </c>
      <c r="JK32">
        <v>7.0380000000000003</v>
      </c>
      <c r="JL32">
        <v>7.2430000000000003</v>
      </c>
      <c r="JM32">
        <v>7.3689999999999998</v>
      </c>
      <c r="JN32">
        <v>1.0009999999999999</v>
      </c>
      <c r="JO32">
        <v>2700</v>
      </c>
      <c r="JT32" t="s">
        <v>52</v>
      </c>
      <c r="JU32">
        <v>6.9210000000000003</v>
      </c>
      <c r="JV32">
        <v>0.41499999999999998</v>
      </c>
      <c r="JW32">
        <v>5.8650000000000002</v>
      </c>
      <c r="JX32">
        <v>6.6980000000000004</v>
      </c>
      <c r="JY32">
        <v>7.0430000000000001</v>
      </c>
      <c r="JZ32">
        <v>7.242</v>
      </c>
      <c r="KA32">
        <v>7.3689999999999998</v>
      </c>
      <c r="KB32">
        <v>1.0009999999999999</v>
      </c>
      <c r="KC32">
        <v>2500</v>
      </c>
      <c r="KH32" t="s">
        <v>52</v>
      </c>
      <c r="KI32">
        <v>6.9009999999999998</v>
      </c>
      <c r="KJ32">
        <v>0.42899999999999999</v>
      </c>
      <c r="KK32">
        <v>5.79</v>
      </c>
      <c r="KL32">
        <v>6.6950000000000003</v>
      </c>
      <c r="KM32">
        <v>7.0209999999999999</v>
      </c>
      <c r="KN32">
        <v>7.23</v>
      </c>
      <c r="KO32">
        <v>7.3659999999999997</v>
      </c>
      <c r="KP32">
        <v>1.002</v>
      </c>
      <c r="KQ32">
        <v>1400</v>
      </c>
      <c r="KR32">
        <f t="shared" si="0"/>
        <v>993.26748662340901</v>
      </c>
      <c r="KV32" t="s">
        <v>52</v>
      </c>
      <c r="KW32">
        <v>10.210000000000001</v>
      </c>
      <c r="KX32">
        <v>0.66300000000000003</v>
      </c>
      <c r="KY32">
        <v>8.9209999999999994</v>
      </c>
      <c r="KZ32">
        <v>9.7579999999999991</v>
      </c>
      <c r="LA32">
        <v>10.227</v>
      </c>
      <c r="LB32">
        <v>10.645</v>
      </c>
      <c r="LC32">
        <v>11.523</v>
      </c>
      <c r="LD32">
        <v>1.0029999999999999</v>
      </c>
      <c r="LE32">
        <v>950</v>
      </c>
      <c r="LJ32" t="s">
        <v>52</v>
      </c>
      <c r="LK32">
        <v>2.879</v>
      </c>
      <c r="LL32">
        <v>1.5349999999999999</v>
      </c>
      <c r="LM32">
        <v>-0.51300000000000001</v>
      </c>
      <c r="LN32">
        <v>1.95</v>
      </c>
      <c r="LO32">
        <v>3.0390000000000001</v>
      </c>
      <c r="LP32">
        <v>3.956</v>
      </c>
      <c r="LQ32">
        <v>5.4569999999999999</v>
      </c>
      <c r="LR32">
        <v>1.006</v>
      </c>
      <c r="LS32">
        <v>600</v>
      </c>
      <c r="LX32" t="s">
        <v>52</v>
      </c>
      <c r="LY32">
        <v>5.5250000000000004</v>
      </c>
      <c r="LZ32">
        <v>2.42</v>
      </c>
      <c r="MA32">
        <v>1.149</v>
      </c>
      <c r="MB32">
        <v>3.6619999999999999</v>
      </c>
      <c r="MC32">
        <v>5.5419999999999998</v>
      </c>
      <c r="MD32">
        <v>7.2969999999999997</v>
      </c>
      <c r="ME32">
        <v>9.9870000000000001</v>
      </c>
      <c r="MF32">
        <v>1.899</v>
      </c>
      <c r="MG32">
        <v>5</v>
      </c>
      <c r="ML32" t="s">
        <v>52</v>
      </c>
      <c r="MM32">
        <v>9.5</v>
      </c>
      <c r="MN32">
        <v>0.61199999999999999</v>
      </c>
      <c r="MO32">
        <v>8.3079999999999998</v>
      </c>
      <c r="MP32">
        <v>9.0850000000000009</v>
      </c>
      <c r="MQ32">
        <v>9.4979999999999993</v>
      </c>
      <c r="MR32">
        <v>9.9139999999999997</v>
      </c>
      <c r="MS32">
        <v>10.7</v>
      </c>
      <c r="MT32">
        <v>1.0009999999999999</v>
      </c>
      <c r="MU32">
        <v>26000</v>
      </c>
      <c r="MZ32" t="s">
        <v>52</v>
      </c>
      <c r="NA32">
        <v>9.5039999999999996</v>
      </c>
      <c r="NB32">
        <v>0.58599999999999997</v>
      </c>
      <c r="NC32">
        <v>8.3670000000000009</v>
      </c>
      <c r="ND32">
        <v>9.109</v>
      </c>
      <c r="NE32">
        <v>9.5129999999999999</v>
      </c>
      <c r="NF32">
        <v>9.9139999999999997</v>
      </c>
      <c r="NG32">
        <v>10.64</v>
      </c>
      <c r="NH32">
        <v>1.0029999999999999</v>
      </c>
      <c r="NI32">
        <v>700</v>
      </c>
      <c r="NM32" t="s">
        <v>52</v>
      </c>
      <c r="NN32">
        <v>7.4960000000000004</v>
      </c>
      <c r="NO32">
        <v>0.2</v>
      </c>
      <c r="NP32">
        <v>7.1150000000000002</v>
      </c>
      <c r="NQ32">
        <v>7.3609999999999998</v>
      </c>
      <c r="NR32">
        <v>7.4930000000000003</v>
      </c>
      <c r="NS32">
        <v>7.6280000000000001</v>
      </c>
      <c r="NT32">
        <v>7.899</v>
      </c>
      <c r="NU32">
        <v>1.002</v>
      </c>
      <c r="NV32">
        <v>2900</v>
      </c>
      <c r="NY32" t="s">
        <v>52</v>
      </c>
      <c r="NZ32">
        <v>7.4960000000000004</v>
      </c>
      <c r="OA32">
        <v>0.20100000000000001</v>
      </c>
      <c r="OB32">
        <v>7.11</v>
      </c>
      <c r="OC32">
        <v>7.359</v>
      </c>
      <c r="OD32">
        <v>7.4909999999999997</v>
      </c>
      <c r="OE32">
        <v>7.63</v>
      </c>
      <c r="OF32">
        <v>7.899</v>
      </c>
      <c r="OG32">
        <v>1.0009999999999999</v>
      </c>
      <c r="OH32">
        <v>39000</v>
      </c>
      <c r="OP32" t="s">
        <v>52</v>
      </c>
      <c r="OQ32">
        <v>7.4859999999999998</v>
      </c>
      <c r="OR32">
        <v>0.20599999999999999</v>
      </c>
      <c r="OS32">
        <v>7.0880000000000001</v>
      </c>
      <c r="OT32">
        <v>7.3410000000000002</v>
      </c>
      <c r="OU32">
        <v>7.484</v>
      </c>
      <c r="OV32">
        <v>7.625</v>
      </c>
      <c r="OW32">
        <v>7.8959999999999999</v>
      </c>
      <c r="OX32">
        <v>1.0009999999999999</v>
      </c>
      <c r="OY32">
        <v>3000</v>
      </c>
      <c r="PB32" t="s">
        <v>52</v>
      </c>
      <c r="PC32">
        <v>7.4960000000000004</v>
      </c>
      <c r="PD32">
        <v>0.20300000000000001</v>
      </c>
      <c r="PE32">
        <v>7.1</v>
      </c>
      <c r="PF32">
        <v>7.3559999999999999</v>
      </c>
      <c r="PG32">
        <v>7.4969999999999999</v>
      </c>
      <c r="PH32">
        <v>7.6340000000000003</v>
      </c>
      <c r="PI32">
        <v>7.9080000000000004</v>
      </c>
      <c r="PJ32">
        <v>1.0009999999999999</v>
      </c>
      <c r="PK32">
        <v>3000</v>
      </c>
      <c r="PN32" t="s">
        <v>52</v>
      </c>
      <c r="PO32">
        <v>7.3460000000000001</v>
      </c>
      <c r="PP32">
        <v>0.128</v>
      </c>
      <c r="PQ32">
        <v>7.1040000000000001</v>
      </c>
      <c r="PR32">
        <v>7.2569999999999997</v>
      </c>
      <c r="PS32">
        <v>7.3449999999999998</v>
      </c>
      <c r="PT32">
        <v>7.4329999999999998</v>
      </c>
      <c r="PU32">
        <v>7.593</v>
      </c>
      <c r="PV32">
        <v>1.0009999999999999</v>
      </c>
      <c r="PW32">
        <v>2500</v>
      </c>
      <c r="QA32" t="s">
        <v>52</v>
      </c>
      <c r="QB32">
        <v>6.9279999999999999</v>
      </c>
      <c r="QC32">
        <v>6.5000000000000002E-2</v>
      </c>
      <c r="QD32">
        <v>6.7990000000000004</v>
      </c>
      <c r="QE32">
        <v>6.8840000000000003</v>
      </c>
      <c r="QF32">
        <v>6.9290000000000003</v>
      </c>
      <c r="QG32">
        <v>6.976</v>
      </c>
      <c r="QH32">
        <v>7.0510000000000002</v>
      </c>
      <c r="QI32">
        <v>1.0329999999999999</v>
      </c>
      <c r="QJ32">
        <v>67</v>
      </c>
      <c r="QL32">
        <f t="shared" si="2"/>
        <v>0.41800000000000015</v>
      </c>
    </row>
    <row r="33" spans="1:454">
      <c r="A33" t="s">
        <v>53</v>
      </c>
      <c r="B33">
        <v>6.1230000000000002</v>
      </c>
      <c r="C33">
        <v>1.105</v>
      </c>
      <c r="D33">
        <v>4.0819999999999999</v>
      </c>
      <c r="E33">
        <v>5.3579999999999997</v>
      </c>
      <c r="F33">
        <v>6.0869999999999997</v>
      </c>
      <c r="G33">
        <v>6.9009999999999998</v>
      </c>
      <c r="H33">
        <v>8.2769999999999992</v>
      </c>
      <c r="I33">
        <v>1.212</v>
      </c>
      <c r="J33">
        <v>14</v>
      </c>
      <c r="O33" t="s">
        <v>53</v>
      </c>
      <c r="P33">
        <v>3.2280000000000002</v>
      </c>
      <c r="Q33">
        <v>2.0350000000000001</v>
      </c>
      <c r="R33">
        <v>0.14699999999999999</v>
      </c>
      <c r="S33">
        <v>1.429</v>
      </c>
      <c r="T33">
        <v>3.113</v>
      </c>
      <c r="U33">
        <v>4.8390000000000004</v>
      </c>
      <c r="V33">
        <v>7.0279999999999996</v>
      </c>
      <c r="W33">
        <v>1.028</v>
      </c>
      <c r="X33">
        <v>100</v>
      </c>
      <c r="AC33" t="s">
        <v>53</v>
      </c>
      <c r="AD33">
        <v>6.1310000000000002</v>
      </c>
      <c r="AE33">
        <v>0.82399999999999995</v>
      </c>
      <c r="AF33">
        <v>4.1470000000000002</v>
      </c>
      <c r="AG33">
        <v>5.6479999999999997</v>
      </c>
      <c r="AH33">
        <v>6.266</v>
      </c>
      <c r="AI33">
        <v>6.7430000000000003</v>
      </c>
      <c r="AJ33">
        <v>7.2919999999999998</v>
      </c>
      <c r="AK33">
        <v>1.004</v>
      </c>
      <c r="AL33">
        <v>1600</v>
      </c>
      <c r="AQ33" t="s">
        <v>53</v>
      </c>
      <c r="AR33">
        <v>6.1680000000000001</v>
      </c>
      <c r="AS33">
        <v>0.79100000000000004</v>
      </c>
      <c r="AT33">
        <v>4.3460000000000001</v>
      </c>
      <c r="AU33">
        <v>5.7130000000000001</v>
      </c>
      <c r="AV33">
        <v>6.29</v>
      </c>
      <c r="AW33">
        <v>6.7670000000000003</v>
      </c>
      <c r="AX33">
        <v>7.3</v>
      </c>
      <c r="AY33">
        <v>1.0009999999999999</v>
      </c>
      <c r="AZ33">
        <v>3000</v>
      </c>
      <c r="BE33" t="s">
        <v>53</v>
      </c>
      <c r="BF33">
        <v>5.1029999999999998</v>
      </c>
      <c r="BG33">
        <v>0.95199999999999996</v>
      </c>
      <c r="BH33">
        <v>3.1040000000000001</v>
      </c>
      <c r="BI33">
        <v>4.4660000000000002</v>
      </c>
      <c r="BJ33">
        <v>5.1559999999999997</v>
      </c>
      <c r="BK33">
        <v>5.7960000000000003</v>
      </c>
      <c r="BL33">
        <v>6.7869999999999999</v>
      </c>
      <c r="BM33">
        <v>1.0249999999999999</v>
      </c>
      <c r="BN33">
        <v>93</v>
      </c>
      <c r="BS33" t="s">
        <v>53</v>
      </c>
      <c r="BT33">
        <v>5.8789999999999996</v>
      </c>
      <c r="BU33">
        <v>0.96799999999999997</v>
      </c>
      <c r="BV33">
        <v>3.617</v>
      </c>
      <c r="BW33">
        <v>5.2960000000000003</v>
      </c>
      <c r="BX33">
        <v>6.04</v>
      </c>
      <c r="BY33">
        <v>6.6159999999999997</v>
      </c>
      <c r="BZ33">
        <v>7.2679999999999998</v>
      </c>
      <c r="CA33">
        <v>1.0049999999999999</v>
      </c>
      <c r="CB33">
        <v>3000</v>
      </c>
      <c r="CG33" t="s">
        <v>53</v>
      </c>
      <c r="CH33">
        <v>5.19</v>
      </c>
      <c r="CI33">
        <v>0.94099999999999995</v>
      </c>
      <c r="CJ33">
        <v>3.2309999999999999</v>
      </c>
      <c r="CK33">
        <v>4.5670000000000002</v>
      </c>
      <c r="CL33">
        <v>5.2169999999999996</v>
      </c>
      <c r="CM33">
        <v>5.8559999999999999</v>
      </c>
      <c r="CN33">
        <v>6.8929999999999998</v>
      </c>
      <c r="CO33">
        <v>1.0209999999999999</v>
      </c>
      <c r="CP33">
        <v>110</v>
      </c>
      <c r="CU33" t="s">
        <v>53</v>
      </c>
      <c r="CV33">
        <v>6.0890000000000004</v>
      </c>
      <c r="CW33">
        <v>0.80800000000000005</v>
      </c>
      <c r="CX33">
        <v>4.1929999999999996</v>
      </c>
      <c r="CY33">
        <v>5.6779999999999999</v>
      </c>
      <c r="CZ33">
        <v>6.2320000000000002</v>
      </c>
      <c r="DA33">
        <v>6.6559999999999997</v>
      </c>
      <c r="DB33">
        <v>7.2539999999999996</v>
      </c>
      <c r="DC33">
        <v>1.0149999999999999</v>
      </c>
      <c r="DD33">
        <v>240</v>
      </c>
      <c r="DI33" t="s">
        <v>53</v>
      </c>
      <c r="DJ33">
        <v>6.2130000000000001</v>
      </c>
      <c r="DK33">
        <v>0.78</v>
      </c>
      <c r="DL33">
        <v>4.3849999999999998</v>
      </c>
      <c r="DM33">
        <v>5.7469999999999999</v>
      </c>
      <c r="DN33">
        <v>6.3339999999999996</v>
      </c>
      <c r="DO33">
        <v>6.8209999999999997</v>
      </c>
      <c r="DP33">
        <v>7.3179999999999996</v>
      </c>
      <c r="DQ33">
        <v>1.0049999999999999</v>
      </c>
      <c r="DR33">
        <v>470</v>
      </c>
      <c r="DY33" t="s">
        <v>53</v>
      </c>
      <c r="DZ33">
        <v>6.2649999999999997</v>
      </c>
      <c r="EA33">
        <v>0.747</v>
      </c>
      <c r="EB33">
        <v>4.4889999999999999</v>
      </c>
      <c r="EC33">
        <v>5.8449999999999998</v>
      </c>
      <c r="ED33">
        <v>6.3869999999999996</v>
      </c>
      <c r="EE33">
        <v>6.8369999999999997</v>
      </c>
      <c r="EF33">
        <v>7.319</v>
      </c>
      <c r="EG33">
        <v>1.002</v>
      </c>
      <c r="EH33">
        <v>2400</v>
      </c>
      <c r="EK33" t="s">
        <v>53</v>
      </c>
      <c r="EL33">
        <v>5.7619999999999996</v>
      </c>
      <c r="EM33">
        <v>1.1719999999999999</v>
      </c>
      <c r="EN33">
        <v>2.887</v>
      </c>
      <c r="EO33">
        <v>5.1710000000000003</v>
      </c>
      <c r="EP33">
        <v>6.0030000000000001</v>
      </c>
      <c r="EQ33">
        <v>6.65</v>
      </c>
      <c r="ER33">
        <v>7.2949999999999999</v>
      </c>
      <c r="ES33">
        <v>1.012</v>
      </c>
      <c r="ET33">
        <v>1500</v>
      </c>
      <c r="EY33" t="s">
        <v>53</v>
      </c>
      <c r="EZ33">
        <v>5.6779999999999999</v>
      </c>
      <c r="FA33">
        <v>1.0680000000000001</v>
      </c>
      <c r="FB33">
        <v>3.2320000000000002</v>
      </c>
      <c r="FC33">
        <v>5.0170000000000003</v>
      </c>
      <c r="FD33">
        <v>5.7910000000000004</v>
      </c>
      <c r="FE33">
        <v>6.5170000000000003</v>
      </c>
      <c r="FF33">
        <v>7.2519999999999998</v>
      </c>
      <c r="FG33">
        <v>1.0009999999999999</v>
      </c>
      <c r="FH33">
        <v>3000</v>
      </c>
      <c r="FM33" t="s">
        <v>163</v>
      </c>
      <c r="FN33" t="s">
        <v>164</v>
      </c>
      <c r="FO33" t="s">
        <v>165</v>
      </c>
      <c r="FP33" t="s">
        <v>155</v>
      </c>
      <c r="FQ33" t="s">
        <v>166</v>
      </c>
      <c r="FR33" t="s">
        <v>167</v>
      </c>
      <c r="FS33" t="s">
        <v>20</v>
      </c>
      <c r="FT33" t="s">
        <v>168</v>
      </c>
      <c r="GA33" t="s">
        <v>53</v>
      </c>
      <c r="GB33">
        <v>6.5140000000000002</v>
      </c>
      <c r="GC33">
        <v>0.68100000000000005</v>
      </c>
      <c r="GD33">
        <v>4.8029999999999999</v>
      </c>
      <c r="GE33">
        <v>6.1449999999999996</v>
      </c>
      <c r="GF33">
        <v>6.6740000000000004</v>
      </c>
      <c r="GG33">
        <v>7.04</v>
      </c>
      <c r="GH33">
        <v>7.3479999999999999</v>
      </c>
      <c r="GI33">
        <v>1.0089999999999999</v>
      </c>
      <c r="GJ33">
        <v>540</v>
      </c>
      <c r="GO33" t="s">
        <v>53</v>
      </c>
      <c r="GP33">
        <v>5.7759999999999998</v>
      </c>
      <c r="GQ33">
        <v>1.046</v>
      </c>
      <c r="GR33">
        <v>3.452</v>
      </c>
      <c r="GS33">
        <v>5.1379999999999999</v>
      </c>
      <c r="GT33">
        <v>5.9210000000000003</v>
      </c>
      <c r="GU33">
        <v>6.5970000000000004</v>
      </c>
      <c r="GV33">
        <v>7.2809999999999997</v>
      </c>
      <c r="GW33">
        <v>1.0009999999999999</v>
      </c>
      <c r="GX33">
        <v>3000</v>
      </c>
      <c r="HC33" t="s">
        <v>53</v>
      </c>
      <c r="HD33">
        <v>5.8109999999999999</v>
      </c>
      <c r="HE33">
        <v>1.012</v>
      </c>
      <c r="HF33">
        <v>3.4870000000000001</v>
      </c>
      <c r="HG33">
        <v>5.181</v>
      </c>
      <c r="HH33">
        <v>5.96</v>
      </c>
      <c r="HI33">
        <v>6.5910000000000002</v>
      </c>
      <c r="HJ33">
        <v>7.274</v>
      </c>
      <c r="HK33">
        <v>1.004</v>
      </c>
      <c r="HL33">
        <v>510</v>
      </c>
      <c r="HP33" s="7"/>
      <c r="HQ33" s="7" t="s">
        <v>53</v>
      </c>
      <c r="HR33" s="7">
        <v>5.9980000000000002</v>
      </c>
      <c r="HS33" s="7">
        <v>0.88900000000000001</v>
      </c>
      <c r="HT33" s="7">
        <v>3.96</v>
      </c>
      <c r="HU33" s="7">
        <v>5.4530000000000003</v>
      </c>
      <c r="HV33" s="7">
        <v>6.1349999999999998</v>
      </c>
      <c r="HW33" s="7">
        <v>6.6879999999999997</v>
      </c>
      <c r="HX33" s="7">
        <v>7.29</v>
      </c>
      <c r="HY33" s="7">
        <v>1.0009999999999999</v>
      </c>
      <c r="HZ33" s="7">
        <v>3000</v>
      </c>
      <c r="IA33" s="7"/>
      <c r="IE33" t="s">
        <v>53</v>
      </c>
      <c r="IF33">
        <v>6.22</v>
      </c>
      <c r="IG33">
        <v>0.79700000000000004</v>
      </c>
      <c r="IH33">
        <v>4.4050000000000002</v>
      </c>
      <c r="II33">
        <v>5.7380000000000004</v>
      </c>
      <c r="IJ33">
        <v>6.3380000000000001</v>
      </c>
      <c r="IK33">
        <v>6.8470000000000004</v>
      </c>
      <c r="IL33">
        <v>7.31</v>
      </c>
      <c r="IM33">
        <v>1.002</v>
      </c>
      <c r="IN33">
        <v>3000</v>
      </c>
      <c r="IS33" t="s">
        <v>53</v>
      </c>
      <c r="IT33">
        <v>6.2709999999999999</v>
      </c>
      <c r="IU33">
        <v>0.81399999999999995</v>
      </c>
      <c r="IV33">
        <v>4.2549999999999999</v>
      </c>
      <c r="IW33">
        <v>5.8179999999999996</v>
      </c>
      <c r="IX33">
        <v>6.4130000000000003</v>
      </c>
      <c r="IY33">
        <v>6.9029999999999996</v>
      </c>
      <c r="IZ33">
        <v>7.33</v>
      </c>
      <c r="JA33">
        <v>1.002</v>
      </c>
      <c r="JB33">
        <v>3000</v>
      </c>
      <c r="JF33" t="s">
        <v>53</v>
      </c>
      <c r="JG33">
        <v>6.0350000000000001</v>
      </c>
      <c r="JH33">
        <v>0.88800000000000001</v>
      </c>
      <c r="JI33">
        <v>3.9510000000000001</v>
      </c>
      <c r="JJ33">
        <v>5.5110000000000001</v>
      </c>
      <c r="JK33">
        <v>6.1589999999999998</v>
      </c>
      <c r="JL33">
        <v>6.7190000000000003</v>
      </c>
      <c r="JM33">
        <v>7.3049999999999997</v>
      </c>
      <c r="JN33">
        <v>1.0009999999999999</v>
      </c>
      <c r="JO33">
        <v>3000</v>
      </c>
      <c r="JT33" t="s">
        <v>53</v>
      </c>
      <c r="JU33">
        <v>6.0069999999999997</v>
      </c>
      <c r="JV33">
        <v>0.88</v>
      </c>
      <c r="JW33">
        <v>3.9279999999999999</v>
      </c>
      <c r="JX33">
        <v>5.5060000000000002</v>
      </c>
      <c r="JY33">
        <v>6.14</v>
      </c>
      <c r="JZ33">
        <v>6.6619999999999999</v>
      </c>
      <c r="KA33">
        <v>7.2880000000000003</v>
      </c>
      <c r="KB33">
        <v>1.0009999999999999</v>
      </c>
      <c r="KC33">
        <v>3000</v>
      </c>
      <c r="KH33" t="s">
        <v>53</v>
      </c>
      <c r="KI33">
        <v>5.9950000000000001</v>
      </c>
      <c r="KJ33">
        <v>0.89200000000000002</v>
      </c>
      <c r="KK33">
        <v>3.952</v>
      </c>
      <c r="KL33">
        <v>5.4359999999999999</v>
      </c>
      <c r="KM33">
        <v>6.1109999999999998</v>
      </c>
      <c r="KN33">
        <v>6.6970000000000001</v>
      </c>
      <c r="KO33">
        <v>7.3070000000000004</v>
      </c>
      <c r="KP33">
        <v>1.0009999999999999</v>
      </c>
      <c r="KQ33">
        <v>2600</v>
      </c>
      <c r="KR33">
        <f t="shared" si="0"/>
        <v>401.41668399091907</v>
      </c>
      <c r="KV33" t="s">
        <v>53</v>
      </c>
      <c r="KW33">
        <v>6.7030000000000003</v>
      </c>
      <c r="KX33">
        <v>0.17399999999999999</v>
      </c>
      <c r="KY33">
        <v>6.32</v>
      </c>
      <c r="KZ33">
        <v>6.6</v>
      </c>
      <c r="LA33">
        <v>6.7210000000000001</v>
      </c>
      <c r="LB33">
        <v>6.8209999999999997</v>
      </c>
      <c r="LC33">
        <v>6.9960000000000004</v>
      </c>
      <c r="LD33">
        <v>1.0029999999999999</v>
      </c>
      <c r="LE33">
        <v>970</v>
      </c>
      <c r="LJ33" t="s">
        <v>53</v>
      </c>
      <c r="LK33">
        <v>2.319</v>
      </c>
      <c r="LL33">
        <v>0.81100000000000005</v>
      </c>
      <c r="LM33">
        <v>0.502</v>
      </c>
      <c r="LN33">
        <v>1.81</v>
      </c>
      <c r="LO33">
        <v>2.3820000000000001</v>
      </c>
      <c r="LP33">
        <v>2.9009999999999998</v>
      </c>
      <c r="LQ33">
        <v>3.6739999999999999</v>
      </c>
      <c r="LR33">
        <v>1.004</v>
      </c>
      <c r="LS33">
        <v>3000</v>
      </c>
      <c r="LX33" t="s">
        <v>53</v>
      </c>
      <c r="LY33">
        <v>2.0630000000000002</v>
      </c>
      <c r="LZ33">
        <v>0.92900000000000005</v>
      </c>
      <c r="MA33">
        <v>6.4000000000000001E-2</v>
      </c>
      <c r="MB33">
        <v>1.464</v>
      </c>
      <c r="MC33">
        <v>2.1339999999999999</v>
      </c>
      <c r="MD33">
        <v>2.714</v>
      </c>
      <c r="ME33">
        <v>3.738</v>
      </c>
      <c r="MF33">
        <v>1.0449999999999999</v>
      </c>
      <c r="MG33">
        <v>54</v>
      </c>
      <c r="ML33" t="s">
        <v>53</v>
      </c>
      <c r="MM33">
        <v>6.843</v>
      </c>
      <c r="MN33">
        <v>0.16600000000000001</v>
      </c>
      <c r="MO33">
        <v>6.4630000000000001</v>
      </c>
      <c r="MP33">
        <v>6.7480000000000002</v>
      </c>
      <c r="MQ33">
        <v>6.8609999999999998</v>
      </c>
      <c r="MR33">
        <v>6.9569999999999999</v>
      </c>
      <c r="MS33">
        <v>7.1219999999999999</v>
      </c>
      <c r="MT33">
        <v>1.0009999999999999</v>
      </c>
      <c r="MU33">
        <v>16000</v>
      </c>
      <c r="MZ33" t="s">
        <v>53</v>
      </c>
      <c r="NA33">
        <v>6.8410000000000002</v>
      </c>
      <c r="NB33">
        <v>0.159</v>
      </c>
      <c r="NC33">
        <v>6.47</v>
      </c>
      <c r="ND33">
        <v>6.7519999999999998</v>
      </c>
      <c r="NE33">
        <v>6.859</v>
      </c>
      <c r="NF33">
        <v>6.9489999999999998</v>
      </c>
      <c r="NG33">
        <v>7.1040000000000001</v>
      </c>
      <c r="NH33">
        <v>1.0029999999999999</v>
      </c>
      <c r="NI33">
        <v>860</v>
      </c>
      <c r="NM33" t="s">
        <v>53</v>
      </c>
      <c r="NN33">
        <v>7.1630000000000003</v>
      </c>
      <c r="NO33">
        <v>0.13200000000000001</v>
      </c>
      <c r="NP33">
        <v>6.8719999999999999</v>
      </c>
      <c r="NQ33">
        <v>7.077</v>
      </c>
      <c r="NR33">
        <v>7.181</v>
      </c>
      <c r="NS33">
        <v>7.2649999999999997</v>
      </c>
      <c r="NT33">
        <v>7.3639999999999999</v>
      </c>
      <c r="NU33">
        <v>1.0009999999999999</v>
      </c>
      <c r="NV33">
        <v>30000</v>
      </c>
      <c r="NY33" t="s">
        <v>53</v>
      </c>
      <c r="NZ33">
        <v>7.1440000000000001</v>
      </c>
      <c r="OA33">
        <v>0.14099999999999999</v>
      </c>
      <c r="OB33">
        <v>6.8339999999999996</v>
      </c>
      <c r="OC33">
        <v>7.0510000000000002</v>
      </c>
      <c r="OD33">
        <v>7.1619999999999999</v>
      </c>
      <c r="OE33">
        <v>7.2539999999999996</v>
      </c>
      <c r="OF33">
        <v>7.3579999999999997</v>
      </c>
      <c r="OG33">
        <v>1.0009999999999999</v>
      </c>
      <c r="OH33">
        <v>17000</v>
      </c>
      <c r="OP33" t="s">
        <v>53</v>
      </c>
      <c r="OQ33">
        <v>7.157</v>
      </c>
      <c r="OR33">
        <v>0.14099999999999999</v>
      </c>
      <c r="OS33">
        <v>6.8369999999999997</v>
      </c>
      <c r="OT33">
        <v>7.0670000000000002</v>
      </c>
      <c r="OU33">
        <v>7.1779999999999999</v>
      </c>
      <c r="OV33">
        <v>7.2670000000000003</v>
      </c>
      <c r="OW33">
        <v>7.3689999999999998</v>
      </c>
      <c r="OX33">
        <v>1.002</v>
      </c>
      <c r="OY33">
        <v>1200</v>
      </c>
      <c r="PB33" t="s">
        <v>53</v>
      </c>
      <c r="PC33">
        <v>7.1769999999999996</v>
      </c>
      <c r="PD33">
        <v>0.127</v>
      </c>
      <c r="PE33">
        <v>6.9009999999999998</v>
      </c>
      <c r="PF33">
        <v>7.0960000000000001</v>
      </c>
      <c r="PG33">
        <v>7.1959999999999997</v>
      </c>
      <c r="PH33">
        <v>7.274</v>
      </c>
      <c r="PI33">
        <v>7.3650000000000002</v>
      </c>
      <c r="PJ33">
        <v>1.002</v>
      </c>
      <c r="PK33">
        <v>1100</v>
      </c>
      <c r="PN33" t="s">
        <v>53</v>
      </c>
      <c r="PO33">
        <v>7.1159999999999997</v>
      </c>
      <c r="PP33">
        <v>0.155</v>
      </c>
      <c r="PQ33">
        <v>6.7789999999999999</v>
      </c>
      <c r="PR33">
        <v>7.0170000000000003</v>
      </c>
      <c r="PS33">
        <v>7.1340000000000003</v>
      </c>
      <c r="PT33">
        <v>7.2329999999999997</v>
      </c>
      <c r="PU33">
        <v>7.3659999999999997</v>
      </c>
      <c r="PV33">
        <v>1.0009999999999999</v>
      </c>
      <c r="PW33">
        <v>3000</v>
      </c>
      <c r="QA33" t="s">
        <v>53</v>
      </c>
      <c r="QB33">
        <v>6.7439999999999998</v>
      </c>
      <c r="QC33">
        <v>0.111</v>
      </c>
      <c r="QD33">
        <v>6.5279999999999996</v>
      </c>
      <c r="QE33">
        <v>6.6639999999999997</v>
      </c>
      <c r="QF33">
        <v>6.7480000000000002</v>
      </c>
      <c r="QG33">
        <v>6.827</v>
      </c>
      <c r="QH33">
        <v>6.9269999999999996</v>
      </c>
      <c r="QI33">
        <v>1.141</v>
      </c>
      <c r="QJ33">
        <v>19</v>
      </c>
      <c r="QL33">
        <f t="shared" si="2"/>
        <v>0.37199999999999989</v>
      </c>
    </row>
    <row r="34" spans="1:454">
      <c r="A34" t="s">
        <v>54</v>
      </c>
      <c r="B34">
        <v>6.2880000000000003</v>
      </c>
      <c r="C34">
        <v>1.044</v>
      </c>
      <c r="D34">
        <v>4.3150000000000004</v>
      </c>
      <c r="E34">
        <v>5.5609999999999999</v>
      </c>
      <c r="F34">
        <v>6.2869999999999999</v>
      </c>
      <c r="G34">
        <v>6.9649999999999999</v>
      </c>
      <c r="H34">
        <v>8.4440000000000008</v>
      </c>
      <c r="I34">
        <v>1.208</v>
      </c>
      <c r="J34">
        <v>14</v>
      </c>
      <c r="O34" t="s">
        <v>54</v>
      </c>
      <c r="P34">
        <v>6.0679999999999996</v>
      </c>
      <c r="Q34">
        <v>1.18</v>
      </c>
      <c r="R34">
        <v>3.0880000000000001</v>
      </c>
      <c r="S34">
        <v>5.4669999999999996</v>
      </c>
      <c r="T34">
        <v>6.3819999999999997</v>
      </c>
      <c r="U34">
        <v>6.9989999999999997</v>
      </c>
      <c r="V34">
        <v>7.343</v>
      </c>
      <c r="W34">
        <v>1.0049999999999999</v>
      </c>
      <c r="X34">
        <v>740</v>
      </c>
      <c r="AC34" t="s">
        <v>54</v>
      </c>
      <c r="AD34">
        <v>6.9089999999999998</v>
      </c>
      <c r="AE34">
        <v>0.40799999999999997</v>
      </c>
      <c r="AF34">
        <v>5.931</v>
      </c>
      <c r="AG34">
        <v>6.702</v>
      </c>
      <c r="AH34">
        <v>7.0190000000000001</v>
      </c>
      <c r="AI34">
        <v>7.2290000000000001</v>
      </c>
      <c r="AJ34">
        <v>7.37</v>
      </c>
      <c r="AK34">
        <v>1.0009999999999999</v>
      </c>
      <c r="AL34">
        <v>3000</v>
      </c>
      <c r="AQ34" t="s">
        <v>54</v>
      </c>
      <c r="AR34">
        <v>6.9139999999999997</v>
      </c>
      <c r="AS34">
        <v>0.39100000000000001</v>
      </c>
      <c r="AT34">
        <v>5.9669999999999996</v>
      </c>
      <c r="AU34">
        <v>6.69</v>
      </c>
      <c r="AV34">
        <v>7.0170000000000003</v>
      </c>
      <c r="AW34">
        <v>7.2249999999999996</v>
      </c>
      <c r="AX34">
        <v>7.3659999999999997</v>
      </c>
      <c r="AY34">
        <v>1.0009999999999999</v>
      </c>
      <c r="AZ34">
        <v>3000</v>
      </c>
      <c r="BE34" t="s">
        <v>54</v>
      </c>
      <c r="BF34">
        <v>6.944</v>
      </c>
      <c r="BG34">
        <v>0.35399999999999998</v>
      </c>
      <c r="BH34">
        <v>6.0449999999999999</v>
      </c>
      <c r="BI34">
        <v>6.7569999999999997</v>
      </c>
      <c r="BJ34">
        <v>7.0309999999999997</v>
      </c>
      <c r="BK34">
        <v>7.2220000000000004</v>
      </c>
      <c r="BL34">
        <v>7.3620000000000001</v>
      </c>
      <c r="BM34">
        <v>1.002</v>
      </c>
      <c r="BN34">
        <v>1100</v>
      </c>
      <c r="BS34" t="s">
        <v>54</v>
      </c>
      <c r="BT34">
        <v>6.8739999999999997</v>
      </c>
      <c r="BU34">
        <v>0.43</v>
      </c>
      <c r="BV34">
        <v>5.798</v>
      </c>
      <c r="BW34">
        <v>6.66</v>
      </c>
      <c r="BX34">
        <v>6.9889999999999999</v>
      </c>
      <c r="BY34">
        <v>7.1989999999999998</v>
      </c>
      <c r="BZ34">
        <v>7.3609999999999998</v>
      </c>
      <c r="CA34">
        <v>1.0009999999999999</v>
      </c>
      <c r="CB34">
        <v>3000</v>
      </c>
      <c r="CG34" t="s">
        <v>54</v>
      </c>
      <c r="CH34">
        <v>6.8970000000000002</v>
      </c>
      <c r="CI34">
        <v>0.39200000000000002</v>
      </c>
      <c r="CJ34">
        <v>5.9539999999999997</v>
      </c>
      <c r="CK34">
        <v>6.6769999999999996</v>
      </c>
      <c r="CL34">
        <v>6.9889999999999999</v>
      </c>
      <c r="CM34">
        <v>7.2089999999999996</v>
      </c>
      <c r="CN34">
        <v>7.3650000000000002</v>
      </c>
      <c r="CO34">
        <v>1.006</v>
      </c>
      <c r="CP34">
        <v>510</v>
      </c>
      <c r="CU34" t="s">
        <v>54</v>
      </c>
      <c r="CV34">
        <v>6.9809999999999999</v>
      </c>
      <c r="CW34">
        <v>0.378</v>
      </c>
      <c r="CX34">
        <v>5.992</v>
      </c>
      <c r="CY34">
        <v>6.8070000000000004</v>
      </c>
      <c r="CZ34">
        <v>7.0810000000000004</v>
      </c>
      <c r="DA34">
        <v>7.2690000000000001</v>
      </c>
      <c r="DB34">
        <v>7.375</v>
      </c>
      <c r="DC34">
        <v>1.008</v>
      </c>
      <c r="DD34">
        <v>290</v>
      </c>
      <c r="DI34" t="s">
        <v>54</v>
      </c>
      <c r="DJ34">
        <v>6.8949999999999996</v>
      </c>
      <c r="DK34">
        <v>0.41799999999999998</v>
      </c>
      <c r="DL34">
        <v>5.8479999999999999</v>
      </c>
      <c r="DM34">
        <v>6.6779999999999999</v>
      </c>
      <c r="DN34">
        <v>7.0119999999999996</v>
      </c>
      <c r="DO34">
        <v>7.218</v>
      </c>
      <c r="DP34">
        <v>7.3630000000000004</v>
      </c>
      <c r="DQ34">
        <v>1.0009999999999999</v>
      </c>
      <c r="DR34">
        <v>3000</v>
      </c>
      <c r="DY34" t="s">
        <v>54</v>
      </c>
      <c r="DZ34">
        <v>6.9379999999999997</v>
      </c>
      <c r="EA34">
        <v>0.379</v>
      </c>
      <c r="EB34">
        <v>5.9939999999999998</v>
      </c>
      <c r="EC34">
        <v>6.7389999999999999</v>
      </c>
      <c r="ED34">
        <v>7.0389999999999997</v>
      </c>
      <c r="EE34">
        <v>7.2309999999999999</v>
      </c>
      <c r="EF34">
        <v>7.3650000000000002</v>
      </c>
      <c r="EG34">
        <v>1.006</v>
      </c>
      <c r="EH34">
        <v>720</v>
      </c>
      <c r="EK34" t="s">
        <v>54</v>
      </c>
      <c r="EL34">
        <v>6.7610000000000001</v>
      </c>
      <c r="EM34">
        <v>0.46800000000000003</v>
      </c>
      <c r="EN34">
        <v>5.6420000000000003</v>
      </c>
      <c r="EO34">
        <v>6.4950000000000001</v>
      </c>
      <c r="EP34">
        <v>6.87</v>
      </c>
      <c r="EQ34">
        <v>7.1340000000000003</v>
      </c>
      <c r="ER34">
        <v>7.35</v>
      </c>
      <c r="ES34">
        <v>1.0009999999999999</v>
      </c>
      <c r="ET34">
        <v>1500</v>
      </c>
      <c r="EY34" t="s">
        <v>54</v>
      </c>
      <c r="EZ34">
        <v>6.5250000000000004</v>
      </c>
      <c r="FA34">
        <v>0.60099999999999998</v>
      </c>
      <c r="FB34">
        <v>5.1319999999999997</v>
      </c>
      <c r="FC34">
        <v>6.1449999999999996</v>
      </c>
      <c r="FD34">
        <v>6.6210000000000004</v>
      </c>
      <c r="FE34">
        <v>7.0049999999999999</v>
      </c>
      <c r="FF34">
        <v>7.33</v>
      </c>
      <c r="FG34">
        <v>1.0009999999999999</v>
      </c>
      <c r="FH34">
        <v>3000</v>
      </c>
      <c r="FM34" t="s">
        <v>167</v>
      </c>
      <c r="FN34" t="s">
        <v>20</v>
      </c>
      <c r="FO34">
        <v>1653.2</v>
      </c>
      <c r="FP34" t="s">
        <v>154</v>
      </c>
      <c r="FQ34" t="s">
        <v>163</v>
      </c>
      <c r="FR34" t="s">
        <v>20</v>
      </c>
      <c r="FS34">
        <v>4752.8</v>
      </c>
      <c r="GA34" t="s">
        <v>54</v>
      </c>
      <c r="GB34">
        <v>7.0659999999999998</v>
      </c>
      <c r="GC34">
        <v>0.255</v>
      </c>
      <c r="GD34">
        <v>6.44</v>
      </c>
      <c r="GE34">
        <v>6.9279999999999999</v>
      </c>
      <c r="GF34">
        <v>7.1239999999999997</v>
      </c>
      <c r="GG34">
        <v>7.2640000000000002</v>
      </c>
      <c r="GH34">
        <v>7.3710000000000004</v>
      </c>
      <c r="GI34">
        <v>1.0009999999999999</v>
      </c>
      <c r="GJ34">
        <v>3000</v>
      </c>
      <c r="GO34" t="s">
        <v>54</v>
      </c>
      <c r="GP34">
        <v>6.5609999999999999</v>
      </c>
      <c r="GQ34">
        <v>0.58099999999999996</v>
      </c>
      <c r="GR34">
        <v>5.226</v>
      </c>
      <c r="GS34">
        <v>6.2089999999999996</v>
      </c>
      <c r="GT34">
        <v>6.6609999999999996</v>
      </c>
      <c r="GU34">
        <v>7.0250000000000004</v>
      </c>
      <c r="GV34">
        <v>7.3490000000000002</v>
      </c>
      <c r="GW34">
        <v>1.0029999999999999</v>
      </c>
      <c r="GX34">
        <v>710</v>
      </c>
      <c r="HC34" t="s">
        <v>54</v>
      </c>
      <c r="HD34">
        <v>6.63</v>
      </c>
      <c r="HE34">
        <v>0.55400000000000005</v>
      </c>
      <c r="HF34">
        <v>5.3310000000000004</v>
      </c>
      <c r="HG34">
        <v>6.2759999999999998</v>
      </c>
      <c r="HH34">
        <v>6.7329999999999997</v>
      </c>
      <c r="HI34">
        <v>7.0750000000000002</v>
      </c>
      <c r="HJ34">
        <v>7.351</v>
      </c>
      <c r="HK34">
        <v>1.002</v>
      </c>
      <c r="HL34">
        <v>2200</v>
      </c>
      <c r="HP34" s="7"/>
      <c r="HQ34" s="7" t="s">
        <v>54</v>
      </c>
      <c r="HR34" s="7">
        <v>6.6609999999999996</v>
      </c>
      <c r="HS34" s="7">
        <v>0.498</v>
      </c>
      <c r="HT34" s="7">
        <v>5.5209999999999999</v>
      </c>
      <c r="HU34" s="7">
        <v>6.3440000000000003</v>
      </c>
      <c r="HV34" s="7">
        <v>6.7240000000000002</v>
      </c>
      <c r="HW34" s="7">
        <v>7.0670000000000002</v>
      </c>
      <c r="HX34" s="7">
        <v>7.3470000000000004</v>
      </c>
      <c r="HY34" s="7">
        <v>1.002</v>
      </c>
      <c r="HZ34" s="7">
        <v>1900</v>
      </c>
      <c r="IA34" s="7"/>
      <c r="IE34" t="s">
        <v>54</v>
      </c>
      <c r="IF34">
        <v>6.931</v>
      </c>
      <c r="IG34">
        <v>0.318</v>
      </c>
      <c r="IH34">
        <v>6.2220000000000004</v>
      </c>
      <c r="II34">
        <v>6.7329999999999997</v>
      </c>
      <c r="IJ34">
        <v>6.9820000000000002</v>
      </c>
      <c r="IK34">
        <v>7.194</v>
      </c>
      <c r="IL34">
        <v>7.359</v>
      </c>
      <c r="IM34">
        <v>1.0009999999999999</v>
      </c>
      <c r="IN34">
        <v>3000</v>
      </c>
      <c r="IS34" t="s">
        <v>54</v>
      </c>
      <c r="IT34">
        <v>6.9779999999999998</v>
      </c>
      <c r="IU34">
        <v>0.29699999999999999</v>
      </c>
      <c r="IV34">
        <v>6.274</v>
      </c>
      <c r="IW34">
        <v>6.7949999999999999</v>
      </c>
      <c r="IX34">
        <v>7.0350000000000001</v>
      </c>
      <c r="IY34">
        <v>7.2169999999999996</v>
      </c>
      <c r="IZ34">
        <v>7.3630000000000004</v>
      </c>
      <c r="JA34">
        <v>1.0009999999999999</v>
      </c>
      <c r="JB34">
        <v>3000</v>
      </c>
      <c r="JF34" t="s">
        <v>54</v>
      </c>
      <c r="JG34">
        <v>6.74</v>
      </c>
      <c r="JH34">
        <v>0.45400000000000001</v>
      </c>
      <c r="JI34">
        <v>5.6879999999999997</v>
      </c>
      <c r="JJ34">
        <v>6.4509999999999996</v>
      </c>
      <c r="JK34">
        <v>6.819</v>
      </c>
      <c r="JL34">
        <v>7.1079999999999997</v>
      </c>
      <c r="JM34">
        <v>7.3550000000000004</v>
      </c>
      <c r="JN34">
        <v>1.0009999999999999</v>
      </c>
      <c r="JO34">
        <v>3000</v>
      </c>
      <c r="JT34" t="s">
        <v>54</v>
      </c>
      <c r="JU34">
        <v>6.6529999999999996</v>
      </c>
      <c r="JV34">
        <v>0.50600000000000001</v>
      </c>
      <c r="JW34">
        <v>5.5039999999999996</v>
      </c>
      <c r="JX34">
        <v>6.3410000000000002</v>
      </c>
      <c r="JY34">
        <v>6.7359999999999998</v>
      </c>
      <c r="JZ34">
        <v>7.056</v>
      </c>
      <c r="KA34">
        <v>7.3460000000000001</v>
      </c>
      <c r="KB34">
        <v>1.0009999999999999</v>
      </c>
      <c r="KC34">
        <v>3000</v>
      </c>
      <c r="KH34" t="s">
        <v>54</v>
      </c>
      <c r="KI34">
        <v>6.6479999999999997</v>
      </c>
      <c r="KJ34">
        <v>0.502</v>
      </c>
      <c r="KK34">
        <v>5.5179999999999998</v>
      </c>
      <c r="KL34">
        <v>6.3120000000000003</v>
      </c>
      <c r="KM34">
        <v>6.7249999999999996</v>
      </c>
      <c r="KN34">
        <v>7.0620000000000003</v>
      </c>
      <c r="KO34">
        <v>7.3460000000000001</v>
      </c>
      <c r="KP34">
        <v>1.006</v>
      </c>
      <c r="KQ34">
        <v>370</v>
      </c>
      <c r="KR34">
        <f t="shared" si="0"/>
        <v>771.24030142286608</v>
      </c>
      <c r="KV34" t="s">
        <v>54</v>
      </c>
      <c r="KW34">
        <v>8.2520000000000007</v>
      </c>
      <c r="KX34">
        <v>0.27300000000000002</v>
      </c>
      <c r="KY34">
        <v>7.6769999999999996</v>
      </c>
      <c r="KZ34">
        <v>8.0809999999999995</v>
      </c>
      <c r="LA34">
        <v>8.2690000000000001</v>
      </c>
      <c r="LB34">
        <v>8.4350000000000005</v>
      </c>
      <c r="LC34">
        <v>8.7620000000000005</v>
      </c>
      <c r="LD34">
        <v>1.002</v>
      </c>
      <c r="LE34">
        <v>1800</v>
      </c>
      <c r="LJ34" t="s">
        <v>54</v>
      </c>
      <c r="LK34">
        <v>2.5659999999999998</v>
      </c>
      <c r="LL34">
        <v>0.876</v>
      </c>
      <c r="LM34">
        <v>0.63900000000000001</v>
      </c>
      <c r="LN34">
        <v>1.9990000000000001</v>
      </c>
      <c r="LO34">
        <v>2.6379999999999999</v>
      </c>
      <c r="LP34">
        <v>3.198</v>
      </c>
      <c r="LQ34">
        <v>4.077</v>
      </c>
      <c r="LR34">
        <v>1.0069999999999999</v>
      </c>
      <c r="LS34">
        <v>1300</v>
      </c>
      <c r="LX34" t="s">
        <v>54</v>
      </c>
      <c r="LY34">
        <v>3.5920000000000001</v>
      </c>
      <c r="LZ34">
        <v>1.165</v>
      </c>
      <c r="MA34">
        <v>1.31</v>
      </c>
      <c r="MB34">
        <v>2.7290000000000001</v>
      </c>
      <c r="MC34">
        <v>3.6970000000000001</v>
      </c>
      <c r="MD34">
        <v>4.4749999999999996</v>
      </c>
      <c r="ME34">
        <v>5.59</v>
      </c>
      <c r="MF34">
        <v>1.532</v>
      </c>
      <c r="MG34">
        <v>7</v>
      </c>
      <c r="ML34" t="s">
        <v>54</v>
      </c>
      <c r="MM34">
        <v>8.0169999999999995</v>
      </c>
      <c r="MN34">
        <v>0.248</v>
      </c>
      <c r="MO34">
        <v>7.5060000000000002</v>
      </c>
      <c r="MP34">
        <v>7.8559999999999999</v>
      </c>
      <c r="MQ34">
        <v>8.0239999999999991</v>
      </c>
      <c r="MR34">
        <v>8.1859999999999999</v>
      </c>
      <c r="MS34">
        <v>8.4819999999999993</v>
      </c>
      <c r="MT34">
        <v>1.0009999999999999</v>
      </c>
      <c r="MU34">
        <v>17000</v>
      </c>
      <c r="MZ34" t="s">
        <v>54</v>
      </c>
      <c r="NA34">
        <v>8.0169999999999995</v>
      </c>
      <c r="NB34">
        <v>0.24099999999999999</v>
      </c>
      <c r="NC34">
        <v>7.5140000000000002</v>
      </c>
      <c r="ND34">
        <v>7.86</v>
      </c>
      <c r="NE34">
        <v>8.0340000000000007</v>
      </c>
      <c r="NF34">
        <v>8.1910000000000007</v>
      </c>
      <c r="NG34">
        <v>8.4559999999999995</v>
      </c>
      <c r="NH34">
        <v>1.002</v>
      </c>
      <c r="NI34">
        <v>1100</v>
      </c>
      <c r="NM34" t="s">
        <v>54</v>
      </c>
      <c r="NN34">
        <v>7.31</v>
      </c>
      <c r="NO34">
        <v>0.115</v>
      </c>
      <c r="NP34">
        <v>7.0739999999999998</v>
      </c>
      <c r="NQ34">
        <v>7.2320000000000002</v>
      </c>
      <c r="NR34">
        <v>7.3150000000000004</v>
      </c>
      <c r="NS34">
        <v>7.3929999999999998</v>
      </c>
      <c r="NT34">
        <v>7.5190000000000001</v>
      </c>
      <c r="NU34">
        <v>1.002</v>
      </c>
      <c r="NV34">
        <v>3200</v>
      </c>
      <c r="NY34" t="s">
        <v>54</v>
      </c>
      <c r="NZ34">
        <v>7.2990000000000004</v>
      </c>
      <c r="OA34">
        <v>0.121</v>
      </c>
      <c r="OB34">
        <v>7.0510000000000002</v>
      </c>
      <c r="OC34">
        <v>7.218</v>
      </c>
      <c r="OD34">
        <v>7.3049999999999997</v>
      </c>
      <c r="OE34">
        <v>7.3869999999999996</v>
      </c>
      <c r="OF34">
        <v>7.5170000000000003</v>
      </c>
      <c r="OG34">
        <v>1.0009999999999999</v>
      </c>
      <c r="OH34">
        <v>18000</v>
      </c>
      <c r="OP34" t="s">
        <v>54</v>
      </c>
      <c r="OQ34">
        <v>7.3019999999999996</v>
      </c>
      <c r="OR34">
        <v>0.11899999999999999</v>
      </c>
      <c r="OS34">
        <v>7.0540000000000003</v>
      </c>
      <c r="OT34">
        <v>7.2229999999999999</v>
      </c>
      <c r="OU34">
        <v>7.3079999999999998</v>
      </c>
      <c r="OV34">
        <v>7.3879999999999999</v>
      </c>
      <c r="OW34">
        <v>7.5119999999999996</v>
      </c>
      <c r="OX34">
        <v>1.002</v>
      </c>
      <c r="OY34">
        <v>1300</v>
      </c>
      <c r="PB34" t="s">
        <v>54</v>
      </c>
      <c r="PC34">
        <v>7.3179999999999996</v>
      </c>
      <c r="PD34">
        <v>0.113</v>
      </c>
      <c r="PE34">
        <v>7.0869999999999997</v>
      </c>
      <c r="PF34">
        <v>7.24</v>
      </c>
      <c r="PG34">
        <v>7.3239999999999998</v>
      </c>
      <c r="PH34">
        <v>7.399</v>
      </c>
      <c r="PI34">
        <v>7.5149999999999997</v>
      </c>
      <c r="PJ34">
        <v>1.002</v>
      </c>
      <c r="PK34">
        <v>1600</v>
      </c>
      <c r="PN34" t="s">
        <v>54</v>
      </c>
      <c r="PO34">
        <v>7.1029999999999998</v>
      </c>
      <c r="PP34">
        <v>0.16200000000000001</v>
      </c>
      <c r="PQ34">
        <v>6.75</v>
      </c>
      <c r="PR34">
        <v>6.9980000000000002</v>
      </c>
      <c r="PS34">
        <v>7.1189999999999998</v>
      </c>
      <c r="PT34">
        <v>7.2240000000000002</v>
      </c>
      <c r="PU34">
        <v>7.3689999999999998</v>
      </c>
      <c r="PV34">
        <v>1.0009999999999999</v>
      </c>
      <c r="PW34">
        <v>3000</v>
      </c>
      <c r="QA34" t="s">
        <v>54</v>
      </c>
      <c r="QB34">
        <v>6.7329999999999997</v>
      </c>
      <c r="QC34">
        <v>0.114</v>
      </c>
      <c r="QD34">
        <v>6.51</v>
      </c>
      <c r="QE34">
        <v>6.6509999999999998</v>
      </c>
      <c r="QF34">
        <v>6.7380000000000004</v>
      </c>
      <c r="QG34">
        <v>6.819</v>
      </c>
      <c r="QH34">
        <v>6.9219999999999997</v>
      </c>
      <c r="QI34">
        <v>1.1439999999999999</v>
      </c>
      <c r="QJ34">
        <v>19</v>
      </c>
      <c r="QL34">
        <f t="shared" si="2"/>
        <v>0.37000000000000011</v>
      </c>
    </row>
    <row r="35" spans="1:454">
      <c r="A35" t="s">
        <v>55</v>
      </c>
      <c r="B35">
        <v>6.0430000000000001</v>
      </c>
      <c r="C35">
        <v>1.208</v>
      </c>
      <c r="D35">
        <v>3.6949999999999998</v>
      </c>
      <c r="E35">
        <v>5.2549999999999999</v>
      </c>
      <c r="F35">
        <v>5.9710000000000001</v>
      </c>
      <c r="G35">
        <v>6.8789999999999996</v>
      </c>
      <c r="H35">
        <v>8.3109999999999999</v>
      </c>
      <c r="I35">
        <v>1.2110000000000001</v>
      </c>
      <c r="J35">
        <v>14</v>
      </c>
      <c r="O35" t="s">
        <v>55</v>
      </c>
      <c r="P35">
        <v>1.9770000000000001</v>
      </c>
      <c r="Q35">
        <v>1.9339999999999999</v>
      </c>
      <c r="R35">
        <v>2.1000000000000001E-2</v>
      </c>
      <c r="S35">
        <v>0.35799999999999998</v>
      </c>
      <c r="T35">
        <v>1.298</v>
      </c>
      <c r="U35">
        <v>3.2109999999999999</v>
      </c>
      <c r="V35">
        <v>6.5549999999999997</v>
      </c>
      <c r="W35">
        <v>1.0229999999999999</v>
      </c>
      <c r="X35">
        <v>99</v>
      </c>
      <c r="AC35" t="s">
        <v>55</v>
      </c>
      <c r="AD35">
        <v>5.4020000000000001</v>
      </c>
      <c r="AE35">
        <v>1.0229999999999999</v>
      </c>
      <c r="AF35">
        <v>3.15</v>
      </c>
      <c r="AG35">
        <v>4.7279999999999998</v>
      </c>
      <c r="AH35">
        <v>5.45</v>
      </c>
      <c r="AI35">
        <v>6.1340000000000003</v>
      </c>
      <c r="AJ35">
        <v>7.1820000000000004</v>
      </c>
      <c r="AK35">
        <v>1.0009999999999999</v>
      </c>
      <c r="AL35">
        <v>3000</v>
      </c>
      <c r="AQ35" t="s">
        <v>55</v>
      </c>
      <c r="AR35">
        <v>5.38</v>
      </c>
      <c r="AS35">
        <v>1.0129999999999999</v>
      </c>
      <c r="AT35">
        <v>3.27</v>
      </c>
      <c r="AU35">
        <v>4.7160000000000002</v>
      </c>
      <c r="AV35">
        <v>5.4489999999999998</v>
      </c>
      <c r="AW35">
        <v>6.12</v>
      </c>
      <c r="AX35">
        <v>7.1459999999999999</v>
      </c>
      <c r="AY35">
        <v>1.0009999999999999</v>
      </c>
      <c r="AZ35">
        <v>3000</v>
      </c>
      <c r="BE35" t="s">
        <v>55</v>
      </c>
      <c r="BF35">
        <v>4.569</v>
      </c>
      <c r="BG35">
        <v>1.054</v>
      </c>
      <c r="BH35">
        <v>2.2330000000000001</v>
      </c>
      <c r="BI35">
        <v>3.948</v>
      </c>
      <c r="BJ35">
        <v>4.6440000000000001</v>
      </c>
      <c r="BK35">
        <v>5.31</v>
      </c>
      <c r="BL35">
        <v>6.4119999999999999</v>
      </c>
      <c r="BM35">
        <v>1.042</v>
      </c>
      <c r="BN35">
        <v>63</v>
      </c>
      <c r="BS35" t="s">
        <v>55</v>
      </c>
      <c r="BT35">
        <v>3.9460000000000002</v>
      </c>
      <c r="BU35">
        <v>1.085</v>
      </c>
      <c r="BV35">
        <v>1.649</v>
      </c>
      <c r="BW35">
        <v>3.2749999999999999</v>
      </c>
      <c r="BX35">
        <v>3.9729999999999999</v>
      </c>
      <c r="BY35">
        <v>4.6970000000000001</v>
      </c>
      <c r="BZ35">
        <v>5.9530000000000003</v>
      </c>
      <c r="CA35">
        <v>1.004</v>
      </c>
      <c r="CB35">
        <v>2300</v>
      </c>
      <c r="CG35" t="s">
        <v>55</v>
      </c>
      <c r="CH35">
        <v>4.7370000000000001</v>
      </c>
      <c r="CI35">
        <v>0.98299999999999998</v>
      </c>
      <c r="CJ35">
        <v>2.7269999999999999</v>
      </c>
      <c r="CK35">
        <v>4.101</v>
      </c>
      <c r="CL35">
        <v>4.7709999999999999</v>
      </c>
      <c r="CM35">
        <v>5.4189999999999996</v>
      </c>
      <c r="CN35">
        <v>6.61</v>
      </c>
      <c r="CO35">
        <v>1.0049999999999999</v>
      </c>
      <c r="CP35">
        <v>1000</v>
      </c>
      <c r="CU35" t="s">
        <v>55</v>
      </c>
      <c r="CV35">
        <v>5.03</v>
      </c>
      <c r="CW35">
        <v>1.0229999999999999</v>
      </c>
      <c r="CX35">
        <v>2.7919999999999998</v>
      </c>
      <c r="CY35">
        <v>4.3869999999999996</v>
      </c>
      <c r="CZ35">
        <v>5.1070000000000002</v>
      </c>
      <c r="DA35">
        <v>5.7469999999999999</v>
      </c>
      <c r="DB35">
        <v>6.8540000000000001</v>
      </c>
      <c r="DC35">
        <v>1.048</v>
      </c>
      <c r="DD35">
        <v>57</v>
      </c>
      <c r="DI35" t="s">
        <v>55</v>
      </c>
      <c r="DJ35">
        <v>5.4660000000000002</v>
      </c>
      <c r="DK35">
        <v>1.0369999999999999</v>
      </c>
      <c r="DL35">
        <v>3.266</v>
      </c>
      <c r="DM35">
        <v>4.8310000000000004</v>
      </c>
      <c r="DN35">
        <v>5.5410000000000004</v>
      </c>
      <c r="DO35">
        <v>6.234</v>
      </c>
      <c r="DP35">
        <v>7.1639999999999997</v>
      </c>
      <c r="DQ35">
        <v>1.004</v>
      </c>
      <c r="DR35">
        <v>640</v>
      </c>
      <c r="DY35" t="s">
        <v>55</v>
      </c>
      <c r="DZ35">
        <v>5.609</v>
      </c>
      <c r="EA35">
        <v>0.95899999999999996</v>
      </c>
      <c r="EB35">
        <v>3.6429999999999998</v>
      </c>
      <c r="EC35">
        <v>4.9800000000000004</v>
      </c>
      <c r="ED35">
        <v>5.6550000000000002</v>
      </c>
      <c r="EE35">
        <v>6.3390000000000004</v>
      </c>
      <c r="EF35">
        <v>7.19</v>
      </c>
      <c r="EG35">
        <v>1.0009999999999999</v>
      </c>
      <c r="EH35">
        <v>3000</v>
      </c>
      <c r="EK35" t="s">
        <v>55</v>
      </c>
      <c r="EL35">
        <v>5.3730000000000002</v>
      </c>
      <c r="EM35">
        <v>1.234</v>
      </c>
      <c r="EN35">
        <v>2.5819999999999999</v>
      </c>
      <c r="EO35">
        <v>4.5830000000000002</v>
      </c>
      <c r="EP35">
        <v>5.54</v>
      </c>
      <c r="EQ35">
        <v>6.3579999999999997</v>
      </c>
      <c r="ER35">
        <v>7.2329999999999997</v>
      </c>
      <c r="ES35">
        <v>1.0049999999999999</v>
      </c>
      <c r="ET35">
        <v>810</v>
      </c>
      <c r="EY35" t="s">
        <v>55</v>
      </c>
      <c r="EZ35">
        <v>4.84</v>
      </c>
      <c r="FA35">
        <v>1.254</v>
      </c>
      <c r="FB35">
        <v>2.169</v>
      </c>
      <c r="FC35">
        <v>3.996</v>
      </c>
      <c r="FD35">
        <v>4.9029999999999996</v>
      </c>
      <c r="FE35">
        <v>5.73</v>
      </c>
      <c r="FF35">
        <v>7.06</v>
      </c>
      <c r="FG35">
        <v>1.004</v>
      </c>
      <c r="FH35">
        <v>3000</v>
      </c>
      <c r="FM35" t="s">
        <v>163</v>
      </c>
      <c r="FN35" t="s">
        <v>146</v>
      </c>
      <c r="FO35" t="s">
        <v>169</v>
      </c>
      <c r="FP35" t="s">
        <v>170</v>
      </c>
      <c r="FQ35" t="s">
        <v>150</v>
      </c>
      <c r="FR35" t="s">
        <v>171</v>
      </c>
      <c r="FS35" t="s">
        <v>172</v>
      </c>
      <c r="FT35" t="s">
        <v>173</v>
      </c>
      <c r="FU35" t="s">
        <v>174</v>
      </c>
      <c r="FV35" t="s">
        <v>143</v>
      </c>
      <c r="FW35" t="s">
        <v>146</v>
      </c>
      <c r="FX35" t="s">
        <v>175</v>
      </c>
      <c r="GA35" t="s">
        <v>55</v>
      </c>
      <c r="GB35">
        <v>6.5380000000000003</v>
      </c>
      <c r="GC35">
        <v>0.64700000000000002</v>
      </c>
      <c r="GD35">
        <v>4.9809999999999999</v>
      </c>
      <c r="GE35">
        <v>6.181</v>
      </c>
      <c r="GF35">
        <v>6.6840000000000002</v>
      </c>
      <c r="GG35">
        <v>7.0439999999999996</v>
      </c>
      <c r="GH35">
        <v>7.3460000000000001</v>
      </c>
      <c r="GI35">
        <v>1.0029999999999999</v>
      </c>
      <c r="GJ35">
        <v>1000</v>
      </c>
      <c r="GO35" t="s">
        <v>55</v>
      </c>
      <c r="GP35">
        <v>4.88</v>
      </c>
      <c r="GQ35">
        <v>1.23</v>
      </c>
      <c r="GR35">
        <v>2.3260000000000001</v>
      </c>
      <c r="GS35">
        <v>4.1260000000000003</v>
      </c>
      <c r="GT35">
        <v>4.92</v>
      </c>
      <c r="GU35">
        <v>5.758</v>
      </c>
      <c r="GV35">
        <v>7.0289999999999999</v>
      </c>
      <c r="GW35">
        <v>1.004</v>
      </c>
      <c r="GX35">
        <v>2000</v>
      </c>
      <c r="HC35" t="s">
        <v>55</v>
      </c>
      <c r="HD35">
        <v>4.9450000000000003</v>
      </c>
      <c r="HE35">
        <v>1.1719999999999999</v>
      </c>
      <c r="HF35">
        <v>2.5179999999999998</v>
      </c>
      <c r="HG35">
        <v>4.1669999999999998</v>
      </c>
      <c r="HH35">
        <v>4.9690000000000003</v>
      </c>
      <c r="HI35">
        <v>5.7869999999999999</v>
      </c>
      <c r="HJ35">
        <v>7.0720000000000001</v>
      </c>
      <c r="HK35">
        <v>1.002</v>
      </c>
      <c r="HL35">
        <v>1100</v>
      </c>
      <c r="HP35" s="7"/>
      <c r="HQ35" s="7" t="s">
        <v>55</v>
      </c>
      <c r="HR35" s="7">
        <v>5.1559999999999997</v>
      </c>
      <c r="HS35" s="7">
        <v>1.109</v>
      </c>
      <c r="HT35" s="7">
        <v>2.8010000000000002</v>
      </c>
      <c r="HU35" s="7">
        <v>4.4390000000000001</v>
      </c>
      <c r="HV35" s="7">
        <v>5.2030000000000003</v>
      </c>
      <c r="HW35" s="7">
        <v>5.9749999999999996</v>
      </c>
      <c r="HX35" s="7">
        <v>7.1239999999999997</v>
      </c>
      <c r="HY35" s="7">
        <v>1.01</v>
      </c>
      <c r="HZ35" s="7">
        <v>490</v>
      </c>
      <c r="IA35" s="7"/>
      <c r="IE35" t="s">
        <v>55</v>
      </c>
      <c r="IF35">
        <v>5.6440000000000001</v>
      </c>
      <c r="IG35">
        <v>0.96199999999999997</v>
      </c>
      <c r="IH35">
        <v>3.5840000000000001</v>
      </c>
      <c r="II35">
        <v>5.0129999999999999</v>
      </c>
      <c r="IJ35">
        <v>5.7370000000000001</v>
      </c>
      <c r="IK35">
        <v>6.3689999999999998</v>
      </c>
      <c r="IL35">
        <v>7.2039999999999997</v>
      </c>
      <c r="IM35">
        <v>1.0029999999999999</v>
      </c>
      <c r="IN35">
        <v>800</v>
      </c>
      <c r="IS35" t="s">
        <v>55</v>
      </c>
      <c r="IT35">
        <v>5.819</v>
      </c>
      <c r="IU35">
        <v>0.92600000000000005</v>
      </c>
      <c r="IV35">
        <v>3.7269999999999999</v>
      </c>
      <c r="IW35">
        <v>5.2530000000000001</v>
      </c>
      <c r="IX35">
        <v>5.9260000000000002</v>
      </c>
      <c r="IY35">
        <v>6.5190000000000001</v>
      </c>
      <c r="IZ35">
        <v>7.258</v>
      </c>
      <c r="JA35">
        <v>1.0069999999999999</v>
      </c>
      <c r="JB35">
        <v>460</v>
      </c>
      <c r="JF35" t="s">
        <v>55</v>
      </c>
      <c r="JG35">
        <v>5.1840000000000002</v>
      </c>
      <c r="JH35">
        <v>1.0980000000000001</v>
      </c>
      <c r="JI35">
        <v>2.9129999999999998</v>
      </c>
      <c r="JJ35">
        <v>4.4690000000000003</v>
      </c>
      <c r="JK35">
        <v>5.28</v>
      </c>
      <c r="JL35">
        <v>5.968</v>
      </c>
      <c r="JM35">
        <v>7.1159999999999997</v>
      </c>
      <c r="JN35">
        <v>1.0009999999999999</v>
      </c>
      <c r="JO35">
        <v>2200</v>
      </c>
      <c r="JT35" t="s">
        <v>55</v>
      </c>
      <c r="JU35">
        <v>5.0519999999999996</v>
      </c>
      <c r="JV35">
        <v>1.151</v>
      </c>
      <c r="JW35">
        <v>2.532</v>
      </c>
      <c r="JX35">
        <v>4.3360000000000003</v>
      </c>
      <c r="JY35">
        <v>5.12</v>
      </c>
      <c r="JZ35">
        <v>5.88</v>
      </c>
      <c r="KA35">
        <v>7.093</v>
      </c>
      <c r="KB35">
        <v>1.0089999999999999</v>
      </c>
      <c r="KC35">
        <v>720</v>
      </c>
      <c r="KH35" t="s">
        <v>55</v>
      </c>
      <c r="KI35">
        <v>5.1050000000000004</v>
      </c>
      <c r="KJ35">
        <v>1.143</v>
      </c>
      <c r="KK35">
        <v>2.657</v>
      </c>
      <c r="KL35">
        <v>4.3710000000000004</v>
      </c>
      <c r="KM35">
        <v>5.1740000000000004</v>
      </c>
      <c r="KN35">
        <v>5.93</v>
      </c>
      <c r="KO35">
        <v>7.0529999999999999</v>
      </c>
      <c r="KP35">
        <v>1.0009999999999999</v>
      </c>
      <c r="KQ35">
        <v>3000</v>
      </c>
      <c r="KR35">
        <f t="shared" si="0"/>
        <v>164.84407053164131</v>
      </c>
      <c r="KV35" t="s">
        <v>55</v>
      </c>
      <c r="KW35">
        <v>5.32</v>
      </c>
      <c r="KX35">
        <v>0.41599999999999998</v>
      </c>
      <c r="KY35">
        <v>4.5019999999999998</v>
      </c>
      <c r="KZ35">
        <v>5.0389999999999997</v>
      </c>
      <c r="LA35">
        <v>5.3150000000000004</v>
      </c>
      <c r="LB35">
        <v>5.59</v>
      </c>
      <c r="LC35">
        <v>6.1479999999999997</v>
      </c>
      <c r="LD35">
        <v>1.004</v>
      </c>
      <c r="LE35">
        <v>600</v>
      </c>
      <c r="LJ35" t="s">
        <v>55</v>
      </c>
      <c r="LK35">
        <v>2.0979999999999999</v>
      </c>
      <c r="LL35">
        <v>1.19</v>
      </c>
      <c r="LM35">
        <v>-0.63</v>
      </c>
      <c r="LN35">
        <v>1.381</v>
      </c>
      <c r="LO35">
        <v>2.222</v>
      </c>
      <c r="LP35">
        <v>2.9769999999999999</v>
      </c>
      <c r="LQ35">
        <v>4.0170000000000003</v>
      </c>
      <c r="LR35">
        <v>1.0029999999999999</v>
      </c>
      <c r="LS35">
        <v>920</v>
      </c>
      <c r="LX35" t="s">
        <v>55</v>
      </c>
      <c r="LY35">
        <v>0.69699999999999995</v>
      </c>
      <c r="LZ35">
        <v>1.647</v>
      </c>
      <c r="MA35">
        <v>-3.089</v>
      </c>
      <c r="MB35">
        <v>-0.29699999999999999</v>
      </c>
      <c r="MC35">
        <v>0.88900000000000001</v>
      </c>
      <c r="MD35">
        <v>1.903</v>
      </c>
      <c r="ME35">
        <v>3.3610000000000002</v>
      </c>
      <c r="MF35">
        <v>1.4259999999999999</v>
      </c>
      <c r="MG35">
        <v>9</v>
      </c>
      <c r="ML35" t="s">
        <v>55</v>
      </c>
      <c r="MM35">
        <v>5.7949999999999999</v>
      </c>
      <c r="MN35">
        <v>0.39600000000000002</v>
      </c>
      <c r="MO35">
        <v>5.0279999999999996</v>
      </c>
      <c r="MP35">
        <v>5.5270000000000001</v>
      </c>
      <c r="MQ35">
        <v>5.7930000000000001</v>
      </c>
      <c r="MR35">
        <v>6.06</v>
      </c>
      <c r="MS35">
        <v>6.5759999999999996</v>
      </c>
      <c r="MT35">
        <v>1.0009999999999999</v>
      </c>
      <c r="MU35">
        <v>33000</v>
      </c>
      <c r="MZ35" t="s">
        <v>55</v>
      </c>
      <c r="NA35">
        <v>5.79</v>
      </c>
      <c r="NB35">
        <v>0.375</v>
      </c>
      <c r="NC35">
        <v>5.07</v>
      </c>
      <c r="ND35">
        <v>5.5389999999999997</v>
      </c>
      <c r="NE35">
        <v>5.7869999999999999</v>
      </c>
      <c r="NF35">
        <v>6.0410000000000004</v>
      </c>
      <c r="NG35">
        <v>6.53</v>
      </c>
      <c r="NH35">
        <v>1.004</v>
      </c>
      <c r="NI35">
        <v>620</v>
      </c>
      <c r="NM35" t="s">
        <v>55</v>
      </c>
      <c r="NN35">
        <v>7.0309999999999997</v>
      </c>
      <c r="NO35">
        <v>0.2</v>
      </c>
      <c r="NP35">
        <v>6.6230000000000002</v>
      </c>
      <c r="NQ35">
        <v>6.899</v>
      </c>
      <c r="NR35">
        <v>7.0410000000000004</v>
      </c>
      <c r="NS35">
        <v>7.1689999999999996</v>
      </c>
      <c r="NT35">
        <v>7.4039999999999999</v>
      </c>
      <c r="NU35">
        <v>1.0009999999999999</v>
      </c>
      <c r="NV35">
        <v>30000</v>
      </c>
      <c r="NY35" t="s">
        <v>55</v>
      </c>
      <c r="NZ35">
        <v>7.0049999999999999</v>
      </c>
      <c r="OA35">
        <v>0.20799999999999999</v>
      </c>
      <c r="OB35">
        <v>6.5759999999999996</v>
      </c>
      <c r="OC35">
        <v>6.8659999999999997</v>
      </c>
      <c r="OD35">
        <v>7.0149999999999997</v>
      </c>
      <c r="OE35">
        <v>7.1509999999999998</v>
      </c>
      <c r="OF35">
        <v>7.3869999999999996</v>
      </c>
      <c r="OG35">
        <v>1.0009999999999999</v>
      </c>
      <c r="OH35">
        <v>23000</v>
      </c>
      <c r="OP35" t="s">
        <v>55</v>
      </c>
      <c r="OQ35">
        <v>7.0270000000000001</v>
      </c>
      <c r="OR35">
        <v>0.215</v>
      </c>
      <c r="OS35">
        <v>6.585</v>
      </c>
      <c r="OT35">
        <v>6.883</v>
      </c>
      <c r="OU35">
        <v>7.0369999999999999</v>
      </c>
      <c r="OV35">
        <v>7.1820000000000004</v>
      </c>
      <c r="OW35">
        <v>7.4240000000000004</v>
      </c>
      <c r="OX35">
        <v>1.002</v>
      </c>
      <c r="OY35">
        <v>1900</v>
      </c>
      <c r="PB35" t="s">
        <v>55</v>
      </c>
      <c r="PC35">
        <v>7.0510000000000002</v>
      </c>
      <c r="PD35">
        <v>0.19600000000000001</v>
      </c>
      <c r="PE35">
        <v>6.6550000000000002</v>
      </c>
      <c r="PF35">
        <v>6.92</v>
      </c>
      <c r="PG35">
        <v>7.0549999999999997</v>
      </c>
      <c r="PH35">
        <v>7.19</v>
      </c>
      <c r="PI35">
        <v>7.4189999999999996</v>
      </c>
      <c r="PJ35">
        <v>1.002</v>
      </c>
      <c r="PK35">
        <v>1500</v>
      </c>
      <c r="PN35" t="s">
        <v>55</v>
      </c>
      <c r="PO35">
        <v>7.1159999999999997</v>
      </c>
      <c r="PP35">
        <v>0.155</v>
      </c>
      <c r="PQ35">
        <v>6.7789999999999999</v>
      </c>
      <c r="PR35">
        <v>7.0170000000000003</v>
      </c>
      <c r="PS35">
        <v>7.1340000000000003</v>
      </c>
      <c r="PT35">
        <v>7.2329999999999997</v>
      </c>
      <c r="PU35">
        <v>7.3659999999999997</v>
      </c>
      <c r="PV35">
        <v>1.0009999999999999</v>
      </c>
      <c r="PW35">
        <v>3000</v>
      </c>
      <c r="QA35" t="s">
        <v>55</v>
      </c>
      <c r="QB35">
        <v>6.7439999999999998</v>
      </c>
      <c r="QC35">
        <v>0.111</v>
      </c>
      <c r="QD35">
        <v>6.5279999999999996</v>
      </c>
      <c r="QE35">
        <v>6.6639999999999997</v>
      </c>
      <c r="QF35">
        <v>6.7480000000000002</v>
      </c>
      <c r="QG35">
        <v>6.827</v>
      </c>
      <c r="QH35">
        <v>6.9269999999999996</v>
      </c>
      <c r="QI35">
        <v>1.141</v>
      </c>
      <c r="QJ35">
        <v>19</v>
      </c>
      <c r="QL35">
        <f t="shared" si="2"/>
        <v>0.37199999999999989</v>
      </c>
    </row>
    <row r="36" spans="1:454">
      <c r="A36" t="s">
        <v>56</v>
      </c>
      <c r="B36">
        <v>6.1470000000000002</v>
      </c>
      <c r="C36">
        <v>1.2430000000000001</v>
      </c>
      <c r="D36">
        <v>3.8740000000000001</v>
      </c>
      <c r="E36">
        <v>5.3040000000000003</v>
      </c>
      <c r="F36">
        <v>6.1050000000000004</v>
      </c>
      <c r="G36">
        <v>6.9969999999999999</v>
      </c>
      <c r="H36">
        <v>8.59</v>
      </c>
      <c r="I36">
        <v>1.19</v>
      </c>
      <c r="J36">
        <v>15</v>
      </c>
      <c r="O36" t="s">
        <v>56</v>
      </c>
      <c r="P36">
        <v>2.2090000000000001</v>
      </c>
      <c r="Q36">
        <v>2.044</v>
      </c>
      <c r="R36">
        <v>2.3E-2</v>
      </c>
      <c r="S36">
        <v>0.41</v>
      </c>
      <c r="T36">
        <v>1.585</v>
      </c>
      <c r="U36">
        <v>3.6739999999999999</v>
      </c>
      <c r="V36">
        <v>6.7560000000000002</v>
      </c>
      <c r="W36">
        <v>1.036</v>
      </c>
      <c r="X36">
        <v>75</v>
      </c>
      <c r="AC36" t="s">
        <v>56</v>
      </c>
      <c r="AD36">
        <v>5.7140000000000004</v>
      </c>
      <c r="AE36">
        <v>0.9</v>
      </c>
      <c r="AF36">
        <v>3.8959999999999999</v>
      </c>
      <c r="AG36">
        <v>5.0830000000000002</v>
      </c>
      <c r="AH36">
        <v>5.7549999999999999</v>
      </c>
      <c r="AI36">
        <v>6.3920000000000003</v>
      </c>
      <c r="AJ36">
        <v>7.2519999999999998</v>
      </c>
      <c r="AK36">
        <v>1.0029999999999999</v>
      </c>
      <c r="AL36">
        <v>890</v>
      </c>
      <c r="AQ36" t="s">
        <v>56</v>
      </c>
      <c r="AR36">
        <v>5.8049999999999997</v>
      </c>
      <c r="AS36">
        <v>0.80900000000000005</v>
      </c>
      <c r="AT36">
        <v>4.149</v>
      </c>
      <c r="AU36">
        <v>5.2489999999999997</v>
      </c>
      <c r="AV36">
        <v>5.8310000000000004</v>
      </c>
      <c r="AW36">
        <v>6.407</v>
      </c>
      <c r="AX36">
        <v>7.2489999999999997</v>
      </c>
      <c r="AY36">
        <v>1.0009999999999999</v>
      </c>
      <c r="AZ36">
        <v>2200</v>
      </c>
      <c r="BE36" t="s">
        <v>56</v>
      </c>
      <c r="BF36">
        <v>5.2830000000000004</v>
      </c>
      <c r="BG36">
        <v>0.7</v>
      </c>
      <c r="BH36">
        <v>4.0110000000000001</v>
      </c>
      <c r="BI36">
        <v>4.7910000000000004</v>
      </c>
      <c r="BJ36">
        <v>5.2670000000000003</v>
      </c>
      <c r="BK36">
        <v>5.766</v>
      </c>
      <c r="BL36">
        <v>6.6870000000000003</v>
      </c>
      <c r="BM36">
        <v>1.004</v>
      </c>
      <c r="BN36">
        <v>800</v>
      </c>
      <c r="BS36" t="s">
        <v>56</v>
      </c>
      <c r="BT36">
        <v>5.3</v>
      </c>
      <c r="BU36">
        <v>0.93899999999999995</v>
      </c>
      <c r="BV36">
        <v>3.4159999999999999</v>
      </c>
      <c r="BW36">
        <v>4.6349999999999998</v>
      </c>
      <c r="BX36">
        <v>5.3179999999999996</v>
      </c>
      <c r="BY36">
        <v>5.9740000000000002</v>
      </c>
      <c r="BZ36">
        <v>7.0529999999999999</v>
      </c>
      <c r="CA36">
        <v>1.002</v>
      </c>
      <c r="CB36">
        <v>2700</v>
      </c>
      <c r="CG36" t="s">
        <v>56</v>
      </c>
      <c r="CH36">
        <v>5.0830000000000002</v>
      </c>
      <c r="CI36">
        <v>0.77200000000000002</v>
      </c>
      <c r="CJ36">
        <v>3.6120000000000001</v>
      </c>
      <c r="CK36">
        <v>4.5579999999999998</v>
      </c>
      <c r="CL36">
        <v>5.069</v>
      </c>
      <c r="CM36">
        <v>5.5960000000000001</v>
      </c>
      <c r="CN36">
        <v>6.6280000000000001</v>
      </c>
      <c r="CO36">
        <v>1.004</v>
      </c>
      <c r="CP36">
        <v>670</v>
      </c>
      <c r="CU36" t="s">
        <v>56</v>
      </c>
      <c r="CV36">
        <v>5.3220000000000001</v>
      </c>
      <c r="CW36">
        <v>0.88300000000000001</v>
      </c>
      <c r="CX36">
        <v>3.5609999999999999</v>
      </c>
      <c r="CY36">
        <v>4.7329999999999997</v>
      </c>
      <c r="CZ36">
        <v>5.3360000000000003</v>
      </c>
      <c r="DA36">
        <v>5.9340000000000002</v>
      </c>
      <c r="DB36">
        <v>7.0279999999999996</v>
      </c>
      <c r="DC36">
        <v>1.0129999999999999</v>
      </c>
      <c r="DD36">
        <v>180</v>
      </c>
      <c r="DI36" t="s">
        <v>56</v>
      </c>
      <c r="DJ36">
        <v>5.7619999999999996</v>
      </c>
      <c r="DK36">
        <v>0.92</v>
      </c>
      <c r="DL36">
        <v>3.8849999999999998</v>
      </c>
      <c r="DM36">
        <v>5.1100000000000003</v>
      </c>
      <c r="DN36">
        <v>5.81</v>
      </c>
      <c r="DO36">
        <v>6.4749999999999996</v>
      </c>
      <c r="DP36">
        <v>7.2679999999999998</v>
      </c>
      <c r="DQ36">
        <v>1.0069999999999999</v>
      </c>
      <c r="DR36">
        <v>310</v>
      </c>
      <c r="DY36" t="s">
        <v>56</v>
      </c>
      <c r="DZ36">
        <v>5.766</v>
      </c>
      <c r="EA36">
        <v>0.85899999999999999</v>
      </c>
      <c r="EB36">
        <v>3.9689999999999999</v>
      </c>
      <c r="EC36">
        <v>5.1970000000000001</v>
      </c>
      <c r="ED36">
        <v>5.7960000000000003</v>
      </c>
      <c r="EE36">
        <v>6.4029999999999996</v>
      </c>
      <c r="EF36">
        <v>7.2320000000000002</v>
      </c>
      <c r="EG36">
        <v>1.0049999999999999</v>
      </c>
      <c r="EH36">
        <v>470</v>
      </c>
      <c r="EK36" t="s">
        <v>56</v>
      </c>
      <c r="EL36">
        <v>5.9119999999999999</v>
      </c>
      <c r="EM36">
        <v>0.89400000000000002</v>
      </c>
      <c r="EN36">
        <v>3.99</v>
      </c>
      <c r="EO36">
        <v>5.3220000000000001</v>
      </c>
      <c r="EP36">
        <v>5.9859999999999998</v>
      </c>
      <c r="EQ36">
        <v>6.6429999999999998</v>
      </c>
      <c r="ER36">
        <v>7.2869999999999999</v>
      </c>
      <c r="ES36">
        <v>1.0089999999999999</v>
      </c>
      <c r="ET36">
        <v>270</v>
      </c>
      <c r="EY36" t="s">
        <v>56</v>
      </c>
      <c r="EZ36">
        <v>5.5590000000000002</v>
      </c>
      <c r="FA36">
        <v>0.93600000000000005</v>
      </c>
      <c r="FB36">
        <v>3.702</v>
      </c>
      <c r="FC36">
        <v>4.9080000000000004</v>
      </c>
      <c r="FD36">
        <v>5.5759999999999996</v>
      </c>
      <c r="FE36">
        <v>6.2549999999999999</v>
      </c>
      <c r="FF36">
        <v>7.2249999999999996</v>
      </c>
      <c r="FG36">
        <v>1.0009999999999999</v>
      </c>
      <c r="FH36">
        <v>3000</v>
      </c>
      <c r="GA36" t="s">
        <v>56</v>
      </c>
      <c r="GB36">
        <v>6.8940000000000001</v>
      </c>
      <c r="GC36">
        <v>0.379</v>
      </c>
      <c r="GD36">
        <v>5.97</v>
      </c>
      <c r="GE36">
        <v>6.69</v>
      </c>
      <c r="GF36">
        <v>6.9779999999999998</v>
      </c>
      <c r="GG36">
        <v>7.1920000000000002</v>
      </c>
      <c r="GH36">
        <v>7.359</v>
      </c>
      <c r="GI36">
        <v>1.0009999999999999</v>
      </c>
      <c r="GJ36">
        <v>3000</v>
      </c>
      <c r="GO36" t="s">
        <v>56</v>
      </c>
      <c r="GP36">
        <v>5.5289999999999999</v>
      </c>
      <c r="GQ36">
        <v>0.93100000000000005</v>
      </c>
      <c r="GR36">
        <v>3.7010000000000001</v>
      </c>
      <c r="GS36">
        <v>4.867</v>
      </c>
      <c r="GT36">
        <v>5.5259999999999998</v>
      </c>
      <c r="GU36">
        <v>6.2309999999999999</v>
      </c>
      <c r="GV36">
        <v>7.19</v>
      </c>
      <c r="GW36">
        <v>1.0009999999999999</v>
      </c>
      <c r="GX36">
        <v>3000</v>
      </c>
      <c r="HC36" t="s">
        <v>56</v>
      </c>
      <c r="HD36">
        <v>5.6520000000000001</v>
      </c>
      <c r="HE36">
        <v>0.85299999999999998</v>
      </c>
      <c r="HF36">
        <v>3.9510000000000001</v>
      </c>
      <c r="HG36">
        <v>5.0579999999999998</v>
      </c>
      <c r="HH36">
        <v>5.6749999999999998</v>
      </c>
      <c r="HI36">
        <v>6.2610000000000001</v>
      </c>
      <c r="HJ36">
        <v>7.2089999999999996</v>
      </c>
      <c r="HK36">
        <v>1.0009999999999999</v>
      </c>
      <c r="HL36">
        <v>3000</v>
      </c>
      <c r="HP36" s="7"/>
      <c r="HQ36" s="7" t="s">
        <v>56</v>
      </c>
      <c r="HR36" s="7">
        <v>5.7869999999999999</v>
      </c>
      <c r="HS36" s="7">
        <v>0.76600000000000001</v>
      </c>
      <c r="HT36" s="7">
        <v>4.26</v>
      </c>
      <c r="HU36" s="7">
        <v>5.2439999999999998</v>
      </c>
      <c r="HV36" s="7">
        <v>5.7889999999999997</v>
      </c>
      <c r="HW36" s="7">
        <v>6.3550000000000004</v>
      </c>
      <c r="HX36" s="7">
        <v>7.1859999999999999</v>
      </c>
      <c r="HY36" s="7">
        <v>1.0009999999999999</v>
      </c>
      <c r="HZ36" s="7">
        <v>3000</v>
      </c>
      <c r="IA36" s="7"/>
      <c r="IE36" t="s">
        <v>56</v>
      </c>
      <c r="IF36">
        <v>6.3</v>
      </c>
      <c r="IG36">
        <v>0.57799999999999996</v>
      </c>
      <c r="IH36">
        <v>5.173</v>
      </c>
      <c r="II36">
        <v>5.8760000000000003</v>
      </c>
      <c r="IJ36">
        <v>6.327</v>
      </c>
      <c r="IK36">
        <v>6.7439999999999998</v>
      </c>
      <c r="IL36">
        <v>7.2839999999999998</v>
      </c>
      <c r="IM36">
        <v>1.002</v>
      </c>
      <c r="IN36">
        <v>1100</v>
      </c>
      <c r="IS36" t="s">
        <v>56</v>
      </c>
      <c r="IT36">
        <v>6.4409999999999998</v>
      </c>
      <c r="IU36">
        <v>0.54500000000000004</v>
      </c>
      <c r="IV36">
        <v>5.2969999999999997</v>
      </c>
      <c r="IW36">
        <v>6.0659999999999998</v>
      </c>
      <c r="IX36">
        <v>6.4720000000000004</v>
      </c>
      <c r="IY36">
        <v>6.8689999999999998</v>
      </c>
      <c r="IZ36">
        <v>7.3209999999999997</v>
      </c>
      <c r="JA36">
        <v>1.0009999999999999</v>
      </c>
      <c r="JB36">
        <v>3000</v>
      </c>
      <c r="JF36" t="s">
        <v>56</v>
      </c>
      <c r="JG36">
        <v>5.8070000000000004</v>
      </c>
      <c r="JH36">
        <v>0.76</v>
      </c>
      <c r="JI36">
        <v>4.2779999999999996</v>
      </c>
      <c r="JJ36">
        <v>5.2919999999999998</v>
      </c>
      <c r="JK36">
        <v>5.82</v>
      </c>
      <c r="JL36">
        <v>6.3630000000000004</v>
      </c>
      <c r="JM36">
        <v>7.202</v>
      </c>
      <c r="JN36">
        <v>1.002</v>
      </c>
      <c r="JO36">
        <v>1600</v>
      </c>
      <c r="JT36" t="s">
        <v>56</v>
      </c>
      <c r="JU36">
        <v>5.6660000000000004</v>
      </c>
      <c r="JV36">
        <v>0.80100000000000005</v>
      </c>
      <c r="JW36">
        <v>4.1269999999999998</v>
      </c>
      <c r="JX36">
        <v>5.0940000000000003</v>
      </c>
      <c r="JY36">
        <v>5.6550000000000002</v>
      </c>
      <c r="JZ36">
        <v>6.242</v>
      </c>
      <c r="KA36">
        <v>7.1539999999999999</v>
      </c>
      <c r="KB36">
        <v>1.0009999999999999</v>
      </c>
      <c r="KC36">
        <v>3000</v>
      </c>
      <c r="KH36" t="s">
        <v>56</v>
      </c>
      <c r="KI36">
        <v>5.7549999999999999</v>
      </c>
      <c r="KJ36">
        <v>0.82</v>
      </c>
      <c r="KK36">
        <v>4.1580000000000004</v>
      </c>
      <c r="KL36">
        <v>5.181</v>
      </c>
      <c r="KM36">
        <v>5.7510000000000003</v>
      </c>
      <c r="KN36">
        <v>6.3630000000000004</v>
      </c>
      <c r="KO36">
        <v>7.2359999999999998</v>
      </c>
      <c r="KP36">
        <v>1.0009999999999999</v>
      </c>
      <c r="KQ36">
        <v>3000</v>
      </c>
      <c r="KR36">
        <f t="shared" si="0"/>
        <v>315.7655475242052</v>
      </c>
      <c r="KV36" t="s">
        <v>56</v>
      </c>
      <c r="KW36">
        <v>4.8760000000000003</v>
      </c>
      <c r="KX36">
        <v>0.505</v>
      </c>
      <c r="KY36">
        <v>3.8650000000000002</v>
      </c>
      <c r="KZ36">
        <v>4.5270000000000001</v>
      </c>
      <c r="LA36">
        <v>4.8739999999999997</v>
      </c>
      <c r="LB36">
        <v>5.2089999999999996</v>
      </c>
      <c r="LC36">
        <v>5.8769999999999998</v>
      </c>
      <c r="LD36">
        <v>1.004</v>
      </c>
      <c r="LE36">
        <v>600</v>
      </c>
      <c r="LJ36" t="s">
        <v>56</v>
      </c>
      <c r="LK36">
        <v>2.0270000000000001</v>
      </c>
      <c r="LL36">
        <v>1.353</v>
      </c>
      <c r="LM36">
        <v>-1.042</v>
      </c>
      <c r="LN36">
        <v>1.1859999999999999</v>
      </c>
      <c r="LO36">
        <v>2.1619999999999999</v>
      </c>
      <c r="LP36">
        <v>3.028</v>
      </c>
      <c r="LQ36">
        <v>4.2610000000000001</v>
      </c>
      <c r="LR36">
        <v>1.0029999999999999</v>
      </c>
      <c r="LS36">
        <v>800</v>
      </c>
      <c r="LX36" t="s">
        <v>56</v>
      </c>
      <c r="LY36">
        <v>0.25800000000000001</v>
      </c>
      <c r="LZ36">
        <v>1.94</v>
      </c>
      <c r="MA36">
        <v>-4.2240000000000002</v>
      </c>
      <c r="MB36">
        <v>-0.92700000000000005</v>
      </c>
      <c r="MC36">
        <v>0.49099999999999999</v>
      </c>
      <c r="MD36">
        <v>1.677</v>
      </c>
      <c r="ME36">
        <v>3.3929999999999998</v>
      </c>
      <c r="MF36">
        <v>1.5089999999999999</v>
      </c>
      <c r="MG36">
        <v>8</v>
      </c>
      <c r="ML36" t="s">
        <v>56</v>
      </c>
      <c r="MM36">
        <v>5.4580000000000002</v>
      </c>
      <c r="MN36">
        <v>0.47899999999999998</v>
      </c>
      <c r="MO36">
        <v>4.5309999999999997</v>
      </c>
      <c r="MP36">
        <v>5.133</v>
      </c>
      <c r="MQ36">
        <v>5.4550000000000001</v>
      </c>
      <c r="MR36">
        <v>5.78</v>
      </c>
      <c r="MS36">
        <v>6.4089999999999998</v>
      </c>
      <c r="MT36">
        <v>1.0009999999999999</v>
      </c>
      <c r="MU36">
        <v>34000</v>
      </c>
      <c r="MZ36" t="s">
        <v>56</v>
      </c>
      <c r="NA36">
        <v>5.4530000000000003</v>
      </c>
      <c r="NB36">
        <v>0.45400000000000001</v>
      </c>
      <c r="NC36">
        <v>4.5830000000000002</v>
      </c>
      <c r="ND36">
        <v>5.1449999999999996</v>
      </c>
      <c r="NE36">
        <v>5.4450000000000003</v>
      </c>
      <c r="NF36">
        <v>5.758</v>
      </c>
      <c r="NG36">
        <v>6.351</v>
      </c>
      <c r="NH36">
        <v>1.004</v>
      </c>
      <c r="NI36">
        <v>620</v>
      </c>
      <c r="NM36" t="s">
        <v>56</v>
      </c>
      <c r="NN36">
        <v>6.9889999999999999</v>
      </c>
      <c r="NO36">
        <v>0.22500000000000001</v>
      </c>
      <c r="NP36">
        <v>6.5389999999999997</v>
      </c>
      <c r="NQ36">
        <v>6.8380000000000001</v>
      </c>
      <c r="NR36">
        <v>6.9969999999999999</v>
      </c>
      <c r="NS36">
        <v>7.1440000000000001</v>
      </c>
      <c r="NT36">
        <v>7.4210000000000003</v>
      </c>
      <c r="NU36">
        <v>1.0009999999999999</v>
      </c>
      <c r="NV36">
        <v>30000</v>
      </c>
      <c r="NY36" t="s">
        <v>56</v>
      </c>
      <c r="NZ36">
        <v>6.9610000000000003</v>
      </c>
      <c r="OA36">
        <v>0.23400000000000001</v>
      </c>
      <c r="OB36">
        <v>6.4870000000000001</v>
      </c>
      <c r="OC36">
        <v>6.8049999999999997</v>
      </c>
      <c r="OD36">
        <v>6.9669999999999996</v>
      </c>
      <c r="OE36">
        <v>7.1219999999999999</v>
      </c>
      <c r="OF36">
        <v>7.4029999999999996</v>
      </c>
      <c r="OG36">
        <v>1.0009999999999999</v>
      </c>
      <c r="OH36">
        <v>25000</v>
      </c>
      <c r="OP36" t="s">
        <v>56</v>
      </c>
      <c r="OQ36">
        <v>6.9859999999999998</v>
      </c>
      <c r="OR36">
        <v>0.24199999999999999</v>
      </c>
      <c r="OS36">
        <v>6.5049999999999999</v>
      </c>
      <c r="OT36">
        <v>6.8239999999999998</v>
      </c>
      <c r="OU36">
        <v>6.9950000000000001</v>
      </c>
      <c r="OV36">
        <v>7.1559999999999997</v>
      </c>
      <c r="OW36">
        <v>7.4450000000000003</v>
      </c>
      <c r="OX36">
        <v>1.0009999999999999</v>
      </c>
      <c r="OY36">
        <v>2100</v>
      </c>
      <c r="PB36" t="s">
        <v>56</v>
      </c>
      <c r="PC36">
        <v>7.01</v>
      </c>
      <c r="PD36">
        <v>0.222</v>
      </c>
      <c r="PE36">
        <v>6.577</v>
      </c>
      <c r="PF36">
        <v>6.8609999999999998</v>
      </c>
      <c r="PG36">
        <v>7.0129999999999999</v>
      </c>
      <c r="PH36">
        <v>7.1660000000000004</v>
      </c>
      <c r="PI36">
        <v>7.4420000000000002</v>
      </c>
      <c r="PJ36">
        <v>1.002</v>
      </c>
      <c r="PK36">
        <v>1600</v>
      </c>
      <c r="PN36" t="s">
        <v>56</v>
      </c>
      <c r="PO36">
        <v>7.0819999999999999</v>
      </c>
      <c r="PP36">
        <v>0.17199999999999999</v>
      </c>
      <c r="PQ36">
        <v>6.7130000000000001</v>
      </c>
      <c r="PR36">
        <v>6.9710000000000001</v>
      </c>
      <c r="PS36">
        <v>7.0979999999999999</v>
      </c>
      <c r="PT36">
        <v>7.21</v>
      </c>
      <c r="PU36">
        <v>7.3710000000000004</v>
      </c>
      <c r="PV36">
        <v>1.0009999999999999</v>
      </c>
      <c r="PW36">
        <v>3000</v>
      </c>
      <c r="QA36" t="s">
        <v>56</v>
      </c>
      <c r="QB36">
        <v>6.7169999999999996</v>
      </c>
      <c r="QC36">
        <v>0.12</v>
      </c>
      <c r="QD36">
        <v>6.4820000000000002</v>
      </c>
      <c r="QE36">
        <v>6.6310000000000002</v>
      </c>
      <c r="QF36">
        <v>6.7210000000000001</v>
      </c>
      <c r="QG36">
        <v>6.8070000000000004</v>
      </c>
      <c r="QH36">
        <v>6.9160000000000004</v>
      </c>
      <c r="QI36">
        <v>1.1479999999999999</v>
      </c>
      <c r="QJ36">
        <v>18</v>
      </c>
      <c r="QL36">
        <f t="shared" si="2"/>
        <v>0.36500000000000021</v>
      </c>
    </row>
    <row r="37" spans="1:454">
      <c r="A37" t="s">
        <v>57</v>
      </c>
      <c r="B37">
        <v>6.3730000000000002</v>
      </c>
      <c r="C37">
        <v>1.081</v>
      </c>
      <c r="D37">
        <v>4.2530000000000001</v>
      </c>
      <c r="E37">
        <v>5.6550000000000002</v>
      </c>
      <c r="F37">
        <v>6.375</v>
      </c>
      <c r="G37">
        <v>7.0369999999999999</v>
      </c>
      <c r="H37">
        <v>8.5860000000000003</v>
      </c>
      <c r="I37">
        <v>1.1850000000000001</v>
      </c>
      <c r="J37">
        <v>16</v>
      </c>
      <c r="O37" t="s">
        <v>57</v>
      </c>
      <c r="P37">
        <v>6.39</v>
      </c>
      <c r="Q37">
        <v>1.1120000000000001</v>
      </c>
      <c r="R37">
        <v>3.327</v>
      </c>
      <c r="S37">
        <v>5.9530000000000003</v>
      </c>
      <c r="T37">
        <v>6.8129999999999997</v>
      </c>
      <c r="U37">
        <v>7.1929999999999996</v>
      </c>
      <c r="V37">
        <v>7.367</v>
      </c>
      <c r="W37">
        <v>1.0029999999999999</v>
      </c>
      <c r="X37">
        <v>1100</v>
      </c>
      <c r="AC37" t="s">
        <v>57</v>
      </c>
      <c r="AD37">
        <v>7.0620000000000003</v>
      </c>
      <c r="AE37">
        <v>0.313</v>
      </c>
      <c r="AF37">
        <v>6.2750000000000004</v>
      </c>
      <c r="AG37">
        <v>6.9320000000000004</v>
      </c>
      <c r="AH37">
        <v>7.1529999999999996</v>
      </c>
      <c r="AI37">
        <v>7.2969999999999997</v>
      </c>
      <c r="AJ37">
        <v>7.3760000000000003</v>
      </c>
      <c r="AK37">
        <v>1.0029999999999999</v>
      </c>
      <c r="AL37">
        <v>1100</v>
      </c>
      <c r="AQ37" t="s">
        <v>57</v>
      </c>
      <c r="AR37">
        <v>7.069</v>
      </c>
      <c r="AS37">
        <v>0.29499999999999998</v>
      </c>
      <c r="AT37">
        <v>6.3010000000000002</v>
      </c>
      <c r="AU37">
        <v>6.9370000000000003</v>
      </c>
      <c r="AV37">
        <v>7.16</v>
      </c>
      <c r="AW37">
        <v>7.2850000000000001</v>
      </c>
      <c r="AX37">
        <v>7.3730000000000002</v>
      </c>
      <c r="AY37">
        <v>1.0009999999999999</v>
      </c>
      <c r="AZ37">
        <v>3000</v>
      </c>
      <c r="BE37" t="s">
        <v>57</v>
      </c>
      <c r="BF37">
        <v>7.0259999999999998</v>
      </c>
      <c r="BG37">
        <v>0.31</v>
      </c>
      <c r="BH37">
        <v>6.2469999999999999</v>
      </c>
      <c r="BI37">
        <v>6.8650000000000002</v>
      </c>
      <c r="BJ37">
        <v>7.1079999999999997</v>
      </c>
      <c r="BK37">
        <v>7.27</v>
      </c>
      <c r="BL37">
        <v>7.3710000000000004</v>
      </c>
      <c r="BM37">
        <v>1.0069999999999999</v>
      </c>
      <c r="BN37">
        <v>330</v>
      </c>
      <c r="BS37" t="s">
        <v>57</v>
      </c>
      <c r="BT37">
        <v>7.06</v>
      </c>
      <c r="BU37">
        <v>0.29599999999999999</v>
      </c>
      <c r="BV37">
        <v>6.2409999999999997</v>
      </c>
      <c r="BW37">
        <v>6.92</v>
      </c>
      <c r="BX37">
        <v>7.1479999999999997</v>
      </c>
      <c r="BY37">
        <v>7.2839999999999998</v>
      </c>
      <c r="BZ37">
        <v>7.3719999999999999</v>
      </c>
      <c r="CA37">
        <v>1.002</v>
      </c>
      <c r="CB37">
        <v>1300</v>
      </c>
      <c r="CG37" t="s">
        <v>57</v>
      </c>
      <c r="CH37">
        <v>7.0250000000000004</v>
      </c>
      <c r="CI37">
        <v>0.314</v>
      </c>
      <c r="CJ37">
        <v>6.23</v>
      </c>
      <c r="CK37">
        <v>6.8689999999999998</v>
      </c>
      <c r="CL37">
        <v>7.11</v>
      </c>
      <c r="CM37">
        <v>7.2670000000000003</v>
      </c>
      <c r="CN37">
        <v>7.37</v>
      </c>
      <c r="CO37">
        <v>1.0009999999999999</v>
      </c>
      <c r="CP37">
        <v>2100</v>
      </c>
      <c r="CU37" t="s">
        <v>57</v>
      </c>
      <c r="CV37">
        <v>7.1319999999999997</v>
      </c>
      <c r="CW37">
        <v>0.27600000000000002</v>
      </c>
      <c r="CX37">
        <v>6.3739999999999997</v>
      </c>
      <c r="CY37">
        <v>7.0250000000000004</v>
      </c>
      <c r="CZ37">
        <v>7.2279999999999998</v>
      </c>
      <c r="DA37">
        <v>7.3319999999999999</v>
      </c>
      <c r="DB37">
        <v>7.3789999999999996</v>
      </c>
      <c r="DC37">
        <v>1.008</v>
      </c>
      <c r="DD37">
        <v>260</v>
      </c>
      <c r="DI37" t="s">
        <v>57</v>
      </c>
      <c r="DJ37">
        <v>7.06</v>
      </c>
      <c r="DK37">
        <v>0.30199999999999999</v>
      </c>
      <c r="DL37">
        <v>6.2919999999999998</v>
      </c>
      <c r="DM37">
        <v>6.9240000000000004</v>
      </c>
      <c r="DN37">
        <v>7.1550000000000002</v>
      </c>
      <c r="DO37">
        <v>7.29</v>
      </c>
      <c r="DP37">
        <v>7.3730000000000002</v>
      </c>
      <c r="DQ37">
        <v>1.0029999999999999</v>
      </c>
      <c r="DR37">
        <v>800</v>
      </c>
      <c r="DY37" t="s">
        <v>57</v>
      </c>
      <c r="DZ37">
        <v>7.0519999999999996</v>
      </c>
      <c r="EA37">
        <v>0.307</v>
      </c>
      <c r="EB37">
        <v>6.2370000000000001</v>
      </c>
      <c r="EC37">
        <v>6.9130000000000003</v>
      </c>
      <c r="ED37">
        <v>7.1440000000000001</v>
      </c>
      <c r="EE37">
        <v>7.2809999999999997</v>
      </c>
      <c r="EF37">
        <v>7.3719999999999999</v>
      </c>
      <c r="EG37">
        <v>1.0029999999999999</v>
      </c>
      <c r="EH37">
        <v>780</v>
      </c>
      <c r="EK37" t="s">
        <v>57</v>
      </c>
      <c r="EL37">
        <v>6.7930000000000001</v>
      </c>
      <c r="EM37">
        <v>0.44700000000000001</v>
      </c>
      <c r="EN37">
        <v>5.7290000000000001</v>
      </c>
      <c r="EO37">
        <v>6.52</v>
      </c>
      <c r="EP37">
        <v>6.883</v>
      </c>
      <c r="EQ37">
        <v>7.157</v>
      </c>
      <c r="ER37">
        <v>7.3570000000000002</v>
      </c>
      <c r="ES37">
        <v>1.0009999999999999</v>
      </c>
      <c r="ET37">
        <v>1500</v>
      </c>
      <c r="EY37" t="s">
        <v>57</v>
      </c>
      <c r="EZ37">
        <v>6.944</v>
      </c>
      <c r="FA37">
        <v>0.38400000000000001</v>
      </c>
      <c r="FB37">
        <v>5.9320000000000004</v>
      </c>
      <c r="FC37">
        <v>6.7489999999999997</v>
      </c>
      <c r="FD37">
        <v>7.05</v>
      </c>
      <c r="FE37">
        <v>7.24</v>
      </c>
      <c r="FF37">
        <v>7.367</v>
      </c>
      <c r="FG37">
        <v>1.0009999999999999</v>
      </c>
      <c r="FH37">
        <v>3000</v>
      </c>
      <c r="GA37" t="s">
        <v>57</v>
      </c>
      <c r="GB37">
        <v>7.0650000000000004</v>
      </c>
      <c r="GC37">
        <v>0.26700000000000002</v>
      </c>
      <c r="GD37">
        <v>6.375</v>
      </c>
      <c r="GE37">
        <v>6.9249999999999998</v>
      </c>
      <c r="GF37">
        <v>7.133</v>
      </c>
      <c r="GG37">
        <v>7.2709999999999999</v>
      </c>
      <c r="GH37">
        <v>7.37</v>
      </c>
      <c r="GI37">
        <v>1.0009999999999999</v>
      </c>
      <c r="GJ37">
        <v>3000</v>
      </c>
      <c r="GO37" t="s">
        <v>57</v>
      </c>
      <c r="GP37">
        <v>6.9690000000000003</v>
      </c>
      <c r="GQ37">
        <v>0.36099999999999999</v>
      </c>
      <c r="GR37">
        <v>6.0449999999999999</v>
      </c>
      <c r="GS37">
        <v>6.8029999999999999</v>
      </c>
      <c r="GT37">
        <v>7.0620000000000003</v>
      </c>
      <c r="GU37">
        <v>7.2409999999999997</v>
      </c>
      <c r="GV37">
        <v>7.367</v>
      </c>
      <c r="GW37">
        <v>1.002</v>
      </c>
      <c r="GX37">
        <v>1600</v>
      </c>
      <c r="HC37" t="s">
        <v>57</v>
      </c>
      <c r="HD37">
        <v>6.9640000000000004</v>
      </c>
      <c r="HE37">
        <v>0.38300000000000001</v>
      </c>
      <c r="HF37">
        <v>5.9649999999999999</v>
      </c>
      <c r="HG37">
        <v>6.7839999999999998</v>
      </c>
      <c r="HH37">
        <v>7.08</v>
      </c>
      <c r="HI37">
        <v>7.2530000000000001</v>
      </c>
      <c r="HJ37">
        <v>7.3680000000000003</v>
      </c>
      <c r="HK37">
        <v>1.0009999999999999</v>
      </c>
      <c r="HL37">
        <v>3000</v>
      </c>
      <c r="HP37" s="7"/>
      <c r="HQ37" s="7" t="s">
        <v>57</v>
      </c>
      <c r="HR37" s="7">
        <v>7.0389999999999997</v>
      </c>
      <c r="HS37" s="7">
        <v>0.31</v>
      </c>
      <c r="HT37" s="7">
        <v>6.2050000000000001</v>
      </c>
      <c r="HU37" s="7">
        <v>6.8979999999999997</v>
      </c>
      <c r="HV37" s="7">
        <v>7.1310000000000002</v>
      </c>
      <c r="HW37" s="7">
        <v>7.2670000000000003</v>
      </c>
      <c r="HX37" s="7">
        <v>7.3680000000000003</v>
      </c>
      <c r="HY37" s="7">
        <v>1.0009999999999999</v>
      </c>
      <c r="HZ37" s="7">
        <v>3000</v>
      </c>
      <c r="IA37" s="7"/>
      <c r="IE37" t="s">
        <v>57</v>
      </c>
      <c r="IF37">
        <v>7.1349999999999998</v>
      </c>
      <c r="IG37">
        <v>0.214</v>
      </c>
      <c r="IH37">
        <v>6.6059999999999999</v>
      </c>
      <c r="II37">
        <v>7.0220000000000002</v>
      </c>
      <c r="IJ37">
        <v>7.1920000000000002</v>
      </c>
      <c r="IK37">
        <v>7.3010000000000002</v>
      </c>
      <c r="IL37">
        <v>7.3719999999999999</v>
      </c>
      <c r="IM37">
        <v>1.002</v>
      </c>
      <c r="IN37">
        <v>1900</v>
      </c>
      <c r="IS37" t="s">
        <v>57</v>
      </c>
      <c r="IT37">
        <v>7.1449999999999996</v>
      </c>
      <c r="IU37">
        <v>0.20499999999999999</v>
      </c>
      <c r="IV37">
        <v>6.6420000000000003</v>
      </c>
      <c r="IW37">
        <v>7.0389999999999997</v>
      </c>
      <c r="IX37">
        <v>7.1970000000000001</v>
      </c>
      <c r="IY37">
        <v>7.3029999999999999</v>
      </c>
      <c r="IZ37">
        <v>7.3739999999999997</v>
      </c>
      <c r="JA37">
        <v>1.002</v>
      </c>
      <c r="JB37">
        <v>2200</v>
      </c>
      <c r="JF37" t="s">
        <v>57</v>
      </c>
      <c r="JG37">
        <v>7.0449999999999999</v>
      </c>
      <c r="JH37">
        <v>0.29899999999999999</v>
      </c>
      <c r="JI37">
        <v>6.2450000000000001</v>
      </c>
      <c r="JJ37">
        <v>6.8979999999999997</v>
      </c>
      <c r="JK37">
        <v>7.1230000000000002</v>
      </c>
      <c r="JL37">
        <v>7.2759999999999998</v>
      </c>
      <c r="JM37">
        <v>7.37</v>
      </c>
      <c r="JN37">
        <v>1.0069999999999999</v>
      </c>
      <c r="JO37">
        <v>660</v>
      </c>
      <c r="JT37" t="s">
        <v>57</v>
      </c>
      <c r="JU37">
        <v>7.0380000000000003</v>
      </c>
      <c r="JV37">
        <v>0.31</v>
      </c>
      <c r="JW37">
        <v>6.2279999999999998</v>
      </c>
      <c r="JX37">
        <v>6.8949999999999996</v>
      </c>
      <c r="JY37">
        <v>7.1269999999999998</v>
      </c>
      <c r="JZ37">
        <v>7.274</v>
      </c>
      <c r="KA37">
        <v>7.37</v>
      </c>
      <c r="KB37">
        <v>1.0009999999999999</v>
      </c>
      <c r="KC37">
        <v>3000</v>
      </c>
      <c r="KH37" t="s">
        <v>57</v>
      </c>
      <c r="KI37">
        <v>7.0339999999999998</v>
      </c>
      <c r="KJ37">
        <v>0.30599999999999999</v>
      </c>
      <c r="KK37">
        <v>6.2210000000000001</v>
      </c>
      <c r="KL37">
        <v>6.89</v>
      </c>
      <c r="KM37">
        <v>7.1150000000000002</v>
      </c>
      <c r="KN37">
        <v>7.2670000000000003</v>
      </c>
      <c r="KO37">
        <v>7.367</v>
      </c>
      <c r="KP37">
        <v>1.0089999999999999</v>
      </c>
      <c r="KQ37">
        <v>530</v>
      </c>
      <c r="KR37">
        <f t="shared" si="0"/>
        <v>1134.5597849377205</v>
      </c>
      <c r="KV37" t="s">
        <v>57</v>
      </c>
      <c r="KW37">
        <v>9.5050000000000008</v>
      </c>
      <c r="KX37">
        <v>0.51800000000000002</v>
      </c>
      <c r="KY37">
        <v>8.4760000000000009</v>
      </c>
      <c r="KZ37">
        <v>9.1560000000000006</v>
      </c>
      <c r="LA37">
        <v>9.52</v>
      </c>
      <c r="LB37">
        <v>9.8409999999999993</v>
      </c>
      <c r="LC37">
        <v>10.535</v>
      </c>
      <c r="LD37">
        <v>1.002</v>
      </c>
      <c r="LE37">
        <v>1000</v>
      </c>
      <c r="LJ37" t="s">
        <v>57</v>
      </c>
      <c r="LK37">
        <v>2.766</v>
      </c>
      <c r="LL37">
        <v>1.264</v>
      </c>
      <c r="LM37">
        <v>-2.1000000000000001E-2</v>
      </c>
      <c r="LN37">
        <v>1.992</v>
      </c>
      <c r="LO37">
        <v>2.9020000000000001</v>
      </c>
      <c r="LP37">
        <v>3.649</v>
      </c>
      <c r="LQ37">
        <v>4.875</v>
      </c>
      <c r="LR37">
        <v>1.006</v>
      </c>
      <c r="LS37">
        <v>670</v>
      </c>
      <c r="LX37" t="s">
        <v>57</v>
      </c>
      <c r="LY37">
        <v>4.8289999999999997</v>
      </c>
      <c r="LZ37">
        <v>1.9330000000000001</v>
      </c>
      <c r="MA37">
        <v>1.248</v>
      </c>
      <c r="MB37">
        <v>3.33</v>
      </c>
      <c r="MC37">
        <v>4.8929999999999998</v>
      </c>
      <c r="MD37">
        <v>6.2610000000000001</v>
      </c>
      <c r="ME37">
        <v>8.3170000000000002</v>
      </c>
      <c r="MF37">
        <v>1.847</v>
      </c>
      <c r="MG37">
        <v>5</v>
      </c>
      <c r="ML37" t="s">
        <v>57</v>
      </c>
      <c r="MM37">
        <v>8.9659999999999993</v>
      </c>
      <c r="MN37">
        <v>0.47599999999999998</v>
      </c>
      <c r="MO37">
        <v>8.0340000000000007</v>
      </c>
      <c r="MP37">
        <v>8.6440000000000001</v>
      </c>
      <c r="MQ37">
        <v>8.9659999999999993</v>
      </c>
      <c r="MR37">
        <v>9.2889999999999997</v>
      </c>
      <c r="MS37">
        <v>9.8979999999999997</v>
      </c>
      <c r="MT37">
        <v>1.0009999999999999</v>
      </c>
      <c r="MU37">
        <v>24000</v>
      </c>
      <c r="MZ37" t="s">
        <v>57</v>
      </c>
      <c r="NA37">
        <v>8.9689999999999994</v>
      </c>
      <c r="NB37">
        <v>0.45800000000000002</v>
      </c>
      <c r="NC37">
        <v>8.0779999999999994</v>
      </c>
      <c r="ND37">
        <v>8.6620000000000008</v>
      </c>
      <c r="NE37">
        <v>8.9809999999999999</v>
      </c>
      <c r="NF37">
        <v>9.2910000000000004</v>
      </c>
      <c r="NG37">
        <v>9.8529999999999998</v>
      </c>
      <c r="NH37">
        <v>1.0029999999999999</v>
      </c>
      <c r="NI37">
        <v>750</v>
      </c>
      <c r="NM37" t="s">
        <v>57</v>
      </c>
      <c r="NN37">
        <v>7.4290000000000003</v>
      </c>
      <c r="NO37">
        <v>0.16200000000000001</v>
      </c>
      <c r="NP37">
        <v>7.125</v>
      </c>
      <c r="NQ37">
        <v>7.3179999999999996</v>
      </c>
      <c r="NR37">
        <v>7.4260000000000002</v>
      </c>
      <c r="NS37">
        <v>7.5380000000000003</v>
      </c>
      <c r="NT37">
        <v>7.7569999999999997</v>
      </c>
      <c r="NU37">
        <v>1.002</v>
      </c>
      <c r="NV37">
        <v>2700</v>
      </c>
      <c r="NY37" t="s">
        <v>57</v>
      </c>
      <c r="NZ37">
        <v>7.4249999999999998</v>
      </c>
      <c r="OA37">
        <v>0.16400000000000001</v>
      </c>
      <c r="OB37">
        <v>7.1150000000000002</v>
      </c>
      <c r="OC37">
        <v>7.3109999999999999</v>
      </c>
      <c r="OD37">
        <v>7.4210000000000003</v>
      </c>
      <c r="OE37">
        <v>7.5350000000000001</v>
      </c>
      <c r="OF37">
        <v>7.7549999999999999</v>
      </c>
      <c r="OG37">
        <v>1.0009999999999999</v>
      </c>
      <c r="OH37">
        <v>31000</v>
      </c>
      <c r="OP37" t="s">
        <v>57</v>
      </c>
      <c r="OQ37">
        <v>7.42</v>
      </c>
      <c r="OR37">
        <v>0.16600000000000001</v>
      </c>
      <c r="OS37">
        <v>7.1070000000000002</v>
      </c>
      <c r="OT37">
        <v>7.3010000000000002</v>
      </c>
      <c r="OU37">
        <v>7.415</v>
      </c>
      <c r="OV37">
        <v>7.532</v>
      </c>
      <c r="OW37">
        <v>7.7519999999999998</v>
      </c>
      <c r="OX37">
        <v>1.0009999999999999</v>
      </c>
      <c r="OY37">
        <v>2500</v>
      </c>
      <c r="PB37" t="s">
        <v>57</v>
      </c>
      <c r="PC37">
        <v>7.4320000000000004</v>
      </c>
      <c r="PD37">
        <v>0.16400000000000001</v>
      </c>
      <c r="PE37">
        <v>7.117</v>
      </c>
      <c r="PF37">
        <v>7.3159999999999998</v>
      </c>
      <c r="PG37">
        <v>7.4320000000000004</v>
      </c>
      <c r="PH37">
        <v>7.5419999999999998</v>
      </c>
      <c r="PI37">
        <v>7.7670000000000003</v>
      </c>
      <c r="PJ37">
        <v>1.0009999999999999</v>
      </c>
      <c r="PK37">
        <v>3000</v>
      </c>
      <c r="PN37" t="s">
        <v>57</v>
      </c>
      <c r="PO37">
        <v>7.2850000000000001</v>
      </c>
      <c r="PP37">
        <v>0.11600000000000001</v>
      </c>
      <c r="PQ37">
        <v>7.0359999999999996</v>
      </c>
      <c r="PR37">
        <v>7.2089999999999996</v>
      </c>
      <c r="PS37">
        <v>7.2939999999999996</v>
      </c>
      <c r="PT37">
        <v>7.37</v>
      </c>
      <c r="PU37">
        <v>7.4820000000000002</v>
      </c>
      <c r="PV37">
        <v>1.0009999999999999</v>
      </c>
      <c r="PW37">
        <v>3000</v>
      </c>
      <c r="QA37" t="s">
        <v>57</v>
      </c>
      <c r="QB37">
        <v>6.88</v>
      </c>
      <c r="QC37">
        <v>7.2999999999999995E-2</v>
      </c>
      <c r="QD37">
        <v>6.7380000000000004</v>
      </c>
      <c r="QE37">
        <v>6.8310000000000004</v>
      </c>
      <c r="QF37">
        <v>6.88</v>
      </c>
      <c r="QG37">
        <v>6.9349999999999996</v>
      </c>
      <c r="QH37">
        <v>7.0129999999999999</v>
      </c>
      <c r="QI37">
        <v>1.071</v>
      </c>
      <c r="QJ37">
        <v>33</v>
      </c>
      <c r="QL37">
        <f t="shared" si="2"/>
        <v>0.40500000000000025</v>
      </c>
    </row>
    <row r="38" spans="1:454">
      <c r="A38" t="s">
        <v>58</v>
      </c>
      <c r="B38">
        <v>6.0019999999999998</v>
      </c>
      <c r="C38">
        <v>1.3720000000000001</v>
      </c>
      <c r="D38">
        <v>3.3439999999999999</v>
      </c>
      <c r="E38">
        <v>5.0949999999999998</v>
      </c>
      <c r="F38">
        <v>5.9219999999999997</v>
      </c>
      <c r="G38">
        <v>6.9569999999999999</v>
      </c>
      <c r="H38">
        <v>8.7110000000000003</v>
      </c>
      <c r="I38">
        <v>1.169</v>
      </c>
      <c r="J38">
        <v>17</v>
      </c>
      <c r="O38" t="s">
        <v>58</v>
      </c>
      <c r="P38">
        <v>1.5569999999999999</v>
      </c>
      <c r="Q38">
        <v>1.8460000000000001</v>
      </c>
      <c r="R38">
        <v>1.0999999999999999E-2</v>
      </c>
      <c r="S38">
        <v>0.17</v>
      </c>
      <c r="T38">
        <v>0.71899999999999997</v>
      </c>
      <c r="U38">
        <v>2.4279999999999999</v>
      </c>
      <c r="V38">
        <v>6.4569999999999999</v>
      </c>
      <c r="W38">
        <v>1.022</v>
      </c>
      <c r="X38">
        <v>99</v>
      </c>
      <c r="AC38" t="s">
        <v>58</v>
      </c>
      <c r="AD38">
        <v>4.7729999999999997</v>
      </c>
      <c r="AE38">
        <v>1.123</v>
      </c>
      <c r="AF38">
        <v>2.6709999999999998</v>
      </c>
      <c r="AG38">
        <v>3.988</v>
      </c>
      <c r="AH38">
        <v>4.7359999999999998</v>
      </c>
      <c r="AI38">
        <v>5.5750000000000002</v>
      </c>
      <c r="AJ38">
        <v>6.9720000000000004</v>
      </c>
      <c r="AK38">
        <v>1.0009999999999999</v>
      </c>
      <c r="AL38">
        <v>3000</v>
      </c>
      <c r="AQ38" t="s">
        <v>58</v>
      </c>
      <c r="AR38">
        <v>4.71</v>
      </c>
      <c r="AS38">
        <v>1.0720000000000001</v>
      </c>
      <c r="AT38">
        <v>2.7040000000000002</v>
      </c>
      <c r="AU38">
        <v>3.9369999999999998</v>
      </c>
      <c r="AV38">
        <v>4.6539999999999999</v>
      </c>
      <c r="AW38">
        <v>5.4589999999999996</v>
      </c>
      <c r="AX38">
        <v>6.8659999999999997</v>
      </c>
      <c r="AY38">
        <v>1.0009999999999999</v>
      </c>
      <c r="AZ38">
        <v>3000</v>
      </c>
      <c r="BE38" t="s">
        <v>58</v>
      </c>
      <c r="BF38">
        <v>4.423</v>
      </c>
      <c r="BG38">
        <v>0.8</v>
      </c>
      <c r="BH38">
        <v>2.871</v>
      </c>
      <c r="BI38">
        <v>3.891</v>
      </c>
      <c r="BJ38">
        <v>4.4039999999999999</v>
      </c>
      <c r="BK38">
        <v>4.9279999999999999</v>
      </c>
      <c r="BL38">
        <v>6.0190000000000001</v>
      </c>
      <c r="BM38">
        <v>1.0029999999999999</v>
      </c>
      <c r="BN38">
        <v>980</v>
      </c>
      <c r="BS38" t="s">
        <v>58</v>
      </c>
      <c r="BT38">
        <v>4.2249999999999996</v>
      </c>
      <c r="BU38">
        <v>1.0429999999999999</v>
      </c>
      <c r="BV38">
        <v>2.3940000000000001</v>
      </c>
      <c r="BW38">
        <v>3.5190000000000001</v>
      </c>
      <c r="BX38">
        <v>4.1349999999999998</v>
      </c>
      <c r="BY38">
        <v>4.8520000000000003</v>
      </c>
      <c r="BZ38">
        <v>6.5010000000000003</v>
      </c>
      <c r="CA38">
        <v>1.0009999999999999</v>
      </c>
      <c r="CB38">
        <v>3000</v>
      </c>
      <c r="CG38" t="s">
        <v>58</v>
      </c>
      <c r="CH38">
        <v>4.3959999999999999</v>
      </c>
      <c r="CI38">
        <v>0.80800000000000005</v>
      </c>
      <c r="CJ38">
        <v>2.835</v>
      </c>
      <c r="CK38">
        <v>3.86</v>
      </c>
      <c r="CL38">
        <v>4.3899999999999997</v>
      </c>
      <c r="CM38">
        <v>4.9269999999999996</v>
      </c>
      <c r="CN38">
        <v>6.0279999999999996</v>
      </c>
      <c r="CO38">
        <v>1.0009999999999999</v>
      </c>
      <c r="CP38">
        <v>3000</v>
      </c>
      <c r="CU38" t="s">
        <v>58</v>
      </c>
      <c r="CV38">
        <v>4.4219999999999997</v>
      </c>
      <c r="CW38">
        <v>1.0669999999999999</v>
      </c>
      <c r="CX38">
        <v>2.355</v>
      </c>
      <c r="CY38">
        <v>3.7189999999999999</v>
      </c>
      <c r="CZ38">
        <v>4.4109999999999996</v>
      </c>
      <c r="DA38">
        <v>5.1130000000000004</v>
      </c>
      <c r="DB38">
        <v>6.5990000000000002</v>
      </c>
      <c r="DC38">
        <v>1.0129999999999999</v>
      </c>
      <c r="DD38">
        <v>190</v>
      </c>
      <c r="DI38" t="s">
        <v>58</v>
      </c>
      <c r="DJ38">
        <v>4.8479999999999999</v>
      </c>
      <c r="DK38">
        <v>1.175</v>
      </c>
      <c r="DL38">
        <v>2.6829999999999998</v>
      </c>
      <c r="DM38">
        <v>4.0149999999999997</v>
      </c>
      <c r="DN38">
        <v>4.7889999999999997</v>
      </c>
      <c r="DO38">
        <v>5.7149999999999999</v>
      </c>
      <c r="DP38">
        <v>7.1230000000000002</v>
      </c>
      <c r="DQ38">
        <v>1.006</v>
      </c>
      <c r="DR38">
        <v>400</v>
      </c>
      <c r="DY38" t="s">
        <v>58</v>
      </c>
      <c r="DZ38">
        <v>5.0010000000000003</v>
      </c>
      <c r="EA38">
        <v>1.121</v>
      </c>
      <c r="EB38">
        <v>2.879</v>
      </c>
      <c r="EC38">
        <v>4.2089999999999996</v>
      </c>
      <c r="ED38">
        <v>4.9820000000000002</v>
      </c>
      <c r="EE38">
        <v>5.806</v>
      </c>
      <c r="EF38">
        <v>7.1050000000000004</v>
      </c>
      <c r="EG38">
        <v>1.002</v>
      </c>
      <c r="EH38">
        <v>1000</v>
      </c>
      <c r="EK38" t="s">
        <v>58</v>
      </c>
      <c r="EL38">
        <v>5.202</v>
      </c>
      <c r="EM38">
        <v>1.097</v>
      </c>
      <c r="EN38">
        <v>3.0529999999999999</v>
      </c>
      <c r="EO38">
        <v>4.407</v>
      </c>
      <c r="EP38">
        <v>5.2370000000000001</v>
      </c>
      <c r="EQ38">
        <v>6.032</v>
      </c>
      <c r="ER38">
        <v>7.15</v>
      </c>
      <c r="ES38">
        <v>1.0009999999999999</v>
      </c>
      <c r="ET38">
        <v>1400</v>
      </c>
      <c r="EY38" t="s">
        <v>58</v>
      </c>
      <c r="EZ38">
        <v>4.4649999999999999</v>
      </c>
      <c r="FA38">
        <v>1.151</v>
      </c>
      <c r="FB38">
        <v>2.3620000000000001</v>
      </c>
      <c r="FC38">
        <v>3.645</v>
      </c>
      <c r="FD38">
        <v>4.4029999999999996</v>
      </c>
      <c r="FE38">
        <v>5.234</v>
      </c>
      <c r="FF38">
        <v>6.8230000000000004</v>
      </c>
      <c r="FG38">
        <v>1.0009999999999999</v>
      </c>
      <c r="FH38">
        <v>3000</v>
      </c>
      <c r="GA38" t="s">
        <v>58</v>
      </c>
      <c r="GB38">
        <v>6.6719999999999997</v>
      </c>
      <c r="GC38">
        <v>0.51600000000000001</v>
      </c>
      <c r="GD38">
        <v>5.4669999999999996</v>
      </c>
      <c r="GE38">
        <v>6.3550000000000004</v>
      </c>
      <c r="GF38">
        <v>6.7779999999999996</v>
      </c>
      <c r="GG38">
        <v>7.0810000000000004</v>
      </c>
      <c r="GH38">
        <v>7.35</v>
      </c>
      <c r="GI38">
        <v>1.0009999999999999</v>
      </c>
      <c r="GJ38">
        <v>3000</v>
      </c>
      <c r="GO38" t="s">
        <v>58</v>
      </c>
      <c r="GP38">
        <v>4.4210000000000003</v>
      </c>
      <c r="GQ38">
        <v>1.1419999999999999</v>
      </c>
      <c r="GR38">
        <v>2.2879999999999998</v>
      </c>
      <c r="GS38">
        <v>3.621</v>
      </c>
      <c r="GT38">
        <v>4.3600000000000003</v>
      </c>
      <c r="GU38">
        <v>5.2039999999999997</v>
      </c>
      <c r="GV38">
        <v>6.7569999999999997</v>
      </c>
      <c r="GW38">
        <v>1.0009999999999999</v>
      </c>
      <c r="GX38">
        <v>2500</v>
      </c>
      <c r="HC38" t="s">
        <v>58</v>
      </c>
      <c r="HD38">
        <v>4.4320000000000004</v>
      </c>
      <c r="HE38">
        <v>1.1299999999999999</v>
      </c>
      <c r="HF38">
        <v>2.3359999999999999</v>
      </c>
      <c r="HG38">
        <v>3.6509999999999998</v>
      </c>
      <c r="HH38">
        <v>4.3789999999999996</v>
      </c>
      <c r="HI38">
        <v>5.1989999999999998</v>
      </c>
      <c r="HJ38">
        <v>6.702</v>
      </c>
      <c r="HK38">
        <v>1.0009999999999999</v>
      </c>
      <c r="HL38">
        <v>3000</v>
      </c>
      <c r="HP38" s="7"/>
      <c r="HQ38" s="7" t="s">
        <v>58</v>
      </c>
      <c r="HR38" s="7">
        <v>4.5380000000000003</v>
      </c>
      <c r="HS38" s="7">
        <v>1.036</v>
      </c>
      <c r="HT38" s="7">
        <v>2.673</v>
      </c>
      <c r="HU38" s="7">
        <v>3.8159999999999998</v>
      </c>
      <c r="HV38" s="7">
        <v>4.4820000000000002</v>
      </c>
      <c r="HW38" s="7">
        <v>5.2130000000000001</v>
      </c>
      <c r="HX38" s="7">
        <v>6.7060000000000004</v>
      </c>
      <c r="HY38" s="7">
        <v>1.002</v>
      </c>
      <c r="HZ38" s="7">
        <v>1600</v>
      </c>
      <c r="IA38" s="7"/>
      <c r="IE38" t="s">
        <v>58</v>
      </c>
      <c r="IF38">
        <v>5.3280000000000003</v>
      </c>
      <c r="IG38">
        <v>0.85399999999999998</v>
      </c>
      <c r="IH38">
        <v>3.7559999999999998</v>
      </c>
      <c r="II38">
        <v>4.7119999999999997</v>
      </c>
      <c r="IJ38">
        <v>5.2770000000000001</v>
      </c>
      <c r="IK38">
        <v>5.9130000000000003</v>
      </c>
      <c r="IL38">
        <v>7.0389999999999997</v>
      </c>
      <c r="IM38">
        <v>1.0029999999999999</v>
      </c>
      <c r="IN38">
        <v>750</v>
      </c>
      <c r="IS38" t="s">
        <v>58</v>
      </c>
      <c r="IT38">
        <v>5.67</v>
      </c>
      <c r="IU38">
        <v>0.79800000000000004</v>
      </c>
      <c r="IV38">
        <v>4.1980000000000004</v>
      </c>
      <c r="IW38">
        <v>5.08</v>
      </c>
      <c r="IX38">
        <v>5.649</v>
      </c>
      <c r="IY38">
        <v>6.2480000000000002</v>
      </c>
      <c r="IZ38">
        <v>7.1859999999999999</v>
      </c>
      <c r="JA38">
        <v>1.002</v>
      </c>
      <c r="JB38">
        <v>1300</v>
      </c>
      <c r="JF38" t="s">
        <v>58</v>
      </c>
      <c r="JG38">
        <v>4.6020000000000003</v>
      </c>
      <c r="JH38">
        <v>1.0109999999999999</v>
      </c>
      <c r="JI38">
        <v>2.7930000000000001</v>
      </c>
      <c r="JJ38">
        <v>3.8730000000000002</v>
      </c>
      <c r="JK38">
        <v>4.5389999999999997</v>
      </c>
      <c r="JL38">
        <v>5.2850000000000001</v>
      </c>
      <c r="JM38">
        <v>6.6959999999999997</v>
      </c>
      <c r="JN38">
        <v>1.0009999999999999</v>
      </c>
      <c r="JO38">
        <v>3000</v>
      </c>
      <c r="JT38" t="s">
        <v>58</v>
      </c>
      <c r="JU38">
        <v>4.5</v>
      </c>
      <c r="JV38">
        <v>1.0209999999999999</v>
      </c>
      <c r="JW38">
        <v>2.706</v>
      </c>
      <c r="JX38">
        <v>3.7730000000000001</v>
      </c>
      <c r="JY38">
        <v>4.4109999999999996</v>
      </c>
      <c r="JZ38">
        <v>5.1859999999999999</v>
      </c>
      <c r="KA38">
        <v>6.673</v>
      </c>
      <c r="KB38">
        <v>1.0009999999999999</v>
      </c>
      <c r="KC38">
        <v>2100</v>
      </c>
      <c r="KH38" t="s">
        <v>58</v>
      </c>
      <c r="KI38">
        <v>4.5640000000000001</v>
      </c>
      <c r="KJ38">
        <v>1.046</v>
      </c>
      <c r="KK38">
        <v>2.673</v>
      </c>
      <c r="KL38">
        <v>3.8490000000000002</v>
      </c>
      <c r="KM38">
        <v>4.5</v>
      </c>
      <c r="KN38">
        <v>5.2759999999999998</v>
      </c>
      <c r="KO38">
        <v>6.7640000000000002</v>
      </c>
      <c r="KP38">
        <v>1.002</v>
      </c>
      <c r="KQ38">
        <v>3000</v>
      </c>
      <c r="KR38">
        <f t="shared" si="0"/>
        <v>95.966579437802679</v>
      </c>
      <c r="KV38" t="s">
        <v>58</v>
      </c>
      <c r="KW38">
        <v>3.867</v>
      </c>
      <c r="KX38">
        <v>0.71299999999999997</v>
      </c>
      <c r="KY38">
        <v>2.4369999999999998</v>
      </c>
      <c r="KZ38">
        <v>3.39</v>
      </c>
      <c r="LA38">
        <v>3.8650000000000002</v>
      </c>
      <c r="LB38">
        <v>4.3319999999999999</v>
      </c>
      <c r="LC38">
        <v>5.2670000000000003</v>
      </c>
      <c r="LD38">
        <v>1.004</v>
      </c>
      <c r="LE38">
        <v>580</v>
      </c>
      <c r="LJ38" t="s">
        <v>58</v>
      </c>
      <c r="LK38">
        <v>1.8660000000000001</v>
      </c>
      <c r="LL38">
        <v>1.756</v>
      </c>
      <c r="LM38">
        <v>-2.0070000000000001</v>
      </c>
      <c r="LN38">
        <v>0.76800000000000002</v>
      </c>
      <c r="LO38">
        <v>2.012</v>
      </c>
      <c r="LP38">
        <v>3.181</v>
      </c>
      <c r="LQ38">
        <v>4.84</v>
      </c>
      <c r="LR38">
        <v>1.004</v>
      </c>
      <c r="LS38">
        <v>660</v>
      </c>
      <c r="LX38" t="s">
        <v>58</v>
      </c>
      <c r="LY38">
        <v>-0.73799999999999999</v>
      </c>
      <c r="LZ38">
        <v>2.6419999999999999</v>
      </c>
      <c r="MA38">
        <v>-6.7939999999999996</v>
      </c>
      <c r="MB38">
        <v>-2.355</v>
      </c>
      <c r="MC38">
        <v>-0.41099999999999998</v>
      </c>
      <c r="MD38">
        <v>1.208</v>
      </c>
      <c r="ME38">
        <v>3.552</v>
      </c>
      <c r="MF38">
        <v>1.629</v>
      </c>
      <c r="MG38">
        <v>7</v>
      </c>
      <c r="ML38" t="s">
        <v>58</v>
      </c>
      <c r="MM38">
        <v>4.6929999999999996</v>
      </c>
      <c r="MN38">
        <v>0.67400000000000004</v>
      </c>
      <c r="MO38">
        <v>3.39</v>
      </c>
      <c r="MP38">
        <v>4.2359999999999998</v>
      </c>
      <c r="MQ38">
        <v>4.6879999999999997</v>
      </c>
      <c r="MR38">
        <v>5.1440000000000001</v>
      </c>
      <c r="MS38">
        <v>6.0289999999999999</v>
      </c>
      <c r="MT38">
        <v>1.0009999999999999</v>
      </c>
      <c r="MU38">
        <v>36000</v>
      </c>
      <c r="MZ38" t="s">
        <v>58</v>
      </c>
      <c r="NA38">
        <v>4.6870000000000003</v>
      </c>
      <c r="NB38">
        <v>0.63800000000000001</v>
      </c>
      <c r="NC38">
        <v>3.4689999999999999</v>
      </c>
      <c r="ND38">
        <v>4.2530000000000001</v>
      </c>
      <c r="NE38">
        <v>4.6710000000000003</v>
      </c>
      <c r="NF38">
        <v>5.1159999999999997</v>
      </c>
      <c r="NG38">
        <v>5.9379999999999997</v>
      </c>
      <c r="NH38">
        <v>1.004</v>
      </c>
      <c r="NI38">
        <v>670</v>
      </c>
      <c r="NM38" t="s">
        <v>58</v>
      </c>
      <c r="NN38">
        <v>6.8929999999999998</v>
      </c>
      <c r="NO38">
        <v>0.28699999999999998</v>
      </c>
      <c r="NP38">
        <v>6.3319999999999999</v>
      </c>
      <c r="NQ38">
        <v>6.6980000000000004</v>
      </c>
      <c r="NR38">
        <v>6.8959999999999999</v>
      </c>
      <c r="NS38">
        <v>7.0869999999999997</v>
      </c>
      <c r="NT38">
        <v>7.4630000000000001</v>
      </c>
      <c r="NU38">
        <v>1.0009999999999999</v>
      </c>
      <c r="NV38">
        <v>21000</v>
      </c>
      <c r="NY38" t="s">
        <v>58</v>
      </c>
      <c r="NZ38">
        <v>6.859</v>
      </c>
      <c r="OA38">
        <v>0.29599999999999999</v>
      </c>
      <c r="OB38">
        <v>6.274</v>
      </c>
      <c r="OC38">
        <v>6.66</v>
      </c>
      <c r="OD38">
        <v>6.86</v>
      </c>
      <c r="OE38">
        <v>7.0590000000000002</v>
      </c>
      <c r="OF38">
        <v>7.4370000000000003</v>
      </c>
      <c r="OG38">
        <v>1.0009999999999999</v>
      </c>
      <c r="OH38">
        <v>29000</v>
      </c>
      <c r="OP38" t="s">
        <v>58</v>
      </c>
      <c r="OQ38">
        <v>6.891</v>
      </c>
      <c r="OR38">
        <v>0.308</v>
      </c>
      <c r="OS38">
        <v>6.3029999999999999</v>
      </c>
      <c r="OT38">
        <v>6.6760000000000002</v>
      </c>
      <c r="OU38">
        <v>6.8949999999999996</v>
      </c>
      <c r="OV38">
        <v>7.1020000000000003</v>
      </c>
      <c r="OW38">
        <v>7.4960000000000004</v>
      </c>
      <c r="OX38">
        <v>1.0009999999999999</v>
      </c>
      <c r="OY38">
        <v>2500</v>
      </c>
      <c r="PB38" t="s">
        <v>58</v>
      </c>
      <c r="PC38">
        <v>6.9180000000000001</v>
      </c>
      <c r="PD38">
        <v>0.28499999999999998</v>
      </c>
      <c r="PE38">
        <v>6.3650000000000002</v>
      </c>
      <c r="PF38">
        <v>6.7210000000000001</v>
      </c>
      <c r="PG38">
        <v>6.9119999999999999</v>
      </c>
      <c r="PH38">
        <v>7.1109999999999998</v>
      </c>
      <c r="PI38">
        <v>7.4870000000000001</v>
      </c>
      <c r="PJ38">
        <v>1.002</v>
      </c>
      <c r="PK38">
        <v>1900</v>
      </c>
      <c r="PN38" t="s">
        <v>58</v>
      </c>
      <c r="PO38">
        <v>7.0549999999999997</v>
      </c>
      <c r="PP38">
        <v>0.186</v>
      </c>
      <c r="PQ38">
        <v>6.6619999999999999</v>
      </c>
      <c r="PR38">
        <v>6.9349999999999996</v>
      </c>
      <c r="PS38">
        <v>7.0709999999999997</v>
      </c>
      <c r="PT38">
        <v>7.1920000000000002</v>
      </c>
      <c r="PU38">
        <v>7.3760000000000003</v>
      </c>
      <c r="PV38">
        <v>1.0009999999999999</v>
      </c>
      <c r="PW38">
        <v>3000</v>
      </c>
      <c r="QA38" t="s">
        <v>58</v>
      </c>
      <c r="QB38">
        <v>6.6950000000000003</v>
      </c>
      <c r="QC38">
        <v>0.127</v>
      </c>
      <c r="QD38">
        <v>6.444</v>
      </c>
      <c r="QE38">
        <v>6.6040000000000001</v>
      </c>
      <c r="QF38">
        <v>6.7</v>
      </c>
      <c r="QG38">
        <v>6.7910000000000004</v>
      </c>
      <c r="QH38">
        <v>6.9089999999999998</v>
      </c>
      <c r="QI38">
        <v>1.1519999999999999</v>
      </c>
      <c r="QJ38">
        <v>18</v>
      </c>
      <c r="QL38">
        <f t="shared" si="2"/>
        <v>0.35999999999999943</v>
      </c>
    </row>
    <row r="39" spans="1:454">
      <c r="A39" t="s">
        <v>59</v>
      </c>
      <c r="B39">
        <v>6.3170000000000002</v>
      </c>
      <c r="C39">
        <v>1.0389999999999999</v>
      </c>
      <c r="D39">
        <v>4.3220000000000001</v>
      </c>
      <c r="E39">
        <v>5.585</v>
      </c>
      <c r="F39">
        <v>6.3040000000000003</v>
      </c>
      <c r="G39">
        <v>6.9870000000000001</v>
      </c>
      <c r="H39">
        <v>8.4440000000000008</v>
      </c>
      <c r="I39">
        <v>1.2070000000000001</v>
      </c>
      <c r="J39">
        <v>14</v>
      </c>
      <c r="O39" t="s">
        <v>59</v>
      </c>
      <c r="P39">
        <v>5.8040000000000003</v>
      </c>
      <c r="Q39">
        <v>1.3720000000000001</v>
      </c>
      <c r="R39">
        <v>2.2829999999999999</v>
      </c>
      <c r="S39">
        <v>5.09</v>
      </c>
      <c r="T39">
        <v>6.1479999999999997</v>
      </c>
      <c r="U39">
        <v>6.8860000000000001</v>
      </c>
      <c r="V39">
        <v>7.3330000000000002</v>
      </c>
      <c r="W39">
        <v>1.012</v>
      </c>
      <c r="X39">
        <v>1900</v>
      </c>
      <c r="AC39" t="s">
        <v>59</v>
      </c>
      <c r="AD39">
        <v>6.8170000000000002</v>
      </c>
      <c r="AE39">
        <v>0.47699999999999998</v>
      </c>
      <c r="AF39">
        <v>5.6109999999999998</v>
      </c>
      <c r="AG39">
        <v>6.556</v>
      </c>
      <c r="AH39">
        <v>6.9370000000000003</v>
      </c>
      <c r="AI39">
        <v>7.1870000000000003</v>
      </c>
      <c r="AJ39">
        <v>7.3650000000000002</v>
      </c>
      <c r="AK39">
        <v>1.0009999999999999</v>
      </c>
      <c r="AL39">
        <v>3000</v>
      </c>
      <c r="AQ39" t="s">
        <v>59</v>
      </c>
      <c r="AR39">
        <v>6.8330000000000002</v>
      </c>
      <c r="AS39">
        <v>0.45100000000000001</v>
      </c>
      <c r="AT39">
        <v>5.69</v>
      </c>
      <c r="AU39">
        <v>6.5919999999999996</v>
      </c>
      <c r="AV39">
        <v>6.9450000000000003</v>
      </c>
      <c r="AW39">
        <v>7.1879999999999997</v>
      </c>
      <c r="AX39">
        <v>7.36</v>
      </c>
      <c r="AY39">
        <v>1.0009999999999999</v>
      </c>
      <c r="AZ39">
        <v>3000</v>
      </c>
      <c r="BE39" t="s">
        <v>59</v>
      </c>
      <c r="BF39">
        <v>6.4989999999999997</v>
      </c>
      <c r="BG39">
        <v>0.57899999999999996</v>
      </c>
      <c r="BH39">
        <v>5.2229999999999999</v>
      </c>
      <c r="BI39">
        <v>6.1260000000000003</v>
      </c>
      <c r="BJ39">
        <v>6.5620000000000003</v>
      </c>
      <c r="BK39">
        <v>6.9589999999999996</v>
      </c>
      <c r="BL39">
        <v>7.3360000000000003</v>
      </c>
      <c r="BM39">
        <v>1.008</v>
      </c>
      <c r="BN39">
        <v>270</v>
      </c>
      <c r="BS39" t="s">
        <v>59</v>
      </c>
      <c r="BT39">
        <v>6.7930000000000001</v>
      </c>
      <c r="BU39">
        <v>0.48499999999999999</v>
      </c>
      <c r="BV39">
        <v>5.57</v>
      </c>
      <c r="BW39">
        <v>6.5439999999999996</v>
      </c>
      <c r="BX39">
        <v>6.9160000000000004</v>
      </c>
      <c r="BY39">
        <v>7.1660000000000004</v>
      </c>
      <c r="BZ39">
        <v>7.3620000000000001</v>
      </c>
      <c r="CA39">
        <v>1.0009999999999999</v>
      </c>
      <c r="CB39">
        <v>3000</v>
      </c>
      <c r="CG39" t="s">
        <v>59</v>
      </c>
      <c r="CH39">
        <v>6.5229999999999997</v>
      </c>
      <c r="CI39">
        <v>0.56999999999999995</v>
      </c>
      <c r="CJ39">
        <v>5.2229999999999999</v>
      </c>
      <c r="CK39">
        <v>6.1550000000000002</v>
      </c>
      <c r="CL39">
        <v>6.6109999999999998</v>
      </c>
      <c r="CM39">
        <v>6.9790000000000001</v>
      </c>
      <c r="CN39">
        <v>7.3380000000000001</v>
      </c>
      <c r="CO39">
        <v>1.0089999999999999</v>
      </c>
      <c r="CP39">
        <v>260</v>
      </c>
      <c r="CU39" t="s">
        <v>59</v>
      </c>
      <c r="CV39">
        <v>6.9059999999999997</v>
      </c>
      <c r="CW39">
        <v>0.434</v>
      </c>
      <c r="CX39">
        <v>5.8029999999999999</v>
      </c>
      <c r="CY39">
        <v>6.7130000000000001</v>
      </c>
      <c r="CZ39">
        <v>7.016</v>
      </c>
      <c r="DA39">
        <v>7.2329999999999997</v>
      </c>
      <c r="DB39">
        <v>7.3739999999999997</v>
      </c>
      <c r="DC39">
        <v>1.006</v>
      </c>
      <c r="DD39">
        <v>410</v>
      </c>
      <c r="DI39" t="s">
        <v>59</v>
      </c>
      <c r="DJ39">
        <v>6.8380000000000001</v>
      </c>
      <c r="DK39">
        <v>0.45400000000000001</v>
      </c>
      <c r="DL39">
        <v>5.7350000000000003</v>
      </c>
      <c r="DM39">
        <v>6.5919999999999996</v>
      </c>
      <c r="DN39">
        <v>6.9509999999999996</v>
      </c>
      <c r="DO39">
        <v>7.1929999999999996</v>
      </c>
      <c r="DP39">
        <v>7.3639999999999999</v>
      </c>
      <c r="DQ39">
        <v>1.0009999999999999</v>
      </c>
      <c r="DR39">
        <v>3000</v>
      </c>
      <c r="DY39" t="s">
        <v>59</v>
      </c>
      <c r="DZ39">
        <v>6.8520000000000003</v>
      </c>
      <c r="EA39">
        <v>0.44</v>
      </c>
      <c r="EB39">
        <v>5.7720000000000002</v>
      </c>
      <c r="EC39">
        <v>6.6079999999999997</v>
      </c>
      <c r="ED39">
        <v>6.9589999999999996</v>
      </c>
      <c r="EE39">
        <v>7.1959999999999997</v>
      </c>
      <c r="EF39">
        <v>7.3630000000000004</v>
      </c>
      <c r="EG39">
        <v>1.0029999999999999</v>
      </c>
      <c r="EH39">
        <v>1100</v>
      </c>
      <c r="EK39" t="s">
        <v>59</v>
      </c>
      <c r="EL39">
        <v>6.6109999999999998</v>
      </c>
      <c r="EM39">
        <v>0.58699999999999997</v>
      </c>
      <c r="EN39">
        <v>5.2190000000000003</v>
      </c>
      <c r="EO39">
        <v>6.2590000000000003</v>
      </c>
      <c r="EP39">
        <v>6.7149999999999999</v>
      </c>
      <c r="EQ39">
        <v>7.0819999999999999</v>
      </c>
      <c r="ER39">
        <v>7.3579999999999997</v>
      </c>
      <c r="ES39">
        <v>1</v>
      </c>
      <c r="ET39">
        <v>1500</v>
      </c>
      <c r="EY39" t="s">
        <v>59</v>
      </c>
      <c r="EZ39">
        <v>6.6719999999999997</v>
      </c>
      <c r="FA39">
        <v>0.56100000000000005</v>
      </c>
      <c r="FB39">
        <v>5.3070000000000004</v>
      </c>
      <c r="FC39">
        <v>6.3559999999999999</v>
      </c>
      <c r="FD39">
        <v>6.79</v>
      </c>
      <c r="FE39">
        <v>7.1180000000000003</v>
      </c>
      <c r="FF39">
        <v>7.3559999999999999</v>
      </c>
      <c r="FG39">
        <v>1.0009999999999999</v>
      </c>
      <c r="FH39">
        <v>3000</v>
      </c>
      <c r="GA39" t="s">
        <v>59</v>
      </c>
      <c r="GB39">
        <v>6.8570000000000002</v>
      </c>
      <c r="GC39">
        <v>0.38900000000000001</v>
      </c>
      <c r="GD39">
        <v>5.9189999999999996</v>
      </c>
      <c r="GE39">
        <v>6.6289999999999996</v>
      </c>
      <c r="GF39">
        <v>6.9320000000000004</v>
      </c>
      <c r="GG39">
        <v>7.1680000000000001</v>
      </c>
      <c r="GH39">
        <v>7.359</v>
      </c>
      <c r="GI39">
        <v>1.0009999999999999</v>
      </c>
      <c r="GJ39">
        <v>3000</v>
      </c>
      <c r="GO39" t="s">
        <v>59</v>
      </c>
      <c r="GP39">
        <v>6.7050000000000001</v>
      </c>
      <c r="GQ39">
        <v>0.54</v>
      </c>
      <c r="GR39">
        <v>5.375</v>
      </c>
      <c r="GS39">
        <v>6.3970000000000002</v>
      </c>
      <c r="GT39">
        <v>6.835</v>
      </c>
      <c r="GU39">
        <v>7.13</v>
      </c>
      <c r="GV39">
        <v>7.3540000000000001</v>
      </c>
      <c r="GW39">
        <v>1.0009999999999999</v>
      </c>
      <c r="GX39">
        <v>2000</v>
      </c>
      <c r="HC39" t="s">
        <v>59</v>
      </c>
      <c r="HD39">
        <v>6.7030000000000003</v>
      </c>
      <c r="HE39">
        <v>0.53800000000000003</v>
      </c>
      <c r="HF39">
        <v>5.4189999999999996</v>
      </c>
      <c r="HG39">
        <v>6.3840000000000003</v>
      </c>
      <c r="HH39">
        <v>6.82</v>
      </c>
      <c r="HI39">
        <v>7.1369999999999996</v>
      </c>
      <c r="HJ39">
        <v>7.359</v>
      </c>
      <c r="HK39">
        <v>1.0009999999999999</v>
      </c>
      <c r="HL39">
        <v>2200</v>
      </c>
      <c r="HP39" s="7"/>
      <c r="HQ39" s="7" t="s">
        <v>59</v>
      </c>
      <c r="HR39" s="7">
        <v>6.7149999999999999</v>
      </c>
      <c r="HS39" s="7">
        <v>0.52100000000000002</v>
      </c>
      <c r="HT39" s="7">
        <v>5.4569999999999999</v>
      </c>
      <c r="HU39" s="7">
        <v>6.415</v>
      </c>
      <c r="HV39" s="7">
        <v>6.8289999999999997</v>
      </c>
      <c r="HW39" s="7">
        <v>7.1379999999999999</v>
      </c>
      <c r="HX39" s="7">
        <v>7.3579999999999997</v>
      </c>
      <c r="HY39" s="7">
        <v>1.0009999999999999</v>
      </c>
      <c r="HZ39" s="7">
        <v>3000</v>
      </c>
      <c r="IA39" s="7"/>
      <c r="IE39" t="s">
        <v>59</v>
      </c>
      <c r="IF39">
        <v>6.8630000000000004</v>
      </c>
      <c r="IG39">
        <v>0.40899999999999997</v>
      </c>
      <c r="IH39">
        <v>5.8650000000000002</v>
      </c>
      <c r="II39">
        <v>6.6139999999999999</v>
      </c>
      <c r="IJ39">
        <v>6.9630000000000001</v>
      </c>
      <c r="IK39">
        <v>7.19</v>
      </c>
      <c r="IL39">
        <v>7.3630000000000004</v>
      </c>
      <c r="IM39">
        <v>1.0009999999999999</v>
      </c>
      <c r="IN39">
        <v>3000</v>
      </c>
      <c r="IS39" t="s">
        <v>59</v>
      </c>
      <c r="IT39">
        <v>6.8979999999999997</v>
      </c>
      <c r="IU39">
        <v>0.38500000000000001</v>
      </c>
      <c r="IV39">
        <v>5.9740000000000002</v>
      </c>
      <c r="IW39">
        <v>6.681</v>
      </c>
      <c r="IX39">
        <v>6.9859999999999998</v>
      </c>
      <c r="IY39">
        <v>7.2039999999999997</v>
      </c>
      <c r="IZ39">
        <v>7.3680000000000003</v>
      </c>
      <c r="JA39">
        <v>1.0009999999999999</v>
      </c>
      <c r="JB39">
        <v>3000</v>
      </c>
      <c r="JF39" t="s">
        <v>59</v>
      </c>
      <c r="JG39">
        <v>6.7450000000000001</v>
      </c>
      <c r="JH39">
        <v>0.503</v>
      </c>
      <c r="JI39">
        <v>5.5359999999999996</v>
      </c>
      <c r="JJ39">
        <v>6.4589999999999996</v>
      </c>
      <c r="JK39">
        <v>6.8579999999999997</v>
      </c>
      <c r="JL39">
        <v>7.1449999999999996</v>
      </c>
      <c r="JM39">
        <v>7.359</v>
      </c>
      <c r="JN39">
        <v>1.0009999999999999</v>
      </c>
      <c r="JO39">
        <v>2700</v>
      </c>
      <c r="JT39" t="s">
        <v>59</v>
      </c>
      <c r="JU39">
        <v>6.734</v>
      </c>
      <c r="JV39">
        <v>0.52</v>
      </c>
      <c r="JW39">
        <v>5.4459999999999997</v>
      </c>
      <c r="JX39">
        <v>6.4580000000000002</v>
      </c>
      <c r="JY39">
        <v>6.8579999999999997</v>
      </c>
      <c r="JZ39">
        <v>7.141</v>
      </c>
      <c r="KA39">
        <v>7.3570000000000002</v>
      </c>
      <c r="KB39">
        <v>1.002</v>
      </c>
      <c r="KC39">
        <v>1800</v>
      </c>
      <c r="KH39" t="s">
        <v>59</v>
      </c>
      <c r="KI39">
        <v>6.7030000000000003</v>
      </c>
      <c r="KJ39">
        <v>0.54400000000000004</v>
      </c>
      <c r="KK39">
        <v>5.38</v>
      </c>
      <c r="KL39">
        <v>6.4189999999999996</v>
      </c>
      <c r="KM39">
        <v>6.8259999999999996</v>
      </c>
      <c r="KN39">
        <v>7.1310000000000002</v>
      </c>
      <c r="KO39">
        <v>7.3559999999999999</v>
      </c>
      <c r="KP39">
        <v>1.0009999999999999</v>
      </c>
      <c r="KQ39">
        <v>2500</v>
      </c>
      <c r="KR39">
        <f t="shared" si="0"/>
        <v>814.84670212782896</v>
      </c>
      <c r="KV39" t="s">
        <v>59</v>
      </c>
      <c r="KW39">
        <v>8.0950000000000006</v>
      </c>
      <c r="KX39">
        <v>0.246</v>
      </c>
      <c r="KY39">
        <v>7.5609999999999999</v>
      </c>
      <c r="KZ39">
        <v>7.944</v>
      </c>
      <c r="LA39">
        <v>8.1110000000000007</v>
      </c>
      <c r="LB39">
        <v>8.2629999999999999</v>
      </c>
      <c r="LC39">
        <v>8.5429999999999993</v>
      </c>
      <c r="LD39">
        <v>1.0009999999999999</v>
      </c>
      <c r="LE39">
        <v>2200</v>
      </c>
      <c r="LJ39" t="s">
        <v>59</v>
      </c>
      <c r="LK39">
        <v>2.5409999999999999</v>
      </c>
      <c r="LL39">
        <v>0.84299999999999997</v>
      </c>
      <c r="LM39">
        <v>0.73299999999999998</v>
      </c>
      <c r="LN39">
        <v>1.992</v>
      </c>
      <c r="LO39">
        <v>2.5979999999999999</v>
      </c>
      <c r="LP39">
        <v>3.145</v>
      </c>
      <c r="LQ39">
        <v>4.0129999999999999</v>
      </c>
      <c r="LR39">
        <v>1.0069999999999999</v>
      </c>
      <c r="LS39">
        <v>1500</v>
      </c>
      <c r="LX39" t="s">
        <v>59</v>
      </c>
      <c r="LY39">
        <v>3.4369999999999998</v>
      </c>
      <c r="LZ39">
        <v>1.0880000000000001</v>
      </c>
      <c r="MA39">
        <v>1.2869999999999999</v>
      </c>
      <c r="MB39">
        <v>2.633</v>
      </c>
      <c r="MC39">
        <v>3.5270000000000001</v>
      </c>
      <c r="MD39">
        <v>4.2549999999999999</v>
      </c>
      <c r="ME39">
        <v>5.2889999999999997</v>
      </c>
      <c r="MF39">
        <v>1.456</v>
      </c>
      <c r="MG39">
        <v>8</v>
      </c>
      <c r="ML39" t="s">
        <v>59</v>
      </c>
      <c r="MM39">
        <v>7.8979999999999997</v>
      </c>
      <c r="MN39">
        <v>0.222</v>
      </c>
      <c r="MO39">
        <v>7.4290000000000003</v>
      </c>
      <c r="MP39">
        <v>7.7569999999999997</v>
      </c>
      <c r="MQ39">
        <v>7.9080000000000004</v>
      </c>
      <c r="MR39">
        <v>8.0500000000000007</v>
      </c>
      <c r="MS39">
        <v>8.3070000000000004</v>
      </c>
      <c r="MT39">
        <v>1.0009999999999999</v>
      </c>
      <c r="MU39">
        <v>15000</v>
      </c>
      <c r="MZ39" t="s">
        <v>59</v>
      </c>
      <c r="NA39">
        <v>7.8979999999999997</v>
      </c>
      <c r="NB39">
        <v>0.217</v>
      </c>
      <c r="NC39">
        <v>7.4390000000000001</v>
      </c>
      <c r="ND39">
        <v>7.7590000000000003</v>
      </c>
      <c r="NE39">
        <v>7.915</v>
      </c>
      <c r="NF39">
        <v>8.0549999999999997</v>
      </c>
      <c r="NG39">
        <v>8.2859999999999996</v>
      </c>
      <c r="NH39">
        <v>1.002</v>
      </c>
      <c r="NI39">
        <v>1200</v>
      </c>
      <c r="NM39" t="s">
        <v>59</v>
      </c>
      <c r="NN39">
        <v>7.2949999999999999</v>
      </c>
      <c r="NO39">
        <v>0.113</v>
      </c>
      <c r="NP39">
        <v>7.06</v>
      </c>
      <c r="NQ39">
        <v>7.2190000000000003</v>
      </c>
      <c r="NR39">
        <v>7.3029999999999999</v>
      </c>
      <c r="NS39">
        <v>7.3780000000000001</v>
      </c>
      <c r="NT39">
        <v>7.492</v>
      </c>
      <c r="NU39">
        <v>1.002</v>
      </c>
      <c r="NV39">
        <v>3500</v>
      </c>
      <c r="NY39" t="s">
        <v>59</v>
      </c>
      <c r="NZ39">
        <v>7.2839999999999998</v>
      </c>
      <c r="OA39">
        <v>0.11899999999999999</v>
      </c>
      <c r="OB39">
        <v>7.0350000000000001</v>
      </c>
      <c r="OC39">
        <v>7.2030000000000003</v>
      </c>
      <c r="OD39">
        <v>7.2910000000000004</v>
      </c>
      <c r="OE39">
        <v>7.3710000000000004</v>
      </c>
      <c r="OF39">
        <v>7.49</v>
      </c>
      <c r="OG39">
        <v>1.0009999999999999</v>
      </c>
      <c r="OH39">
        <v>17000</v>
      </c>
      <c r="OP39" t="s">
        <v>59</v>
      </c>
      <c r="OQ39">
        <v>7.2880000000000003</v>
      </c>
      <c r="OR39">
        <v>0.11600000000000001</v>
      </c>
      <c r="OS39">
        <v>7.0419999999999998</v>
      </c>
      <c r="OT39">
        <v>7.2110000000000003</v>
      </c>
      <c r="OU39">
        <v>7.2960000000000003</v>
      </c>
      <c r="OV39">
        <v>7.3730000000000002</v>
      </c>
      <c r="OW39">
        <v>7.4859999999999998</v>
      </c>
      <c r="OX39">
        <v>1.002</v>
      </c>
      <c r="OY39">
        <v>1200</v>
      </c>
      <c r="PB39" t="s">
        <v>59</v>
      </c>
      <c r="PC39">
        <v>7.3040000000000003</v>
      </c>
      <c r="PD39">
        <v>0.11</v>
      </c>
      <c r="PE39">
        <v>7.077</v>
      </c>
      <c r="PF39">
        <v>7.2279999999999998</v>
      </c>
      <c r="PG39">
        <v>7.3120000000000003</v>
      </c>
      <c r="PH39">
        <v>7.3840000000000003</v>
      </c>
      <c r="PI39">
        <v>7.492</v>
      </c>
      <c r="PJ39">
        <v>1.002</v>
      </c>
      <c r="PK39">
        <v>1400</v>
      </c>
      <c r="PN39" t="s">
        <v>59</v>
      </c>
      <c r="PO39">
        <v>7.2169999999999996</v>
      </c>
      <c r="PP39">
        <v>0.12</v>
      </c>
      <c r="PQ39">
        <v>6.95</v>
      </c>
      <c r="PR39">
        <v>7.1369999999999996</v>
      </c>
      <c r="PS39">
        <v>7.2380000000000004</v>
      </c>
      <c r="PT39">
        <v>7.3159999999999998</v>
      </c>
      <c r="PU39">
        <v>7.3819999999999997</v>
      </c>
      <c r="PV39">
        <v>1.0009999999999999</v>
      </c>
      <c r="PW39">
        <v>3000</v>
      </c>
      <c r="QA39" t="s">
        <v>59</v>
      </c>
      <c r="QB39">
        <v>6.8250000000000002</v>
      </c>
      <c r="QC39">
        <v>8.5999999999999993E-2</v>
      </c>
      <c r="QD39">
        <v>6.6609999999999996</v>
      </c>
      <c r="QE39">
        <v>6.7640000000000002</v>
      </c>
      <c r="QF39">
        <v>6.827</v>
      </c>
      <c r="QG39">
        <v>6.891</v>
      </c>
      <c r="QH39">
        <v>6.9740000000000002</v>
      </c>
      <c r="QI39">
        <v>1.1080000000000001</v>
      </c>
      <c r="QJ39">
        <v>23</v>
      </c>
      <c r="QL39">
        <f t="shared" si="2"/>
        <v>0.39199999999999946</v>
      </c>
    </row>
    <row r="40" spans="1:454">
      <c r="A40" t="s">
        <v>60</v>
      </c>
      <c r="B40">
        <v>5.9690000000000003</v>
      </c>
      <c r="C40">
        <v>1.127</v>
      </c>
      <c r="D40">
        <v>3.802</v>
      </c>
      <c r="E40">
        <v>5.1920000000000002</v>
      </c>
      <c r="F40">
        <v>5.8860000000000001</v>
      </c>
      <c r="G40">
        <v>6.7610000000000001</v>
      </c>
      <c r="H40">
        <v>8.1750000000000007</v>
      </c>
      <c r="I40">
        <v>1.2689999999999999</v>
      </c>
      <c r="J40">
        <v>12</v>
      </c>
      <c r="O40" t="s">
        <v>60</v>
      </c>
      <c r="P40">
        <v>1.754</v>
      </c>
      <c r="Q40">
        <v>1.655</v>
      </c>
      <c r="R40">
        <v>0.04</v>
      </c>
      <c r="S40">
        <v>0.48799999999999999</v>
      </c>
      <c r="T40">
        <v>1.206</v>
      </c>
      <c r="U40">
        <v>2.548</v>
      </c>
      <c r="V40">
        <v>6.3380000000000001</v>
      </c>
      <c r="W40">
        <v>1.0209999999999999</v>
      </c>
      <c r="X40">
        <v>100</v>
      </c>
      <c r="AC40" t="s">
        <v>60</v>
      </c>
      <c r="AD40">
        <v>5.2389999999999999</v>
      </c>
      <c r="AE40">
        <v>0.89800000000000002</v>
      </c>
      <c r="AF40">
        <v>3.4</v>
      </c>
      <c r="AG40">
        <v>4.6289999999999996</v>
      </c>
      <c r="AH40">
        <v>5.2469999999999999</v>
      </c>
      <c r="AI40">
        <v>5.907</v>
      </c>
      <c r="AJ40">
        <v>6.8819999999999997</v>
      </c>
      <c r="AK40">
        <v>1.0009999999999999</v>
      </c>
      <c r="AL40">
        <v>3000</v>
      </c>
      <c r="AQ40" t="s">
        <v>60</v>
      </c>
      <c r="AR40">
        <v>5.18</v>
      </c>
      <c r="AS40">
        <v>0.82499999999999996</v>
      </c>
      <c r="AT40">
        <v>3.5619999999999998</v>
      </c>
      <c r="AU40">
        <v>4.6260000000000003</v>
      </c>
      <c r="AV40">
        <v>5.173</v>
      </c>
      <c r="AW40">
        <v>5.7510000000000003</v>
      </c>
      <c r="AX40">
        <v>6.8289999999999997</v>
      </c>
      <c r="AY40">
        <v>1.0009999999999999</v>
      </c>
      <c r="AZ40">
        <v>3000</v>
      </c>
      <c r="BE40" t="s">
        <v>60</v>
      </c>
      <c r="BF40">
        <v>5.2969999999999997</v>
      </c>
      <c r="BG40">
        <v>0.66</v>
      </c>
      <c r="BH40">
        <v>3.9860000000000002</v>
      </c>
      <c r="BI40">
        <v>4.8520000000000003</v>
      </c>
      <c r="BJ40">
        <v>5.2880000000000003</v>
      </c>
      <c r="BK40">
        <v>5.726</v>
      </c>
      <c r="BL40">
        <v>6.5940000000000003</v>
      </c>
      <c r="BM40">
        <v>1.01</v>
      </c>
      <c r="BN40">
        <v>210</v>
      </c>
      <c r="BS40" t="s">
        <v>60</v>
      </c>
      <c r="BT40">
        <v>4.8499999999999996</v>
      </c>
      <c r="BU40">
        <v>0.81399999999999995</v>
      </c>
      <c r="BV40">
        <v>3.274</v>
      </c>
      <c r="BW40">
        <v>4.2919999999999998</v>
      </c>
      <c r="BX40">
        <v>4.8330000000000002</v>
      </c>
      <c r="BY40">
        <v>5.399</v>
      </c>
      <c r="BZ40">
        <v>6.452</v>
      </c>
      <c r="CA40">
        <v>1.0009999999999999</v>
      </c>
      <c r="CB40">
        <v>3000</v>
      </c>
      <c r="CG40" t="s">
        <v>60</v>
      </c>
      <c r="CH40">
        <v>5.2569999999999997</v>
      </c>
      <c r="CI40">
        <v>0.69899999999999995</v>
      </c>
      <c r="CJ40">
        <v>3.9020000000000001</v>
      </c>
      <c r="CK40">
        <v>4.7750000000000004</v>
      </c>
      <c r="CL40">
        <v>5.24</v>
      </c>
      <c r="CM40">
        <v>5.718</v>
      </c>
      <c r="CN40">
        <v>6.6230000000000002</v>
      </c>
      <c r="CO40">
        <v>1.006</v>
      </c>
      <c r="CP40">
        <v>350</v>
      </c>
      <c r="CU40" t="s">
        <v>60</v>
      </c>
      <c r="CV40">
        <v>5.4610000000000003</v>
      </c>
      <c r="CW40">
        <v>0.82899999999999996</v>
      </c>
      <c r="CX40">
        <v>3.6760000000000002</v>
      </c>
      <c r="CY40">
        <v>4.923</v>
      </c>
      <c r="CZ40">
        <v>5.5129999999999999</v>
      </c>
      <c r="DA40">
        <v>6.0819999999999999</v>
      </c>
      <c r="DB40">
        <v>6.9530000000000003</v>
      </c>
      <c r="DC40">
        <v>1.0189999999999999</v>
      </c>
      <c r="DD40">
        <v>110</v>
      </c>
      <c r="DI40" t="s">
        <v>60</v>
      </c>
      <c r="DJ40">
        <v>5.36</v>
      </c>
      <c r="DK40">
        <v>0.91600000000000004</v>
      </c>
      <c r="DL40">
        <v>3.4790000000000001</v>
      </c>
      <c r="DM40">
        <v>4.7240000000000002</v>
      </c>
      <c r="DN40">
        <v>5.3920000000000003</v>
      </c>
      <c r="DO40">
        <v>6.0110000000000001</v>
      </c>
      <c r="DP40">
        <v>7.0380000000000003</v>
      </c>
      <c r="DQ40">
        <v>1.004</v>
      </c>
      <c r="DR40">
        <v>600</v>
      </c>
      <c r="DY40" t="s">
        <v>60</v>
      </c>
      <c r="DZ40">
        <v>5.4729999999999999</v>
      </c>
      <c r="EA40">
        <v>0.84299999999999997</v>
      </c>
      <c r="EB40">
        <v>3.7290000000000001</v>
      </c>
      <c r="EC40">
        <v>4.8920000000000003</v>
      </c>
      <c r="ED40">
        <v>5.5110000000000001</v>
      </c>
      <c r="EE40">
        <v>6.077</v>
      </c>
      <c r="EF40">
        <v>7.0129999999999999</v>
      </c>
      <c r="EG40">
        <v>1.0029999999999999</v>
      </c>
      <c r="EH40">
        <v>710</v>
      </c>
      <c r="EK40" t="s">
        <v>60</v>
      </c>
      <c r="EL40">
        <v>4.202</v>
      </c>
      <c r="EM40">
        <v>0.97099999999999997</v>
      </c>
      <c r="EN40">
        <v>2.512</v>
      </c>
      <c r="EO40">
        <v>3.5449999999999999</v>
      </c>
      <c r="EP40">
        <v>4.0810000000000004</v>
      </c>
      <c r="EQ40">
        <v>4.7949999999999999</v>
      </c>
      <c r="ER40">
        <v>6.4560000000000004</v>
      </c>
      <c r="ES40">
        <v>1</v>
      </c>
      <c r="ET40">
        <v>1500</v>
      </c>
      <c r="EY40" t="s">
        <v>60</v>
      </c>
      <c r="EZ40">
        <v>5.1289999999999996</v>
      </c>
      <c r="FA40">
        <v>0.94099999999999995</v>
      </c>
      <c r="FB40">
        <v>3.3650000000000002</v>
      </c>
      <c r="FC40">
        <v>4.4690000000000003</v>
      </c>
      <c r="FD40">
        <v>5.1159999999999997</v>
      </c>
      <c r="FE40">
        <v>5.7720000000000002</v>
      </c>
      <c r="FF40">
        <v>6.9790000000000001</v>
      </c>
      <c r="FG40">
        <v>1.0009999999999999</v>
      </c>
      <c r="FH40">
        <v>3000</v>
      </c>
      <c r="GA40" t="s">
        <v>60</v>
      </c>
      <c r="GB40">
        <v>6.5529999999999999</v>
      </c>
      <c r="GC40">
        <v>0.53300000000000003</v>
      </c>
      <c r="GD40">
        <v>5.431</v>
      </c>
      <c r="GE40">
        <v>6.1859999999999999</v>
      </c>
      <c r="GF40">
        <v>6.6120000000000001</v>
      </c>
      <c r="GG40">
        <v>6.9889999999999999</v>
      </c>
      <c r="GH40">
        <v>7.34</v>
      </c>
      <c r="GI40">
        <v>1.002</v>
      </c>
      <c r="GJ40">
        <v>1700</v>
      </c>
      <c r="GO40" t="s">
        <v>60</v>
      </c>
      <c r="GP40">
        <v>5.1680000000000001</v>
      </c>
      <c r="GQ40">
        <v>0.92900000000000005</v>
      </c>
      <c r="GR40">
        <v>3.427</v>
      </c>
      <c r="GS40">
        <v>4.5199999999999996</v>
      </c>
      <c r="GT40">
        <v>5.1360000000000001</v>
      </c>
      <c r="GU40">
        <v>5.819</v>
      </c>
      <c r="GV40">
        <v>7.0259999999999998</v>
      </c>
      <c r="GW40">
        <v>1.002</v>
      </c>
      <c r="GX40">
        <v>1000</v>
      </c>
      <c r="HC40" t="s">
        <v>60</v>
      </c>
      <c r="HD40">
        <v>5.2149999999999999</v>
      </c>
      <c r="HE40">
        <v>0.877</v>
      </c>
      <c r="HF40">
        <v>3.5840000000000001</v>
      </c>
      <c r="HG40">
        <v>4.59</v>
      </c>
      <c r="HH40">
        <v>5.1779999999999999</v>
      </c>
      <c r="HI40">
        <v>5.8230000000000004</v>
      </c>
      <c r="HJ40">
        <v>6.9530000000000003</v>
      </c>
      <c r="HK40">
        <v>1.0029999999999999</v>
      </c>
      <c r="HL40">
        <v>990</v>
      </c>
      <c r="HP40" s="7"/>
      <c r="HQ40" s="7" t="s">
        <v>60</v>
      </c>
      <c r="HR40" s="7">
        <v>5.6740000000000004</v>
      </c>
      <c r="HS40" s="7">
        <v>0.85699999999999998</v>
      </c>
      <c r="HT40" s="7">
        <v>4.0460000000000003</v>
      </c>
      <c r="HU40" s="7">
        <v>5.0419999999999998</v>
      </c>
      <c r="HV40" s="7">
        <v>5.6459999999999999</v>
      </c>
      <c r="HW40" s="7">
        <v>6.3250000000000002</v>
      </c>
      <c r="HX40" s="7">
        <v>7.2329999999999997</v>
      </c>
      <c r="HY40" s="7">
        <v>1.0009999999999999</v>
      </c>
      <c r="HZ40" s="7">
        <v>3000</v>
      </c>
      <c r="IA40" s="7"/>
      <c r="IE40" t="s">
        <v>60</v>
      </c>
      <c r="IF40">
        <v>6.524</v>
      </c>
      <c r="IG40">
        <v>0.54900000000000004</v>
      </c>
      <c r="IH40">
        <v>5.3440000000000003</v>
      </c>
      <c r="II40">
        <v>6.1449999999999996</v>
      </c>
      <c r="IJ40">
        <v>6.5750000000000002</v>
      </c>
      <c r="IK40">
        <v>6.9749999999999996</v>
      </c>
      <c r="IL40">
        <v>7.3360000000000003</v>
      </c>
      <c r="IM40">
        <v>1.0009999999999999</v>
      </c>
      <c r="IN40">
        <v>3000</v>
      </c>
      <c r="IS40" t="s">
        <v>60</v>
      </c>
      <c r="IT40">
        <v>6.7519999999999998</v>
      </c>
      <c r="IU40">
        <v>0.44400000000000001</v>
      </c>
      <c r="IV40">
        <v>5.7279999999999998</v>
      </c>
      <c r="IW40">
        <v>6.4690000000000003</v>
      </c>
      <c r="IX40">
        <v>6.8220000000000001</v>
      </c>
      <c r="IY40">
        <v>7.1109999999999998</v>
      </c>
      <c r="IZ40">
        <v>7.36</v>
      </c>
      <c r="JA40">
        <v>1.0009999999999999</v>
      </c>
      <c r="JB40">
        <v>3000</v>
      </c>
      <c r="JF40" t="s">
        <v>60</v>
      </c>
      <c r="JG40">
        <v>5.7039999999999997</v>
      </c>
      <c r="JH40">
        <v>0.79</v>
      </c>
      <c r="JI40">
        <v>4.1970000000000001</v>
      </c>
      <c r="JJ40">
        <v>5.13</v>
      </c>
      <c r="JK40">
        <v>5.6970000000000001</v>
      </c>
      <c r="JL40">
        <v>6.2850000000000001</v>
      </c>
      <c r="JM40">
        <v>7.1890000000000001</v>
      </c>
      <c r="JN40">
        <v>1.0009999999999999</v>
      </c>
      <c r="JO40">
        <v>3000</v>
      </c>
      <c r="JT40" t="s">
        <v>60</v>
      </c>
      <c r="JU40">
        <v>5.6239999999999997</v>
      </c>
      <c r="JV40">
        <v>0.84899999999999998</v>
      </c>
      <c r="JW40">
        <v>4.04</v>
      </c>
      <c r="JX40">
        <v>5.0229999999999997</v>
      </c>
      <c r="JY40">
        <v>5.6109999999999998</v>
      </c>
      <c r="JZ40">
        <v>6.2430000000000003</v>
      </c>
      <c r="KA40">
        <v>7.2069999999999999</v>
      </c>
      <c r="KB40">
        <v>1.002</v>
      </c>
      <c r="KC40">
        <v>1300</v>
      </c>
      <c r="KH40" t="s">
        <v>60</v>
      </c>
      <c r="KI40">
        <v>5.6420000000000003</v>
      </c>
      <c r="KJ40">
        <v>0.85299999999999998</v>
      </c>
      <c r="KK40">
        <v>3.9950000000000001</v>
      </c>
      <c r="KL40">
        <v>5.0419999999999998</v>
      </c>
      <c r="KM40">
        <v>5.6189999999999998</v>
      </c>
      <c r="KN40">
        <v>6.2619999999999996</v>
      </c>
      <c r="KO40">
        <v>7.1980000000000004</v>
      </c>
      <c r="KP40">
        <v>1.002</v>
      </c>
      <c r="KQ40">
        <v>1200</v>
      </c>
      <c r="KR40">
        <f t="shared" si="0"/>
        <v>282.02620721313906</v>
      </c>
      <c r="KV40" t="s">
        <v>60</v>
      </c>
      <c r="KW40">
        <v>6.181</v>
      </c>
      <c r="KX40">
        <v>0.253</v>
      </c>
      <c r="KY40">
        <v>5.6550000000000002</v>
      </c>
      <c r="KZ40">
        <v>6.0129999999999999</v>
      </c>
      <c r="LA40">
        <v>6.1859999999999999</v>
      </c>
      <c r="LB40">
        <v>6.3440000000000003</v>
      </c>
      <c r="LC40">
        <v>6.6680000000000001</v>
      </c>
      <c r="LD40">
        <v>1.004</v>
      </c>
      <c r="LE40">
        <v>660</v>
      </c>
      <c r="LJ40" t="s">
        <v>60</v>
      </c>
      <c r="LK40">
        <v>2.2349999999999999</v>
      </c>
      <c r="LL40">
        <v>0.92100000000000004</v>
      </c>
      <c r="LM40">
        <v>0.128</v>
      </c>
      <c r="LN40">
        <v>1.681</v>
      </c>
      <c r="LO40">
        <v>2.323</v>
      </c>
      <c r="LP40">
        <v>2.8980000000000001</v>
      </c>
      <c r="LQ40">
        <v>3.7570000000000001</v>
      </c>
      <c r="LR40">
        <v>1.0029999999999999</v>
      </c>
      <c r="LS40">
        <v>1600</v>
      </c>
      <c r="LX40" t="s">
        <v>60</v>
      </c>
      <c r="LY40">
        <v>1.5469999999999999</v>
      </c>
      <c r="LZ40">
        <v>1.143</v>
      </c>
      <c r="MA40">
        <v>-0.96399999999999997</v>
      </c>
      <c r="MB40">
        <v>0.82799999999999996</v>
      </c>
      <c r="MC40">
        <v>1.67</v>
      </c>
      <c r="MD40">
        <v>2.37</v>
      </c>
      <c r="ME40">
        <v>3.5070000000000001</v>
      </c>
      <c r="MF40">
        <v>1.1879999999999999</v>
      </c>
      <c r="MG40">
        <v>16</v>
      </c>
      <c r="ML40" t="s">
        <v>60</v>
      </c>
      <c r="MM40">
        <v>6.4470000000000001</v>
      </c>
      <c r="MN40">
        <v>0.24199999999999999</v>
      </c>
      <c r="MO40">
        <v>5.9560000000000004</v>
      </c>
      <c r="MP40">
        <v>6.2889999999999997</v>
      </c>
      <c r="MQ40">
        <v>6.452</v>
      </c>
      <c r="MR40">
        <v>6.6120000000000001</v>
      </c>
      <c r="MS40">
        <v>6.9089999999999998</v>
      </c>
      <c r="MT40">
        <v>1.0009999999999999</v>
      </c>
      <c r="MU40">
        <v>25000</v>
      </c>
      <c r="MZ40" t="s">
        <v>60</v>
      </c>
      <c r="NA40">
        <v>6.444</v>
      </c>
      <c r="NB40">
        <v>0.23</v>
      </c>
      <c r="NC40">
        <v>5.976</v>
      </c>
      <c r="ND40">
        <v>6.2939999999999996</v>
      </c>
      <c r="NE40">
        <v>6.45</v>
      </c>
      <c r="NF40">
        <v>6.5979999999999999</v>
      </c>
      <c r="NG40">
        <v>6.8760000000000003</v>
      </c>
      <c r="NH40">
        <v>1.004</v>
      </c>
      <c r="NI40">
        <v>650</v>
      </c>
      <c r="NM40" t="s">
        <v>60</v>
      </c>
      <c r="NN40">
        <v>7.1130000000000004</v>
      </c>
      <c r="NO40">
        <v>0.154</v>
      </c>
      <c r="NP40">
        <v>6.7830000000000004</v>
      </c>
      <c r="NQ40">
        <v>7.0119999999999996</v>
      </c>
      <c r="NR40">
        <v>7.1289999999999996</v>
      </c>
      <c r="NS40">
        <v>7.226</v>
      </c>
      <c r="NT40">
        <v>7.375</v>
      </c>
      <c r="NU40">
        <v>1.0009999999999999</v>
      </c>
      <c r="NV40">
        <v>30000</v>
      </c>
      <c r="NY40" t="s">
        <v>60</v>
      </c>
      <c r="NZ40">
        <v>7.0919999999999996</v>
      </c>
      <c r="OA40">
        <v>0.16300000000000001</v>
      </c>
      <c r="OB40">
        <v>6.742</v>
      </c>
      <c r="OC40">
        <v>6.984</v>
      </c>
      <c r="OD40">
        <v>7.1070000000000002</v>
      </c>
      <c r="OE40">
        <v>7.2130000000000001</v>
      </c>
      <c r="OF40">
        <v>7.3650000000000002</v>
      </c>
      <c r="OG40">
        <v>1.0009999999999999</v>
      </c>
      <c r="OH40">
        <v>19000</v>
      </c>
      <c r="OP40" t="s">
        <v>60</v>
      </c>
      <c r="OQ40">
        <v>7.1079999999999997</v>
      </c>
      <c r="OR40">
        <v>0.16500000000000001</v>
      </c>
      <c r="OS40">
        <v>6.7480000000000002</v>
      </c>
      <c r="OT40">
        <v>7.0030000000000001</v>
      </c>
      <c r="OU40">
        <v>7.1230000000000002</v>
      </c>
      <c r="OV40">
        <v>7.2309999999999999</v>
      </c>
      <c r="OW40">
        <v>7.383</v>
      </c>
      <c r="OX40">
        <v>1.002</v>
      </c>
      <c r="OY40">
        <v>1500</v>
      </c>
      <c r="PB40" t="s">
        <v>60</v>
      </c>
      <c r="PC40">
        <v>7.1289999999999996</v>
      </c>
      <c r="PD40">
        <v>0.14899999999999999</v>
      </c>
      <c r="PE40">
        <v>6.8150000000000004</v>
      </c>
      <c r="PF40">
        <v>7.0330000000000004</v>
      </c>
      <c r="PG40">
        <v>7.1429999999999998</v>
      </c>
      <c r="PH40">
        <v>7.24</v>
      </c>
      <c r="PI40">
        <v>7.3860000000000001</v>
      </c>
      <c r="PJ40">
        <v>1.002</v>
      </c>
      <c r="PK40">
        <v>1200</v>
      </c>
      <c r="PN40" t="s">
        <v>60</v>
      </c>
      <c r="PO40">
        <v>7.1840000000000002</v>
      </c>
      <c r="PP40">
        <v>0.129</v>
      </c>
      <c r="PQ40">
        <v>6.899</v>
      </c>
      <c r="PR40">
        <v>7.1029999999999998</v>
      </c>
      <c r="PS40">
        <v>7.2039999999999997</v>
      </c>
      <c r="PT40">
        <v>7.2869999999999999</v>
      </c>
      <c r="PU40">
        <v>7.3630000000000004</v>
      </c>
      <c r="PV40">
        <v>1.0009999999999999</v>
      </c>
      <c r="PW40">
        <v>3000</v>
      </c>
      <c r="QA40" t="s">
        <v>60</v>
      </c>
      <c r="QB40">
        <v>6.798</v>
      </c>
      <c r="QC40">
        <v>9.4E-2</v>
      </c>
      <c r="QD40">
        <v>6.6180000000000003</v>
      </c>
      <c r="QE40">
        <v>6.7309999999999999</v>
      </c>
      <c r="QF40">
        <v>6.8010000000000002</v>
      </c>
      <c r="QG40">
        <v>6.8689999999999998</v>
      </c>
      <c r="QH40">
        <v>6.9580000000000002</v>
      </c>
      <c r="QI40">
        <v>1.1220000000000001</v>
      </c>
      <c r="QJ40">
        <v>21</v>
      </c>
      <c r="QL40">
        <f t="shared" si="2"/>
        <v>0.38600000000000012</v>
      </c>
    </row>
    <row r="41" spans="1:454">
      <c r="A41" t="s">
        <v>61</v>
      </c>
      <c r="B41">
        <v>6.1950000000000003</v>
      </c>
      <c r="C41">
        <v>1.087</v>
      </c>
      <c r="D41">
        <v>4.2160000000000002</v>
      </c>
      <c r="E41">
        <v>5.4480000000000004</v>
      </c>
      <c r="F41">
        <v>6.1689999999999996</v>
      </c>
      <c r="G41">
        <v>6.9459999999999997</v>
      </c>
      <c r="H41">
        <v>8.34</v>
      </c>
      <c r="I41">
        <v>1.2170000000000001</v>
      </c>
      <c r="J41">
        <v>14</v>
      </c>
      <c r="O41" t="s">
        <v>61</v>
      </c>
      <c r="P41">
        <v>3.9689999999999999</v>
      </c>
      <c r="Q41">
        <v>1.911</v>
      </c>
      <c r="R41">
        <v>0.36599999999999999</v>
      </c>
      <c r="S41">
        <v>2.484</v>
      </c>
      <c r="T41">
        <v>4.1100000000000003</v>
      </c>
      <c r="U41">
        <v>5.5579999999999998</v>
      </c>
      <c r="V41">
        <v>7.133</v>
      </c>
      <c r="W41">
        <v>1.0029999999999999</v>
      </c>
      <c r="X41">
        <v>710</v>
      </c>
      <c r="AC41" t="s">
        <v>61</v>
      </c>
      <c r="AD41">
        <v>6.2949999999999999</v>
      </c>
      <c r="AE41">
        <v>0.80100000000000005</v>
      </c>
      <c r="AF41">
        <v>4.327</v>
      </c>
      <c r="AG41">
        <v>5.8579999999999997</v>
      </c>
      <c r="AH41">
        <v>6.4589999999999996</v>
      </c>
      <c r="AI41">
        <v>6.9119999999999999</v>
      </c>
      <c r="AJ41">
        <v>7.3239999999999998</v>
      </c>
      <c r="AK41">
        <v>1.0009999999999999</v>
      </c>
      <c r="AL41">
        <v>3000</v>
      </c>
      <c r="AQ41" t="s">
        <v>61</v>
      </c>
      <c r="AR41">
        <v>6.2869999999999999</v>
      </c>
      <c r="AS41">
        <v>0.78</v>
      </c>
      <c r="AT41">
        <v>4.452</v>
      </c>
      <c r="AU41">
        <v>5.827</v>
      </c>
      <c r="AV41">
        <v>6.4189999999999996</v>
      </c>
      <c r="AW41">
        <v>6.9039999999999999</v>
      </c>
      <c r="AX41">
        <v>7.3179999999999996</v>
      </c>
      <c r="AY41">
        <v>1.0009999999999999</v>
      </c>
      <c r="AZ41">
        <v>3000</v>
      </c>
      <c r="BE41" t="s">
        <v>61</v>
      </c>
      <c r="BF41">
        <v>5.3</v>
      </c>
      <c r="BG41">
        <v>0.997</v>
      </c>
      <c r="BH41">
        <v>3.266</v>
      </c>
      <c r="BI41">
        <v>4.6139999999999999</v>
      </c>
      <c r="BJ41">
        <v>5.3570000000000002</v>
      </c>
      <c r="BK41">
        <v>6.0469999999999997</v>
      </c>
      <c r="BL41">
        <v>7.07</v>
      </c>
      <c r="BM41">
        <v>1.0409999999999999</v>
      </c>
      <c r="BN41">
        <v>54</v>
      </c>
      <c r="BS41" t="s">
        <v>61</v>
      </c>
      <c r="BT41">
        <v>5.9880000000000004</v>
      </c>
      <c r="BU41">
        <v>0.95499999999999996</v>
      </c>
      <c r="BV41">
        <v>3.7120000000000002</v>
      </c>
      <c r="BW41">
        <v>5.4489999999999998</v>
      </c>
      <c r="BX41">
        <v>6.1550000000000002</v>
      </c>
      <c r="BY41">
        <v>6.7160000000000002</v>
      </c>
      <c r="BZ41">
        <v>7.3049999999999997</v>
      </c>
      <c r="CA41">
        <v>1.002</v>
      </c>
      <c r="CB41">
        <v>3000</v>
      </c>
      <c r="CG41" t="s">
        <v>61</v>
      </c>
      <c r="CH41">
        <v>5.3490000000000002</v>
      </c>
      <c r="CI41">
        <v>0.92400000000000004</v>
      </c>
      <c r="CJ41">
        <v>3.427</v>
      </c>
      <c r="CK41">
        <v>4.7359999999999998</v>
      </c>
      <c r="CL41">
        <v>5.3849999999999998</v>
      </c>
      <c r="CM41">
        <v>6.0119999999999996</v>
      </c>
      <c r="CN41">
        <v>7.0540000000000003</v>
      </c>
      <c r="CO41">
        <v>1.016</v>
      </c>
      <c r="CP41">
        <v>150</v>
      </c>
      <c r="CU41" t="s">
        <v>61</v>
      </c>
      <c r="CV41">
        <v>6.234</v>
      </c>
      <c r="CW41">
        <v>0.78100000000000003</v>
      </c>
      <c r="CX41">
        <v>4.375</v>
      </c>
      <c r="CY41">
        <v>5.7990000000000004</v>
      </c>
      <c r="CZ41">
        <v>6.3940000000000001</v>
      </c>
      <c r="DA41">
        <v>6.8019999999999996</v>
      </c>
      <c r="DB41">
        <v>7.2969999999999997</v>
      </c>
      <c r="DC41">
        <v>1.012</v>
      </c>
      <c r="DD41">
        <v>230</v>
      </c>
      <c r="DI41" t="s">
        <v>61</v>
      </c>
      <c r="DJ41">
        <v>6.327</v>
      </c>
      <c r="DK41">
        <v>0.76600000000000001</v>
      </c>
      <c r="DL41">
        <v>4.4379999999999997</v>
      </c>
      <c r="DM41">
        <v>5.9050000000000002</v>
      </c>
      <c r="DN41">
        <v>6.4770000000000003</v>
      </c>
      <c r="DO41">
        <v>6.9240000000000004</v>
      </c>
      <c r="DP41">
        <v>7.3289999999999997</v>
      </c>
      <c r="DQ41">
        <v>1.002</v>
      </c>
      <c r="DR41">
        <v>1700</v>
      </c>
      <c r="DY41" t="s">
        <v>61</v>
      </c>
      <c r="DZ41">
        <v>6.3849999999999998</v>
      </c>
      <c r="EA41">
        <v>0.73699999999999999</v>
      </c>
      <c r="EB41">
        <v>4.5140000000000002</v>
      </c>
      <c r="EC41">
        <v>6.0010000000000003</v>
      </c>
      <c r="ED41">
        <v>6.5330000000000004</v>
      </c>
      <c r="EE41">
        <v>6.9470000000000001</v>
      </c>
      <c r="EF41">
        <v>7.3220000000000001</v>
      </c>
      <c r="EG41">
        <v>1.0029999999999999</v>
      </c>
      <c r="EH41">
        <v>1200</v>
      </c>
      <c r="EK41" t="s">
        <v>61</v>
      </c>
      <c r="EL41">
        <v>5.9690000000000003</v>
      </c>
      <c r="EM41">
        <v>1.022</v>
      </c>
      <c r="EN41">
        <v>3.4830000000000001</v>
      </c>
      <c r="EO41">
        <v>5.3890000000000002</v>
      </c>
      <c r="EP41">
        <v>6.1669999999999998</v>
      </c>
      <c r="EQ41">
        <v>6.7949999999999999</v>
      </c>
      <c r="ER41">
        <v>7.3159999999999998</v>
      </c>
      <c r="ES41">
        <v>1.004</v>
      </c>
      <c r="ET41">
        <v>1500</v>
      </c>
      <c r="EY41" t="s">
        <v>61</v>
      </c>
      <c r="EZ41">
        <v>5.9619999999999997</v>
      </c>
      <c r="FA41">
        <v>0.96899999999999997</v>
      </c>
      <c r="FB41">
        <v>3.66</v>
      </c>
      <c r="FC41">
        <v>5.39</v>
      </c>
      <c r="FD41">
        <v>6.1139999999999999</v>
      </c>
      <c r="FE41">
        <v>6.72</v>
      </c>
      <c r="FF41">
        <v>7.3079999999999998</v>
      </c>
      <c r="FG41">
        <v>1.0009999999999999</v>
      </c>
      <c r="FH41">
        <v>2900</v>
      </c>
      <c r="GA41" t="s">
        <v>61</v>
      </c>
      <c r="GB41">
        <v>6.782</v>
      </c>
      <c r="GC41">
        <v>0.46</v>
      </c>
      <c r="GD41">
        <v>5.6760000000000002</v>
      </c>
      <c r="GE41">
        <v>6.52</v>
      </c>
      <c r="GF41">
        <v>6.8849999999999998</v>
      </c>
      <c r="GG41">
        <v>7.1429999999999998</v>
      </c>
      <c r="GH41">
        <v>7.3540000000000001</v>
      </c>
      <c r="GI41">
        <v>1.0009999999999999</v>
      </c>
      <c r="GJ41">
        <v>3000</v>
      </c>
      <c r="GO41" t="s">
        <v>61</v>
      </c>
      <c r="GP41">
        <v>6.0129999999999999</v>
      </c>
      <c r="GQ41">
        <v>0.91600000000000004</v>
      </c>
      <c r="GR41">
        <v>3.91</v>
      </c>
      <c r="GS41">
        <v>5.4610000000000003</v>
      </c>
      <c r="GT41">
        <v>6.1740000000000004</v>
      </c>
      <c r="GU41">
        <v>6.7160000000000002</v>
      </c>
      <c r="GV41">
        <v>7.3040000000000003</v>
      </c>
      <c r="GW41">
        <v>1.002</v>
      </c>
      <c r="GX41">
        <v>1800</v>
      </c>
      <c r="HC41" t="s">
        <v>61</v>
      </c>
      <c r="HD41">
        <v>5.9690000000000003</v>
      </c>
      <c r="HE41">
        <v>0.94899999999999995</v>
      </c>
      <c r="HF41">
        <v>3.7280000000000002</v>
      </c>
      <c r="HG41">
        <v>5.4039999999999999</v>
      </c>
      <c r="HH41">
        <v>6.1159999999999997</v>
      </c>
      <c r="HI41">
        <v>6.7210000000000001</v>
      </c>
      <c r="HJ41">
        <v>7.3090000000000002</v>
      </c>
      <c r="HK41">
        <v>1.002</v>
      </c>
      <c r="HL41">
        <v>1200</v>
      </c>
      <c r="HP41" s="7"/>
      <c r="HQ41" s="7" t="s">
        <v>61</v>
      </c>
      <c r="HR41" s="7">
        <v>6.1559999999999997</v>
      </c>
      <c r="HS41" s="7">
        <v>0.85699999999999998</v>
      </c>
      <c r="HT41" s="7">
        <v>4.1639999999999997</v>
      </c>
      <c r="HU41" s="7">
        <v>5.6360000000000001</v>
      </c>
      <c r="HV41" s="7">
        <v>6.3140000000000001</v>
      </c>
      <c r="HW41" s="7">
        <v>6.8310000000000004</v>
      </c>
      <c r="HX41" s="7">
        <v>7.32</v>
      </c>
      <c r="HY41" s="7">
        <v>1.0049999999999999</v>
      </c>
      <c r="HZ41" s="7">
        <v>1700</v>
      </c>
      <c r="IA41" s="7"/>
      <c r="IE41" t="s">
        <v>61</v>
      </c>
      <c r="IF41">
        <v>6.5650000000000004</v>
      </c>
      <c r="IG41">
        <v>0.57999999999999996</v>
      </c>
      <c r="IH41">
        <v>5.17</v>
      </c>
      <c r="II41">
        <v>6.2060000000000004</v>
      </c>
      <c r="IJ41">
        <v>6.6639999999999997</v>
      </c>
      <c r="IK41">
        <v>7.0289999999999999</v>
      </c>
      <c r="IL41">
        <v>7.3419999999999996</v>
      </c>
      <c r="IM41">
        <v>1.0009999999999999</v>
      </c>
      <c r="IN41">
        <v>2900</v>
      </c>
      <c r="IS41" t="s">
        <v>61</v>
      </c>
      <c r="IT41">
        <v>6.68</v>
      </c>
      <c r="IU41">
        <v>0.51200000000000001</v>
      </c>
      <c r="IV41">
        <v>5.4909999999999997</v>
      </c>
      <c r="IW41">
        <v>6.3890000000000002</v>
      </c>
      <c r="IX41">
        <v>6.7839999999999998</v>
      </c>
      <c r="IY41">
        <v>7.0860000000000003</v>
      </c>
      <c r="IZ41">
        <v>7.3460000000000001</v>
      </c>
      <c r="JA41">
        <v>1.0009999999999999</v>
      </c>
      <c r="JB41">
        <v>2900</v>
      </c>
      <c r="JF41" t="s">
        <v>61</v>
      </c>
      <c r="JG41">
        <v>6.2069999999999999</v>
      </c>
      <c r="JH41">
        <v>0.82</v>
      </c>
      <c r="JI41">
        <v>4.1950000000000003</v>
      </c>
      <c r="JJ41">
        <v>5.7539999999999996</v>
      </c>
      <c r="JK41">
        <v>6.335</v>
      </c>
      <c r="JL41">
        <v>6.84</v>
      </c>
      <c r="JM41">
        <v>7.3220000000000001</v>
      </c>
      <c r="JN41">
        <v>1.0009999999999999</v>
      </c>
      <c r="JO41">
        <v>3000</v>
      </c>
      <c r="JT41" t="s">
        <v>61</v>
      </c>
      <c r="JU41">
        <v>6.194</v>
      </c>
      <c r="JV41">
        <v>0.81100000000000005</v>
      </c>
      <c r="JW41">
        <v>4.2990000000000004</v>
      </c>
      <c r="JX41">
        <v>5.6689999999999996</v>
      </c>
      <c r="JY41">
        <v>6.3330000000000002</v>
      </c>
      <c r="JZ41">
        <v>6.84</v>
      </c>
      <c r="KA41">
        <v>7.3239999999999998</v>
      </c>
      <c r="KB41">
        <v>1.002</v>
      </c>
      <c r="KC41">
        <v>1300</v>
      </c>
      <c r="KH41" t="s">
        <v>61</v>
      </c>
      <c r="KI41">
        <v>6.1950000000000003</v>
      </c>
      <c r="KJ41">
        <v>0.82199999999999995</v>
      </c>
      <c r="KK41">
        <v>4.2629999999999999</v>
      </c>
      <c r="KL41">
        <v>5.6950000000000003</v>
      </c>
      <c r="KM41">
        <v>6.3209999999999997</v>
      </c>
      <c r="KN41">
        <v>6.8449999999999998</v>
      </c>
      <c r="KO41">
        <v>7.319</v>
      </c>
      <c r="KP41">
        <v>1.004</v>
      </c>
      <c r="KQ41">
        <v>960</v>
      </c>
      <c r="KR41">
        <f t="shared" si="0"/>
        <v>490.29144499801794</v>
      </c>
      <c r="KV41" t="s">
        <v>61</v>
      </c>
      <c r="KW41">
        <v>7.06</v>
      </c>
      <c r="KX41">
        <v>0.14599999999999999</v>
      </c>
      <c r="KY41">
        <v>6.6890000000000001</v>
      </c>
      <c r="KZ41">
        <v>6.99</v>
      </c>
      <c r="LA41">
        <v>7.0979999999999999</v>
      </c>
      <c r="LB41">
        <v>7.165</v>
      </c>
      <c r="LC41">
        <v>7.2469999999999999</v>
      </c>
      <c r="LD41">
        <v>1.0009999999999999</v>
      </c>
      <c r="LE41">
        <v>2800</v>
      </c>
      <c r="LJ41" t="s">
        <v>61</v>
      </c>
      <c r="LK41">
        <v>2.3759999999999999</v>
      </c>
      <c r="LL41">
        <v>0.77</v>
      </c>
      <c r="LM41">
        <v>0.71699999999999997</v>
      </c>
      <c r="LN41">
        <v>1.877</v>
      </c>
      <c r="LO41">
        <v>2.427</v>
      </c>
      <c r="LP41">
        <v>2.923</v>
      </c>
      <c r="LQ41">
        <v>3.6949999999999998</v>
      </c>
      <c r="LR41">
        <v>1.0049999999999999</v>
      </c>
      <c r="LS41">
        <v>3000</v>
      </c>
      <c r="LX41" t="s">
        <v>61</v>
      </c>
      <c r="LY41">
        <v>2.415</v>
      </c>
      <c r="LZ41">
        <v>0.85799999999999998</v>
      </c>
      <c r="MA41">
        <v>0.65900000000000003</v>
      </c>
      <c r="MB41">
        <v>1.8620000000000001</v>
      </c>
      <c r="MC41">
        <v>2.4550000000000001</v>
      </c>
      <c r="MD41">
        <v>3.02</v>
      </c>
      <c r="ME41">
        <v>4.0030000000000001</v>
      </c>
      <c r="MF41">
        <v>1.022</v>
      </c>
      <c r="MG41">
        <v>94</v>
      </c>
      <c r="ML41" t="s">
        <v>61</v>
      </c>
      <c r="MM41">
        <v>7.1130000000000004</v>
      </c>
      <c r="MN41">
        <v>0.13600000000000001</v>
      </c>
      <c r="MO41">
        <v>6.7640000000000002</v>
      </c>
      <c r="MP41">
        <v>7.048</v>
      </c>
      <c r="MQ41">
        <v>7.1479999999999997</v>
      </c>
      <c r="MR41">
        <v>7.2119999999999997</v>
      </c>
      <c r="MS41">
        <v>7.2839999999999998</v>
      </c>
      <c r="MT41">
        <v>1.0009999999999999</v>
      </c>
      <c r="MU41">
        <v>11000</v>
      </c>
      <c r="MZ41" t="s">
        <v>61</v>
      </c>
      <c r="NA41">
        <v>7.1120000000000001</v>
      </c>
      <c r="NB41">
        <v>0.13300000000000001</v>
      </c>
      <c r="NC41">
        <v>6.7610000000000001</v>
      </c>
      <c r="ND41">
        <v>7.0519999999999996</v>
      </c>
      <c r="NE41">
        <v>7.1459999999999999</v>
      </c>
      <c r="NF41">
        <v>7.2069999999999999</v>
      </c>
      <c r="NG41">
        <v>7.2789999999999999</v>
      </c>
      <c r="NH41">
        <v>1.002</v>
      </c>
      <c r="NI41">
        <v>1600</v>
      </c>
      <c r="NM41" t="s">
        <v>61</v>
      </c>
      <c r="NN41">
        <v>7.1970000000000001</v>
      </c>
      <c r="NO41">
        <v>0.12</v>
      </c>
      <c r="NP41">
        <v>6.9269999999999996</v>
      </c>
      <c r="NQ41">
        <v>7.1189999999999998</v>
      </c>
      <c r="NR41">
        <v>7.2149999999999999</v>
      </c>
      <c r="NS41">
        <v>7.2939999999999996</v>
      </c>
      <c r="NT41">
        <v>7.3650000000000002</v>
      </c>
      <c r="NU41">
        <v>1.0009999999999999</v>
      </c>
      <c r="NV41">
        <v>13000</v>
      </c>
      <c r="NY41" t="s">
        <v>61</v>
      </c>
      <c r="NZ41">
        <v>7.18</v>
      </c>
      <c r="OA41">
        <v>0.129</v>
      </c>
      <c r="OB41">
        <v>6.8940000000000001</v>
      </c>
      <c r="OC41">
        <v>7.0940000000000003</v>
      </c>
      <c r="OD41">
        <v>7.1980000000000004</v>
      </c>
      <c r="OE41">
        <v>7.2830000000000004</v>
      </c>
      <c r="OF41">
        <v>7.3630000000000004</v>
      </c>
      <c r="OG41">
        <v>1.0009999999999999</v>
      </c>
      <c r="OH41">
        <v>16000</v>
      </c>
      <c r="OP41" t="s">
        <v>61</v>
      </c>
      <c r="OQ41">
        <v>7.19</v>
      </c>
      <c r="OR41">
        <v>0.127</v>
      </c>
      <c r="OS41">
        <v>6.899</v>
      </c>
      <c r="OT41">
        <v>7.1059999999999999</v>
      </c>
      <c r="OU41">
        <v>7.21</v>
      </c>
      <c r="OV41">
        <v>7.2930000000000001</v>
      </c>
      <c r="OW41">
        <v>7.3659999999999997</v>
      </c>
      <c r="OX41">
        <v>1.002</v>
      </c>
      <c r="OY41">
        <v>1100</v>
      </c>
      <c r="PB41" t="s">
        <v>61</v>
      </c>
      <c r="PC41">
        <v>7.2089999999999996</v>
      </c>
      <c r="PD41">
        <v>0.115</v>
      </c>
      <c r="PE41">
        <v>6.9539999999999997</v>
      </c>
      <c r="PF41">
        <v>7.1340000000000003</v>
      </c>
      <c r="PG41">
        <v>7.2279999999999998</v>
      </c>
      <c r="PH41">
        <v>7.3010000000000002</v>
      </c>
      <c r="PI41">
        <v>7.3659999999999997</v>
      </c>
      <c r="PJ41">
        <v>1.002</v>
      </c>
      <c r="PK41">
        <v>1100</v>
      </c>
      <c r="PN41" t="s">
        <v>61</v>
      </c>
      <c r="PO41">
        <v>7.2039999999999997</v>
      </c>
      <c r="PP41">
        <v>0.123</v>
      </c>
      <c r="PQ41">
        <v>6.9290000000000003</v>
      </c>
      <c r="PR41">
        <v>7.1219999999999999</v>
      </c>
      <c r="PS41">
        <v>7.226</v>
      </c>
      <c r="PT41">
        <v>7.3049999999999997</v>
      </c>
      <c r="PU41">
        <v>7.3710000000000004</v>
      </c>
      <c r="PV41">
        <v>1.0009999999999999</v>
      </c>
      <c r="PW41">
        <v>3000</v>
      </c>
      <c r="QA41" t="s">
        <v>61</v>
      </c>
      <c r="QB41">
        <v>6.8140000000000001</v>
      </c>
      <c r="QC41">
        <v>8.8999999999999996E-2</v>
      </c>
      <c r="QD41">
        <v>6.6440000000000001</v>
      </c>
      <c r="QE41">
        <v>6.7510000000000003</v>
      </c>
      <c r="QF41">
        <v>6.8170000000000002</v>
      </c>
      <c r="QG41">
        <v>6.8819999999999997</v>
      </c>
      <c r="QH41">
        <v>6.968</v>
      </c>
      <c r="QI41">
        <v>1.1140000000000001</v>
      </c>
      <c r="QJ41">
        <v>22</v>
      </c>
      <c r="QL41">
        <f t="shared" si="2"/>
        <v>0.38999999999999968</v>
      </c>
    </row>
    <row r="42" spans="1:454">
      <c r="A42" t="s">
        <v>62</v>
      </c>
      <c r="B42">
        <v>6.0839999999999996</v>
      </c>
      <c r="C42">
        <v>1.1419999999999999</v>
      </c>
      <c r="D42">
        <v>3.9</v>
      </c>
      <c r="E42">
        <v>5.28</v>
      </c>
      <c r="F42">
        <v>6.0250000000000004</v>
      </c>
      <c r="G42">
        <v>6.8869999999999996</v>
      </c>
      <c r="H42">
        <v>8.1920000000000002</v>
      </c>
      <c r="I42">
        <v>1.228</v>
      </c>
      <c r="J42">
        <v>13</v>
      </c>
      <c r="O42" t="s">
        <v>62</v>
      </c>
      <c r="P42">
        <v>2.4489999999999998</v>
      </c>
      <c r="Q42">
        <v>1.988</v>
      </c>
      <c r="R42">
        <v>4.2000000000000003E-2</v>
      </c>
      <c r="S42">
        <v>0.71199999999999997</v>
      </c>
      <c r="T42">
        <v>1.9830000000000001</v>
      </c>
      <c r="U42">
        <v>3.8769999999999998</v>
      </c>
      <c r="V42">
        <v>6.7770000000000001</v>
      </c>
      <c r="W42">
        <v>1.0229999999999999</v>
      </c>
      <c r="X42">
        <v>120</v>
      </c>
      <c r="AC42" t="s">
        <v>62</v>
      </c>
      <c r="AD42">
        <v>5.718</v>
      </c>
      <c r="AE42">
        <v>0.84399999999999997</v>
      </c>
      <c r="AF42">
        <v>4.01</v>
      </c>
      <c r="AG42">
        <v>5.125</v>
      </c>
      <c r="AH42">
        <v>5.76</v>
      </c>
      <c r="AI42">
        <v>6.3559999999999999</v>
      </c>
      <c r="AJ42">
        <v>7.1769999999999996</v>
      </c>
      <c r="AK42">
        <v>1.002</v>
      </c>
      <c r="AL42">
        <v>1600</v>
      </c>
      <c r="AQ42" t="s">
        <v>62</v>
      </c>
      <c r="AR42">
        <v>5.6669999999999998</v>
      </c>
      <c r="AS42">
        <v>0.83499999999999996</v>
      </c>
      <c r="AT42">
        <v>3.9990000000000001</v>
      </c>
      <c r="AU42">
        <v>5.0919999999999996</v>
      </c>
      <c r="AV42">
        <v>5.69</v>
      </c>
      <c r="AW42">
        <v>6.2850000000000001</v>
      </c>
      <c r="AX42">
        <v>7.1529999999999996</v>
      </c>
      <c r="AY42">
        <v>1.0009999999999999</v>
      </c>
      <c r="AZ42">
        <v>3000</v>
      </c>
      <c r="BE42" t="s">
        <v>62</v>
      </c>
      <c r="BF42">
        <v>5.4139999999999997</v>
      </c>
      <c r="BG42">
        <v>0.68799999999999994</v>
      </c>
      <c r="BH42">
        <v>4.07</v>
      </c>
      <c r="BI42">
        <v>4.9379999999999997</v>
      </c>
      <c r="BJ42">
        <v>5.3949999999999996</v>
      </c>
      <c r="BK42">
        <v>5.88</v>
      </c>
      <c r="BL42">
        <v>6.79</v>
      </c>
      <c r="BM42">
        <v>1.0069999999999999</v>
      </c>
      <c r="BN42">
        <v>320</v>
      </c>
      <c r="BS42" t="s">
        <v>62</v>
      </c>
      <c r="BT42">
        <v>5.3630000000000004</v>
      </c>
      <c r="BU42">
        <v>0.84</v>
      </c>
      <c r="BV42">
        <v>3.7450000000000001</v>
      </c>
      <c r="BW42">
        <v>4.7859999999999996</v>
      </c>
      <c r="BX42">
        <v>5.3360000000000003</v>
      </c>
      <c r="BY42">
        <v>5.9409999999999998</v>
      </c>
      <c r="BZ42">
        <v>7.0640000000000001</v>
      </c>
      <c r="CA42">
        <v>1.0009999999999999</v>
      </c>
      <c r="CB42">
        <v>3000</v>
      </c>
      <c r="CG42" t="s">
        <v>62</v>
      </c>
      <c r="CH42">
        <v>5.4240000000000004</v>
      </c>
      <c r="CI42">
        <v>0.69399999999999995</v>
      </c>
      <c r="CJ42">
        <v>4.0519999999999996</v>
      </c>
      <c r="CK42">
        <v>4.9489999999999998</v>
      </c>
      <c r="CL42">
        <v>5.4189999999999996</v>
      </c>
      <c r="CM42">
        <v>5.8959999999999999</v>
      </c>
      <c r="CN42">
        <v>6.77</v>
      </c>
      <c r="CO42">
        <v>1.014</v>
      </c>
      <c r="CP42">
        <v>150</v>
      </c>
      <c r="CU42" t="s">
        <v>62</v>
      </c>
      <c r="CV42">
        <v>5.7030000000000003</v>
      </c>
      <c r="CW42">
        <v>0.77500000000000002</v>
      </c>
      <c r="CX42">
        <v>4.0590000000000002</v>
      </c>
      <c r="CY42">
        <v>5.1619999999999999</v>
      </c>
      <c r="CZ42">
        <v>5.7720000000000002</v>
      </c>
      <c r="DA42">
        <v>6.2489999999999997</v>
      </c>
      <c r="DB42">
        <v>7.085</v>
      </c>
      <c r="DC42">
        <v>1.016</v>
      </c>
      <c r="DD42">
        <v>140</v>
      </c>
      <c r="DI42" t="s">
        <v>62</v>
      </c>
      <c r="DJ42">
        <v>5.782</v>
      </c>
      <c r="DK42">
        <v>0.82199999999999995</v>
      </c>
      <c r="DL42">
        <v>4.12</v>
      </c>
      <c r="DM42">
        <v>5.2249999999999996</v>
      </c>
      <c r="DN42">
        <v>5.8250000000000002</v>
      </c>
      <c r="DO42">
        <v>6.3940000000000001</v>
      </c>
      <c r="DP42">
        <v>7.2110000000000003</v>
      </c>
      <c r="DQ42">
        <v>1.01</v>
      </c>
      <c r="DR42">
        <v>200</v>
      </c>
      <c r="DY42" t="s">
        <v>62</v>
      </c>
      <c r="DZ42">
        <v>5.8789999999999996</v>
      </c>
      <c r="EA42">
        <v>0.79100000000000004</v>
      </c>
      <c r="EB42">
        <v>4.2169999999999996</v>
      </c>
      <c r="EC42">
        <v>5.3419999999999996</v>
      </c>
      <c r="ED42">
        <v>5.92</v>
      </c>
      <c r="EE42">
        <v>6.484</v>
      </c>
      <c r="EF42">
        <v>7.2220000000000004</v>
      </c>
      <c r="EG42">
        <v>1.0029999999999999</v>
      </c>
      <c r="EH42">
        <v>1000</v>
      </c>
      <c r="EK42" t="s">
        <v>62</v>
      </c>
      <c r="EL42">
        <v>5.6180000000000003</v>
      </c>
      <c r="EM42">
        <v>0.98299999999999998</v>
      </c>
      <c r="EN42">
        <v>3.6459999999999999</v>
      </c>
      <c r="EO42">
        <v>4.8840000000000003</v>
      </c>
      <c r="EP42">
        <v>5.6550000000000002</v>
      </c>
      <c r="EQ42">
        <v>6.4039999999999999</v>
      </c>
      <c r="ER42">
        <v>7.2720000000000002</v>
      </c>
      <c r="ES42">
        <v>1.0029999999999999</v>
      </c>
      <c r="ET42">
        <v>640</v>
      </c>
      <c r="EY42" t="s">
        <v>62</v>
      </c>
      <c r="EZ42">
        <v>4.5890000000000004</v>
      </c>
      <c r="FA42">
        <v>0.83699999999999997</v>
      </c>
      <c r="FB42">
        <v>3.02</v>
      </c>
      <c r="FC42">
        <v>4.0179999999999998</v>
      </c>
      <c r="FD42">
        <v>4.5549999999999997</v>
      </c>
      <c r="FE42">
        <v>5.1580000000000004</v>
      </c>
      <c r="FF42">
        <v>6.2869999999999999</v>
      </c>
      <c r="FG42">
        <v>1.004</v>
      </c>
      <c r="FH42">
        <v>550</v>
      </c>
      <c r="GA42" t="s">
        <v>62</v>
      </c>
      <c r="GB42">
        <v>6.6130000000000004</v>
      </c>
      <c r="GC42">
        <v>0.53900000000000003</v>
      </c>
      <c r="GD42">
        <v>5.3689999999999998</v>
      </c>
      <c r="GE42">
        <v>6.2720000000000002</v>
      </c>
      <c r="GF42">
        <v>6.7009999999999996</v>
      </c>
      <c r="GG42">
        <v>7.0510000000000002</v>
      </c>
      <c r="GH42">
        <v>7.335</v>
      </c>
      <c r="GI42">
        <v>1.0009999999999999</v>
      </c>
      <c r="GJ42">
        <v>2300</v>
      </c>
      <c r="GO42" t="s">
        <v>62</v>
      </c>
      <c r="GP42">
        <v>4.6890000000000001</v>
      </c>
      <c r="GQ42">
        <v>0.84199999999999997</v>
      </c>
      <c r="GR42">
        <v>3.0750000000000002</v>
      </c>
      <c r="GS42">
        <v>4.0990000000000002</v>
      </c>
      <c r="GT42">
        <v>4.6609999999999996</v>
      </c>
      <c r="GU42">
        <v>5.2519999999999998</v>
      </c>
      <c r="GV42">
        <v>6.375</v>
      </c>
      <c r="GW42">
        <v>1.0049999999999999</v>
      </c>
      <c r="GX42">
        <v>490</v>
      </c>
      <c r="HC42" t="s">
        <v>62</v>
      </c>
      <c r="HD42">
        <v>4.7359999999999998</v>
      </c>
      <c r="HE42">
        <v>0.85199999999999998</v>
      </c>
      <c r="HF42">
        <v>3.137</v>
      </c>
      <c r="HG42">
        <v>4.1449999999999996</v>
      </c>
      <c r="HH42">
        <v>4.7140000000000004</v>
      </c>
      <c r="HI42">
        <v>5.3120000000000003</v>
      </c>
      <c r="HJ42">
        <v>6.4589999999999996</v>
      </c>
      <c r="HK42">
        <v>1.0029999999999999</v>
      </c>
      <c r="HL42">
        <v>830</v>
      </c>
      <c r="HP42" s="7"/>
      <c r="HQ42" s="7" t="s">
        <v>62</v>
      </c>
      <c r="HR42" s="7">
        <v>4.7699999999999996</v>
      </c>
      <c r="HS42" s="7">
        <v>0.74399999999999999</v>
      </c>
      <c r="HT42" s="7">
        <v>3.3559999999999999</v>
      </c>
      <c r="HU42" s="7">
        <v>4.2759999999999998</v>
      </c>
      <c r="HV42" s="7">
        <v>4.7270000000000003</v>
      </c>
      <c r="HW42" s="7">
        <v>5.25</v>
      </c>
      <c r="HX42" s="7">
        <v>6.2809999999999997</v>
      </c>
      <c r="HY42" s="7">
        <v>1.002</v>
      </c>
      <c r="HZ42" s="7">
        <v>1200</v>
      </c>
      <c r="IA42" s="7"/>
      <c r="IE42" t="s">
        <v>62</v>
      </c>
      <c r="IF42">
        <v>5.22</v>
      </c>
      <c r="IG42">
        <v>0.55800000000000005</v>
      </c>
      <c r="IH42">
        <v>4.1909999999999998</v>
      </c>
      <c r="II42">
        <v>4.843</v>
      </c>
      <c r="IJ42">
        <v>5.1840000000000002</v>
      </c>
      <c r="IK42">
        <v>5.5750000000000002</v>
      </c>
      <c r="IL42">
        <v>6.3890000000000002</v>
      </c>
      <c r="IM42">
        <v>1.0049999999999999</v>
      </c>
      <c r="IN42">
        <v>460</v>
      </c>
      <c r="IS42" t="s">
        <v>62</v>
      </c>
      <c r="IT42">
        <v>5.4969999999999999</v>
      </c>
      <c r="IU42">
        <v>0.59899999999999998</v>
      </c>
      <c r="IV42">
        <v>4.41</v>
      </c>
      <c r="IW42">
        <v>5.0709999999999997</v>
      </c>
      <c r="IX42">
        <v>5.4749999999999996</v>
      </c>
      <c r="IY42">
        <v>5.8890000000000002</v>
      </c>
      <c r="IZ42">
        <v>6.7370000000000001</v>
      </c>
      <c r="JA42">
        <v>1.0009999999999999</v>
      </c>
      <c r="JB42">
        <v>3000</v>
      </c>
      <c r="JF42" t="s">
        <v>62</v>
      </c>
      <c r="JG42">
        <v>4.9020000000000001</v>
      </c>
      <c r="JH42">
        <v>0.72699999999999998</v>
      </c>
      <c r="JI42">
        <v>3.5680000000000001</v>
      </c>
      <c r="JJ42">
        <v>4.3979999999999997</v>
      </c>
      <c r="JK42">
        <v>4.8780000000000001</v>
      </c>
      <c r="JL42">
        <v>5.3769999999999998</v>
      </c>
      <c r="JM42">
        <v>6.4020000000000001</v>
      </c>
      <c r="JN42">
        <v>1.0009999999999999</v>
      </c>
      <c r="JO42">
        <v>3000</v>
      </c>
      <c r="JT42" t="s">
        <v>62</v>
      </c>
      <c r="JU42">
        <v>4.8739999999999997</v>
      </c>
      <c r="JV42">
        <v>0.73799999999999999</v>
      </c>
      <c r="JW42">
        <v>3.508</v>
      </c>
      <c r="JX42">
        <v>4.3650000000000002</v>
      </c>
      <c r="JY42">
        <v>4.8600000000000003</v>
      </c>
      <c r="JZ42">
        <v>5.3550000000000004</v>
      </c>
      <c r="KA42">
        <v>6.4210000000000003</v>
      </c>
      <c r="KB42">
        <v>1.0009999999999999</v>
      </c>
      <c r="KC42">
        <v>3000</v>
      </c>
      <c r="KH42" t="s">
        <v>62</v>
      </c>
      <c r="KI42">
        <v>4.8109999999999999</v>
      </c>
      <c r="KJ42">
        <v>0.72499999999999998</v>
      </c>
      <c r="KK42">
        <v>3.4940000000000002</v>
      </c>
      <c r="KL42">
        <v>4.3150000000000004</v>
      </c>
      <c r="KM42">
        <v>4.7679999999999998</v>
      </c>
      <c r="KN42">
        <v>5.2869999999999999</v>
      </c>
      <c r="KO42">
        <v>6.3369999999999997</v>
      </c>
      <c r="KP42">
        <v>1.004</v>
      </c>
      <c r="KQ42">
        <v>540</v>
      </c>
      <c r="KR42">
        <f t="shared" si="0"/>
        <v>122.85441052105159</v>
      </c>
      <c r="KV42" t="s">
        <v>62</v>
      </c>
      <c r="KW42">
        <v>6.12</v>
      </c>
      <c r="KX42">
        <v>0.26300000000000001</v>
      </c>
      <c r="KY42">
        <v>5.5780000000000003</v>
      </c>
      <c r="KZ42">
        <v>5.9459999999999997</v>
      </c>
      <c r="LA42">
        <v>6.1230000000000002</v>
      </c>
      <c r="LB42">
        <v>6.29</v>
      </c>
      <c r="LC42">
        <v>6.63</v>
      </c>
      <c r="LD42">
        <v>1.004</v>
      </c>
      <c r="LE42">
        <v>650</v>
      </c>
      <c r="LJ42" t="s">
        <v>62</v>
      </c>
      <c r="LK42">
        <v>2.226</v>
      </c>
      <c r="LL42">
        <v>0.93700000000000006</v>
      </c>
      <c r="LM42">
        <v>7.0000000000000007E-2</v>
      </c>
      <c r="LN42">
        <v>1.661</v>
      </c>
      <c r="LO42">
        <v>2.3210000000000002</v>
      </c>
      <c r="LP42">
        <v>2.9039999999999999</v>
      </c>
      <c r="LQ42">
        <v>3.766</v>
      </c>
      <c r="LR42">
        <v>1.0029999999999999</v>
      </c>
      <c r="LS42">
        <v>1500</v>
      </c>
      <c r="LX42" t="s">
        <v>62</v>
      </c>
      <c r="LY42">
        <v>1.4870000000000001</v>
      </c>
      <c r="LZ42">
        <v>1.1739999999999999</v>
      </c>
      <c r="MA42">
        <v>-1.109</v>
      </c>
      <c r="MB42">
        <v>0.75700000000000001</v>
      </c>
      <c r="MC42">
        <v>1.617</v>
      </c>
      <c r="MD42">
        <v>2.3410000000000002</v>
      </c>
      <c r="ME42">
        <v>3.5019999999999998</v>
      </c>
      <c r="MF42">
        <v>1.2070000000000001</v>
      </c>
      <c r="MG42">
        <v>15</v>
      </c>
      <c r="ML42" t="s">
        <v>62</v>
      </c>
      <c r="MM42">
        <v>6.4009999999999998</v>
      </c>
      <c r="MN42">
        <v>0.252</v>
      </c>
      <c r="MO42">
        <v>5.8929999999999998</v>
      </c>
      <c r="MP42">
        <v>6.2350000000000003</v>
      </c>
      <c r="MQ42">
        <v>6.4050000000000002</v>
      </c>
      <c r="MR42">
        <v>6.5720000000000001</v>
      </c>
      <c r="MS42">
        <v>6.8849999999999998</v>
      </c>
      <c r="MT42">
        <v>1.0009999999999999</v>
      </c>
      <c r="MU42">
        <v>26000</v>
      </c>
      <c r="MZ42" t="s">
        <v>62</v>
      </c>
      <c r="NA42">
        <v>6.3979999999999997</v>
      </c>
      <c r="NB42">
        <v>0.23899999999999999</v>
      </c>
      <c r="NC42">
        <v>5.9180000000000001</v>
      </c>
      <c r="ND42">
        <v>6.24</v>
      </c>
      <c r="NE42">
        <v>6.4039999999999999</v>
      </c>
      <c r="NF42">
        <v>6.5570000000000004</v>
      </c>
      <c r="NG42">
        <v>6.8540000000000001</v>
      </c>
      <c r="NH42">
        <v>1.004</v>
      </c>
      <c r="NI42">
        <v>640</v>
      </c>
      <c r="NM42" t="s">
        <v>62</v>
      </c>
      <c r="NN42">
        <v>7.1070000000000002</v>
      </c>
      <c r="NO42">
        <v>0.157</v>
      </c>
      <c r="NP42">
        <v>6.7729999999999997</v>
      </c>
      <c r="NQ42">
        <v>7.0039999999999996</v>
      </c>
      <c r="NR42">
        <v>7.1230000000000002</v>
      </c>
      <c r="NS42">
        <v>7.2220000000000004</v>
      </c>
      <c r="NT42">
        <v>7.3769999999999998</v>
      </c>
      <c r="NU42">
        <v>1.0009999999999999</v>
      </c>
      <c r="NV42">
        <v>30000</v>
      </c>
      <c r="NY42" t="s">
        <v>62</v>
      </c>
      <c r="NZ42">
        <v>7.085</v>
      </c>
      <c r="OA42">
        <v>0.16600000000000001</v>
      </c>
      <c r="OB42">
        <v>6.73</v>
      </c>
      <c r="OC42">
        <v>6.976</v>
      </c>
      <c r="OD42">
        <v>7.101</v>
      </c>
      <c r="OE42">
        <v>7.2080000000000002</v>
      </c>
      <c r="OF42">
        <v>7.3659999999999997</v>
      </c>
      <c r="OG42">
        <v>1.0009999999999999</v>
      </c>
      <c r="OH42">
        <v>19000</v>
      </c>
      <c r="OP42" t="s">
        <v>62</v>
      </c>
      <c r="OQ42">
        <v>7.1020000000000003</v>
      </c>
      <c r="OR42">
        <v>0.16900000000000001</v>
      </c>
      <c r="OS42">
        <v>6.7359999999999998</v>
      </c>
      <c r="OT42">
        <v>6.9950000000000001</v>
      </c>
      <c r="OU42">
        <v>7.1180000000000003</v>
      </c>
      <c r="OV42">
        <v>7.2270000000000003</v>
      </c>
      <c r="OW42">
        <v>7.3860000000000001</v>
      </c>
      <c r="OX42">
        <v>1.002</v>
      </c>
      <c r="OY42">
        <v>1500</v>
      </c>
      <c r="PB42" t="s">
        <v>62</v>
      </c>
      <c r="PC42">
        <v>7.1239999999999997</v>
      </c>
      <c r="PD42">
        <v>0.152</v>
      </c>
      <c r="PE42">
        <v>6.8049999999999997</v>
      </c>
      <c r="PF42">
        <v>7.0250000000000004</v>
      </c>
      <c r="PG42">
        <v>7.1369999999999996</v>
      </c>
      <c r="PH42">
        <v>7.2370000000000001</v>
      </c>
      <c r="PI42">
        <v>7.3890000000000002</v>
      </c>
      <c r="PJ42">
        <v>1.002</v>
      </c>
      <c r="PK42">
        <v>1200</v>
      </c>
      <c r="PN42" t="s">
        <v>62</v>
      </c>
      <c r="PO42">
        <v>7.1360000000000001</v>
      </c>
      <c r="PP42">
        <v>0.14599999999999999</v>
      </c>
      <c r="PQ42">
        <v>6.8159999999999998</v>
      </c>
      <c r="PR42">
        <v>7.0439999999999996</v>
      </c>
      <c r="PS42">
        <v>7.1550000000000002</v>
      </c>
      <c r="PT42">
        <v>7.2489999999999997</v>
      </c>
      <c r="PU42">
        <v>7.3620000000000001</v>
      </c>
      <c r="PV42">
        <v>1.0009999999999999</v>
      </c>
      <c r="PW42">
        <v>3000</v>
      </c>
      <c r="QA42" t="s">
        <v>62</v>
      </c>
      <c r="QB42">
        <v>6.76</v>
      </c>
      <c r="QC42">
        <v>0.105</v>
      </c>
      <c r="QD42">
        <v>6.5549999999999997</v>
      </c>
      <c r="QE42">
        <v>6.6840000000000002</v>
      </c>
      <c r="QF42">
        <v>6.7640000000000002</v>
      </c>
      <c r="QG42">
        <v>6.8390000000000004</v>
      </c>
      <c r="QH42">
        <v>6.9359999999999999</v>
      </c>
      <c r="QI42">
        <v>1.137</v>
      </c>
      <c r="QJ42">
        <v>19</v>
      </c>
      <c r="QL42">
        <f t="shared" si="2"/>
        <v>0.37600000000000033</v>
      </c>
    </row>
    <row r="43" spans="1:454">
      <c r="A43" t="s">
        <v>63</v>
      </c>
      <c r="B43">
        <v>6.165</v>
      </c>
      <c r="C43">
        <v>1.073</v>
      </c>
      <c r="D43">
        <v>4.165</v>
      </c>
      <c r="E43">
        <v>5.4240000000000004</v>
      </c>
      <c r="F43">
        <v>6.1479999999999997</v>
      </c>
      <c r="G43">
        <v>6.8810000000000002</v>
      </c>
      <c r="H43">
        <v>8.3130000000000006</v>
      </c>
      <c r="I43">
        <v>1.2150000000000001</v>
      </c>
      <c r="J43">
        <v>14</v>
      </c>
      <c r="O43" t="s">
        <v>63</v>
      </c>
      <c r="P43">
        <v>4.4210000000000003</v>
      </c>
      <c r="Q43">
        <v>1.8089999999999999</v>
      </c>
      <c r="R43">
        <v>0.58399999999999996</v>
      </c>
      <c r="S43">
        <v>3.145</v>
      </c>
      <c r="T43">
        <v>4.6269999999999998</v>
      </c>
      <c r="U43">
        <v>5.8739999999999997</v>
      </c>
      <c r="V43">
        <v>7.1689999999999996</v>
      </c>
      <c r="W43">
        <v>1.01</v>
      </c>
      <c r="X43">
        <v>300</v>
      </c>
      <c r="AC43" t="s">
        <v>63</v>
      </c>
      <c r="AD43">
        <v>6.41</v>
      </c>
      <c r="AE43">
        <v>0.72599999999999998</v>
      </c>
      <c r="AF43">
        <v>4.6399999999999997</v>
      </c>
      <c r="AG43">
        <v>5.99</v>
      </c>
      <c r="AH43">
        <v>6.57</v>
      </c>
      <c r="AI43">
        <v>6.9630000000000001</v>
      </c>
      <c r="AJ43">
        <v>7.3330000000000002</v>
      </c>
      <c r="AK43">
        <v>1.002</v>
      </c>
      <c r="AL43">
        <v>1400</v>
      </c>
      <c r="AQ43" t="s">
        <v>63</v>
      </c>
      <c r="AR43">
        <v>6.39</v>
      </c>
      <c r="AS43">
        <v>0.72199999999999998</v>
      </c>
      <c r="AT43">
        <v>4.63</v>
      </c>
      <c r="AU43">
        <v>5.9950000000000001</v>
      </c>
      <c r="AV43">
        <v>6.5209999999999999</v>
      </c>
      <c r="AW43">
        <v>6.9459999999999997</v>
      </c>
      <c r="AX43">
        <v>7.3330000000000002</v>
      </c>
      <c r="AY43">
        <v>1.0009999999999999</v>
      </c>
      <c r="AZ43">
        <v>3000</v>
      </c>
      <c r="BE43" t="s">
        <v>63</v>
      </c>
      <c r="BF43">
        <v>5.4</v>
      </c>
      <c r="BG43">
        <v>1.0880000000000001</v>
      </c>
      <c r="BH43">
        <v>3.1269999999999998</v>
      </c>
      <c r="BI43">
        <v>4.6769999999999996</v>
      </c>
      <c r="BJ43">
        <v>5.4969999999999999</v>
      </c>
      <c r="BK43">
        <v>6.2270000000000003</v>
      </c>
      <c r="BL43">
        <v>7.1669999999999998</v>
      </c>
      <c r="BM43">
        <v>1.107</v>
      </c>
      <c r="BN43">
        <v>24</v>
      </c>
      <c r="BS43" t="s">
        <v>63</v>
      </c>
      <c r="BT43">
        <v>6.1970000000000001</v>
      </c>
      <c r="BU43">
        <v>0.85299999999999998</v>
      </c>
      <c r="BV43">
        <v>4.13</v>
      </c>
      <c r="BW43">
        <v>5.718</v>
      </c>
      <c r="BX43">
        <v>6.37</v>
      </c>
      <c r="BY43">
        <v>6.8460000000000001</v>
      </c>
      <c r="BZ43">
        <v>7.3159999999999998</v>
      </c>
      <c r="CA43">
        <v>1.016</v>
      </c>
      <c r="CB43">
        <v>190</v>
      </c>
      <c r="CG43" t="s">
        <v>63</v>
      </c>
      <c r="CH43">
        <v>5.3529999999999998</v>
      </c>
      <c r="CI43">
        <v>1.0429999999999999</v>
      </c>
      <c r="CJ43">
        <v>3.1549999999999998</v>
      </c>
      <c r="CK43">
        <v>4.6630000000000003</v>
      </c>
      <c r="CL43">
        <v>5.4260000000000002</v>
      </c>
      <c r="CM43">
        <v>6.125</v>
      </c>
      <c r="CN43">
        <v>7.1159999999999997</v>
      </c>
      <c r="CO43">
        <v>1.04</v>
      </c>
      <c r="CP43">
        <v>57</v>
      </c>
      <c r="CU43" t="s">
        <v>63</v>
      </c>
      <c r="CV43">
        <v>6.36</v>
      </c>
      <c r="CW43">
        <v>0.746</v>
      </c>
      <c r="CX43">
        <v>4.4649999999999999</v>
      </c>
      <c r="CY43">
        <v>5.976</v>
      </c>
      <c r="CZ43">
        <v>6.52</v>
      </c>
      <c r="DA43">
        <v>6.9169999999999998</v>
      </c>
      <c r="DB43">
        <v>7.3140000000000001</v>
      </c>
      <c r="DC43">
        <v>1.02</v>
      </c>
      <c r="DD43">
        <v>210</v>
      </c>
      <c r="DI43" t="s">
        <v>63</v>
      </c>
      <c r="DJ43">
        <v>6.4219999999999997</v>
      </c>
      <c r="DK43">
        <v>0.70399999999999996</v>
      </c>
      <c r="DL43">
        <v>4.7190000000000003</v>
      </c>
      <c r="DM43">
        <v>6.03</v>
      </c>
      <c r="DN43">
        <v>6.5570000000000004</v>
      </c>
      <c r="DO43">
        <v>6.976</v>
      </c>
      <c r="DP43">
        <v>7.33</v>
      </c>
      <c r="DQ43">
        <v>1.0029999999999999</v>
      </c>
      <c r="DR43">
        <v>710</v>
      </c>
      <c r="DY43" t="s">
        <v>63</v>
      </c>
      <c r="DZ43">
        <v>6.5039999999999996</v>
      </c>
      <c r="EA43">
        <v>0.68300000000000005</v>
      </c>
      <c r="EB43">
        <v>4.8339999999999996</v>
      </c>
      <c r="EC43">
        <v>6.149</v>
      </c>
      <c r="ED43">
        <v>6.6230000000000002</v>
      </c>
      <c r="EE43">
        <v>7.0229999999999997</v>
      </c>
      <c r="EF43">
        <v>7.343</v>
      </c>
      <c r="EG43">
        <v>1.014</v>
      </c>
      <c r="EH43">
        <v>720</v>
      </c>
      <c r="EK43" t="s">
        <v>63</v>
      </c>
      <c r="EL43">
        <v>6.0549999999999997</v>
      </c>
      <c r="EM43">
        <v>0.94899999999999995</v>
      </c>
      <c r="EN43">
        <v>3.8849999999999998</v>
      </c>
      <c r="EO43">
        <v>5.452</v>
      </c>
      <c r="EP43">
        <v>6.2229999999999999</v>
      </c>
      <c r="EQ43">
        <v>6.81</v>
      </c>
      <c r="ER43">
        <v>7.3280000000000003</v>
      </c>
      <c r="ES43">
        <v>1</v>
      </c>
      <c r="ET43">
        <v>1500</v>
      </c>
      <c r="EY43" t="s">
        <v>63</v>
      </c>
      <c r="EZ43">
        <v>6.0750000000000002</v>
      </c>
      <c r="FA43">
        <v>0.91800000000000004</v>
      </c>
      <c r="FB43">
        <v>3.883</v>
      </c>
      <c r="FC43">
        <v>5.5469999999999997</v>
      </c>
      <c r="FD43">
        <v>6.2320000000000002</v>
      </c>
      <c r="FE43">
        <v>6.7770000000000001</v>
      </c>
      <c r="FF43">
        <v>7.3090000000000002</v>
      </c>
      <c r="FG43">
        <v>1.002</v>
      </c>
      <c r="FH43">
        <v>3000</v>
      </c>
      <c r="GA43" t="s">
        <v>63</v>
      </c>
      <c r="GB43">
        <v>6.5860000000000003</v>
      </c>
      <c r="GC43">
        <v>0.60099999999999998</v>
      </c>
      <c r="GD43">
        <v>5.133</v>
      </c>
      <c r="GE43">
        <v>6.2370000000000001</v>
      </c>
      <c r="GF43">
        <v>6.7130000000000001</v>
      </c>
      <c r="GG43">
        <v>7.048</v>
      </c>
      <c r="GH43">
        <v>7.3460000000000001</v>
      </c>
      <c r="GI43">
        <v>1.002</v>
      </c>
      <c r="GJ43">
        <v>1600</v>
      </c>
      <c r="GO43" t="s">
        <v>63</v>
      </c>
      <c r="GP43">
        <v>6.1130000000000004</v>
      </c>
      <c r="GQ43">
        <v>0.89500000000000002</v>
      </c>
      <c r="GR43">
        <v>3.9260000000000002</v>
      </c>
      <c r="GS43">
        <v>5.6219999999999999</v>
      </c>
      <c r="GT43">
        <v>6.2480000000000002</v>
      </c>
      <c r="GU43">
        <v>6.7889999999999997</v>
      </c>
      <c r="GV43">
        <v>7.3250000000000002</v>
      </c>
      <c r="GW43">
        <v>1.0009999999999999</v>
      </c>
      <c r="GX43">
        <v>2400</v>
      </c>
      <c r="HC43" t="s">
        <v>63</v>
      </c>
      <c r="HD43">
        <v>6.16</v>
      </c>
      <c r="HE43">
        <v>0.85899999999999999</v>
      </c>
      <c r="HF43">
        <v>4.1719999999999997</v>
      </c>
      <c r="HG43">
        <v>5.64</v>
      </c>
      <c r="HH43">
        <v>6.31</v>
      </c>
      <c r="HI43">
        <v>6.8339999999999996</v>
      </c>
      <c r="HJ43">
        <v>7.319</v>
      </c>
      <c r="HK43">
        <v>1.002</v>
      </c>
      <c r="HL43">
        <v>3000</v>
      </c>
      <c r="HP43" s="7"/>
      <c r="HQ43" s="7" t="s">
        <v>63</v>
      </c>
      <c r="HR43" s="7">
        <v>6.226</v>
      </c>
      <c r="HS43" s="7">
        <v>0.81</v>
      </c>
      <c r="HT43" s="7">
        <v>4.3230000000000004</v>
      </c>
      <c r="HU43" s="7">
        <v>5.7549999999999999</v>
      </c>
      <c r="HV43" s="7">
        <v>6.367</v>
      </c>
      <c r="HW43" s="7">
        <v>6.859</v>
      </c>
      <c r="HX43" s="7">
        <v>7.3179999999999996</v>
      </c>
      <c r="HY43" s="7">
        <v>1.0009999999999999</v>
      </c>
      <c r="HZ43" s="7">
        <v>3000</v>
      </c>
      <c r="IA43" s="7"/>
      <c r="IE43" t="s">
        <v>63</v>
      </c>
      <c r="IF43">
        <v>6.46</v>
      </c>
      <c r="IG43">
        <v>0.67800000000000005</v>
      </c>
      <c r="IH43">
        <v>4.8840000000000003</v>
      </c>
      <c r="II43">
        <v>6.0730000000000004</v>
      </c>
      <c r="IJ43">
        <v>6.585</v>
      </c>
      <c r="IK43">
        <v>6.9889999999999999</v>
      </c>
      <c r="IL43">
        <v>7.3390000000000004</v>
      </c>
      <c r="IM43">
        <v>1.0029999999999999</v>
      </c>
      <c r="IN43">
        <v>2900</v>
      </c>
      <c r="IS43" t="s">
        <v>63</v>
      </c>
      <c r="IT43">
        <v>6.5</v>
      </c>
      <c r="IU43">
        <v>0.68100000000000005</v>
      </c>
      <c r="IV43">
        <v>4.7809999999999997</v>
      </c>
      <c r="IW43">
        <v>6.1459999999999999</v>
      </c>
      <c r="IX43">
        <v>6.6449999999999996</v>
      </c>
      <c r="IY43">
        <v>7.0110000000000001</v>
      </c>
      <c r="IZ43">
        <v>7.3330000000000002</v>
      </c>
      <c r="JA43">
        <v>1.0089999999999999</v>
      </c>
      <c r="JB43">
        <v>800</v>
      </c>
      <c r="JF43" t="s">
        <v>63</v>
      </c>
      <c r="JG43">
        <v>6.306</v>
      </c>
      <c r="JH43">
        <v>0.77400000000000002</v>
      </c>
      <c r="JI43">
        <v>4.4480000000000004</v>
      </c>
      <c r="JJ43">
        <v>5.8559999999999999</v>
      </c>
      <c r="JK43">
        <v>6.4509999999999996</v>
      </c>
      <c r="JL43">
        <v>6.9189999999999996</v>
      </c>
      <c r="JM43">
        <v>7.33</v>
      </c>
      <c r="JN43">
        <v>1.0009999999999999</v>
      </c>
      <c r="JO43">
        <v>3000</v>
      </c>
      <c r="JT43" t="s">
        <v>63</v>
      </c>
      <c r="JU43">
        <v>6.2679999999999998</v>
      </c>
      <c r="JV43">
        <v>0.79100000000000004</v>
      </c>
      <c r="JW43">
        <v>4.4340000000000002</v>
      </c>
      <c r="JX43">
        <v>5.7939999999999996</v>
      </c>
      <c r="JY43">
        <v>6.4210000000000003</v>
      </c>
      <c r="JZ43">
        <v>6.8890000000000002</v>
      </c>
      <c r="KA43">
        <v>7.3090000000000002</v>
      </c>
      <c r="KB43">
        <v>1.0029999999999999</v>
      </c>
      <c r="KC43">
        <v>960</v>
      </c>
      <c r="KH43" t="s">
        <v>63</v>
      </c>
      <c r="KI43">
        <v>6.2510000000000003</v>
      </c>
      <c r="KJ43">
        <v>0.81499999999999995</v>
      </c>
      <c r="KK43">
        <v>4.2880000000000003</v>
      </c>
      <c r="KL43">
        <v>5.7720000000000002</v>
      </c>
      <c r="KM43">
        <v>6.3970000000000002</v>
      </c>
      <c r="KN43">
        <v>6.9009999999999998</v>
      </c>
      <c r="KO43">
        <v>7.3319999999999999</v>
      </c>
      <c r="KP43">
        <v>1.0009999999999999</v>
      </c>
      <c r="KQ43">
        <v>3000</v>
      </c>
      <c r="KR43">
        <f t="shared" si="0"/>
        <v>518.53109658577989</v>
      </c>
      <c r="KV43" t="s">
        <v>63</v>
      </c>
      <c r="KW43">
        <v>7.234</v>
      </c>
      <c r="KX43">
        <v>0.14499999999999999</v>
      </c>
      <c r="KY43">
        <v>6.8570000000000002</v>
      </c>
      <c r="KZ43">
        <v>7.165</v>
      </c>
      <c r="LA43">
        <v>7.2729999999999997</v>
      </c>
      <c r="LB43">
        <v>7.3460000000000001</v>
      </c>
      <c r="LC43">
        <v>7.3929999999999998</v>
      </c>
      <c r="LD43">
        <v>1.0009999999999999</v>
      </c>
      <c r="LE43">
        <v>3000</v>
      </c>
      <c r="LJ43" t="s">
        <v>63</v>
      </c>
      <c r="LK43">
        <v>2.4039999999999999</v>
      </c>
      <c r="LL43">
        <v>0.76300000000000001</v>
      </c>
      <c r="LM43">
        <v>0.79</v>
      </c>
      <c r="LN43">
        <v>1.925</v>
      </c>
      <c r="LO43">
        <v>2.4510000000000001</v>
      </c>
      <c r="LP43">
        <v>2.9569999999999999</v>
      </c>
      <c r="LQ43">
        <v>3.722</v>
      </c>
      <c r="LR43">
        <v>1.006</v>
      </c>
      <c r="LS43">
        <v>3000</v>
      </c>
      <c r="LX43" t="s">
        <v>63</v>
      </c>
      <c r="LY43">
        <v>2.5870000000000002</v>
      </c>
      <c r="LZ43">
        <v>0.85199999999999998</v>
      </c>
      <c r="MA43">
        <v>0.84599999999999997</v>
      </c>
      <c r="MB43">
        <v>2.0270000000000001</v>
      </c>
      <c r="MC43">
        <v>2.6320000000000001</v>
      </c>
      <c r="MD43">
        <v>3.1859999999999999</v>
      </c>
      <c r="ME43">
        <v>4.1500000000000004</v>
      </c>
      <c r="MF43">
        <v>1.0660000000000001</v>
      </c>
      <c r="MG43">
        <v>50</v>
      </c>
      <c r="ML43" t="s">
        <v>63</v>
      </c>
      <c r="MM43">
        <v>7.2450000000000001</v>
      </c>
      <c r="MN43">
        <v>0.13400000000000001</v>
      </c>
      <c r="MO43">
        <v>6.8970000000000002</v>
      </c>
      <c r="MP43">
        <v>7.1829999999999998</v>
      </c>
      <c r="MQ43">
        <v>7.2830000000000004</v>
      </c>
      <c r="MR43">
        <v>7.3460000000000001</v>
      </c>
      <c r="MS43">
        <v>7.3890000000000002</v>
      </c>
      <c r="MT43">
        <v>1.0009999999999999</v>
      </c>
      <c r="MU43">
        <v>11000</v>
      </c>
      <c r="MZ43" t="s">
        <v>63</v>
      </c>
      <c r="NA43">
        <v>7.2439999999999998</v>
      </c>
      <c r="NB43">
        <v>0.13200000000000001</v>
      </c>
      <c r="NC43">
        <v>6.8949999999999996</v>
      </c>
      <c r="ND43">
        <v>7.181</v>
      </c>
      <c r="NE43">
        <v>7.28</v>
      </c>
      <c r="NF43">
        <v>7.343</v>
      </c>
      <c r="NG43">
        <v>7.3890000000000002</v>
      </c>
      <c r="NH43">
        <v>1.0009999999999999</v>
      </c>
      <c r="NI43">
        <v>2400</v>
      </c>
      <c r="NM43" t="s">
        <v>63</v>
      </c>
      <c r="NN43">
        <v>7.2130000000000001</v>
      </c>
      <c r="NO43">
        <v>0.11600000000000001</v>
      </c>
      <c r="NP43">
        <v>6.952</v>
      </c>
      <c r="NQ43">
        <v>7.1379999999999999</v>
      </c>
      <c r="NR43">
        <v>7.2309999999999999</v>
      </c>
      <c r="NS43">
        <v>7.3079999999999998</v>
      </c>
      <c r="NT43">
        <v>7.3739999999999997</v>
      </c>
      <c r="NU43">
        <v>1.0009999999999999</v>
      </c>
      <c r="NV43">
        <v>9700</v>
      </c>
      <c r="NY43" t="s">
        <v>63</v>
      </c>
      <c r="NZ43">
        <v>7.1970000000000001</v>
      </c>
      <c r="OA43">
        <v>0.124</v>
      </c>
      <c r="OB43">
        <v>6.9210000000000003</v>
      </c>
      <c r="OC43">
        <v>7.1139999999999999</v>
      </c>
      <c r="OD43">
        <v>7.2149999999999999</v>
      </c>
      <c r="OE43">
        <v>7.298</v>
      </c>
      <c r="OF43">
        <v>7.3730000000000002</v>
      </c>
      <c r="OG43">
        <v>1.0009999999999999</v>
      </c>
      <c r="OH43">
        <v>16000</v>
      </c>
      <c r="OP43" t="s">
        <v>63</v>
      </c>
      <c r="OQ43">
        <v>7.2069999999999999</v>
      </c>
      <c r="OR43">
        <v>0.122</v>
      </c>
      <c r="OS43">
        <v>6.9279999999999999</v>
      </c>
      <c r="OT43">
        <v>7.1260000000000003</v>
      </c>
      <c r="OU43">
        <v>7.226</v>
      </c>
      <c r="OV43">
        <v>7.3070000000000004</v>
      </c>
      <c r="OW43">
        <v>7.3730000000000002</v>
      </c>
      <c r="OX43">
        <v>1.002</v>
      </c>
      <c r="OY43">
        <v>1100</v>
      </c>
      <c r="PB43" t="s">
        <v>63</v>
      </c>
      <c r="PC43">
        <v>7.2249999999999996</v>
      </c>
      <c r="PD43">
        <v>0.111</v>
      </c>
      <c r="PE43">
        <v>6.98</v>
      </c>
      <c r="PF43">
        <v>7.1529999999999996</v>
      </c>
      <c r="PG43">
        <v>7.2439999999999998</v>
      </c>
      <c r="PH43">
        <v>7.3150000000000004</v>
      </c>
      <c r="PI43">
        <v>7.375</v>
      </c>
      <c r="PJ43">
        <v>1.002</v>
      </c>
      <c r="PK43">
        <v>1100</v>
      </c>
      <c r="PN43" t="s">
        <v>63</v>
      </c>
      <c r="PO43">
        <v>7.157</v>
      </c>
      <c r="PP43">
        <v>0.13800000000000001</v>
      </c>
      <c r="PQ43">
        <v>6.8479999999999999</v>
      </c>
      <c r="PR43">
        <v>7.0679999999999996</v>
      </c>
      <c r="PS43">
        <v>7.1779999999999999</v>
      </c>
      <c r="PT43">
        <v>7.2640000000000002</v>
      </c>
      <c r="PU43">
        <v>7.3609999999999998</v>
      </c>
      <c r="PV43">
        <v>1.0009999999999999</v>
      </c>
      <c r="PW43">
        <v>3000</v>
      </c>
      <c r="QA43" t="s">
        <v>63</v>
      </c>
      <c r="QB43">
        <v>6.7759999999999998</v>
      </c>
      <c r="QC43">
        <v>0.1</v>
      </c>
      <c r="QD43">
        <v>6.5830000000000002</v>
      </c>
      <c r="QE43">
        <v>6.7039999999999997</v>
      </c>
      <c r="QF43">
        <v>6.78</v>
      </c>
      <c r="QG43">
        <v>6.8520000000000003</v>
      </c>
      <c r="QH43">
        <v>6.9450000000000003</v>
      </c>
      <c r="QI43">
        <v>1.131</v>
      </c>
      <c r="QJ43">
        <v>20</v>
      </c>
      <c r="QL43">
        <f t="shared" si="2"/>
        <v>0.38100000000000023</v>
      </c>
    </row>
    <row r="44" spans="1:454">
      <c r="A44" t="s">
        <v>64</v>
      </c>
      <c r="B44">
        <v>6.0819999999999999</v>
      </c>
      <c r="C44">
        <v>1.1919999999999999</v>
      </c>
      <c r="D44">
        <v>3.9220000000000002</v>
      </c>
      <c r="E44">
        <v>5.258</v>
      </c>
      <c r="F44">
        <v>6.0209999999999999</v>
      </c>
      <c r="G44">
        <v>6.9160000000000004</v>
      </c>
      <c r="H44">
        <v>8.4250000000000007</v>
      </c>
      <c r="I44">
        <v>1.1990000000000001</v>
      </c>
      <c r="J44">
        <v>15</v>
      </c>
      <c r="O44" t="s">
        <v>64</v>
      </c>
      <c r="P44">
        <v>2.0150000000000001</v>
      </c>
      <c r="Q44">
        <v>1.9930000000000001</v>
      </c>
      <c r="R44">
        <v>0.02</v>
      </c>
      <c r="S44">
        <v>0.36199999999999999</v>
      </c>
      <c r="T44">
        <v>1.2809999999999999</v>
      </c>
      <c r="U44">
        <v>3.2250000000000001</v>
      </c>
      <c r="V44">
        <v>6.7889999999999997</v>
      </c>
      <c r="W44">
        <v>1.024</v>
      </c>
      <c r="X44">
        <v>98</v>
      </c>
      <c r="AC44" t="s">
        <v>64</v>
      </c>
      <c r="AD44">
        <v>5.3179999999999996</v>
      </c>
      <c r="AE44">
        <v>0.91600000000000004</v>
      </c>
      <c r="AF44">
        <v>3.48</v>
      </c>
      <c r="AG44">
        <v>4.6989999999999998</v>
      </c>
      <c r="AH44">
        <v>5.3209999999999997</v>
      </c>
      <c r="AI44">
        <v>5.9770000000000003</v>
      </c>
      <c r="AJ44">
        <v>7.085</v>
      </c>
      <c r="AK44">
        <v>1.0009999999999999</v>
      </c>
      <c r="AL44">
        <v>3000</v>
      </c>
      <c r="AQ44" t="s">
        <v>64</v>
      </c>
      <c r="AR44">
        <v>5.2770000000000001</v>
      </c>
      <c r="AS44">
        <v>0.82899999999999996</v>
      </c>
      <c r="AT44">
        <v>3.6659999999999999</v>
      </c>
      <c r="AU44">
        <v>4.7190000000000003</v>
      </c>
      <c r="AV44">
        <v>5.2629999999999999</v>
      </c>
      <c r="AW44">
        <v>5.8230000000000004</v>
      </c>
      <c r="AX44">
        <v>6.9340000000000002</v>
      </c>
      <c r="AY44">
        <v>1.0009999999999999</v>
      </c>
      <c r="AZ44">
        <v>3000</v>
      </c>
      <c r="BE44" t="s">
        <v>64</v>
      </c>
      <c r="BF44">
        <v>5.3659999999999997</v>
      </c>
      <c r="BG44">
        <v>0.66800000000000004</v>
      </c>
      <c r="BH44">
        <v>4.1020000000000003</v>
      </c>
      <c r="BI44">
        <v>4.9109999999999996</v>
      </c>
      <c r="BJ44">
        <v>5.3529999999999998</v>
      </c>
      <c r="BK44">
        <v>5.8</v>
      </c>
      <c r="BL44">
        <v>6.7539999999999996</v>
      </c>
      <c r="BM44">
        <v>1.0009999999999999</v>
      </c>
      <c r="BN44">
        <v>3000</v>
      </c>
      <c r="BS44" t="s">
        <v>64</v>
      </c>
      <c r="BT44">
        <v>4.9450000000000003</v>
      </c>
      <c r="BU44">
        <v>0.83899999999999997</v>
      </c>
      <c r="BV44">
        <v>3.3690000000000002</v>
      </c>
      <c r="BW44">
        <v>4.3540000000000001</v>
      </c>
      <c r="BX44">
        <v>4.923</v>
      </c>
      <c r="BY44">
        <v>5.48</v>
      </c>
      <c r="BZ44">
        <v>6.694</v>
      </c>
      <c r="CA44">
        <v>1.002</v>
      </c>
      <c r="CB44">
        <v>1400</v>
      </c>
      <c r="CG44" t="s">
        <v>64</v>
      </c>
      <c r="CH44">
        <v>5.3280000000000003</v>
      </c>
      <c r="CI44">
        <v>0.69099999999999995</v>
      </c>
      <c r="CJ44">
        <v>4.0289999999999999</v>
      </c>
      <c r="CK44">
        <v>4.8579999999999997</v>
      </c>
      <c r="CL44">
        <v>5.3090000000000002</v>
      </c>
      <c r="CM44">
        <v>5.7880000000000003</v>
      </c>
      <c r="CN44">
        <v>6.6820000000000004</v>
      </c>
      <c r="CO44">
        <v>1.002</v>
      </c>
      <c r="CP44">
        <v>1100</v>
      </c>
      <c r="CU44" t="s">
        <v>64</v>
      </c>
      <c r="CV44">
        <v>5.2380000000000004</v>
      </c>
      <c r="CW44">
        <v>0.81299999999999994</v>
      </c>
      <c r="CX44">
        <v>3.645</v>
      </c>
      <c r="CY44">
        <v>4.7</v>
      </c>
      <c r="CZ44">
        <v>5.2439999999999998</v>
      </c>
      <c r="DA44">
        <v>5.8019999999999996</v>
      </c>
      <c r="DB44">
        <v>6.8159999999999998</v>
      </c>
      <c r="DC44">
        <v>1.016</v>
      </c>
      <c r="DD44">
        <v>140</v>
      </c>
      <c r="DI44" t="s">
        <v>64</v>
      </c>
      <c r="DJ44">
        <v>5.4029999999999996</v>
      </c>
      <c r="DK44">
        <v>0.90900000000000003</v>
      </c>
      <c r="DL44">
        <v>3.613</v>
      </c>
      <c r="DM44">
        <v>4.7610000000000001</v>
      </c>
      <c r="DN44">
        <v>5.4169999999999998</v>
      </c>
      <c r="DO44">
        <v>6.056</v>
      </c>
      <c r="DP44">
        <v>7.0759999999999996</v>
      </c>
      <c r="DQ44">
        <v>1.0089999999999999</v>
      </c>
      <c r="DR44">
        <v>240</v>
      </c>
      <c r="DY44" t="s">
        <v>64</v>
      </c>
      <c r="DZ44">
        <v>5.726</v>
      </c>
      <c r="EA44">
        <v>0.84599999999999997</v>
      </c>
      <c r="EB44">
        <v>4.0460000000000003</v>
      </c>
      <c r="EC44">
        <v>5.1360000000000001</v>
      </c>
      <c r="ED44">
        <v>5.76</v>
      </c>
      <c r="EE44">
        <v>6.3559999999999999</v>
      </c>
      <c r="EF44">
        <v>7.2110000000000003</v>
      </c>
      <c r="EG44">
        <v>1.002</v>
      </c>
      <c r="EH44">
        <v>1800</v>
      </c>
      <c r="EK44" t="s">
        <v>64</v>
      </c>
      <c r="EL44">
        <v>5.4660000000000002</v>
      </c>
      <c r="EM44">
        <v>1.0189999999999999</v>
      </c>
      <c r="EN44">
        <v>3.4590000000000001</v>
      </c>
      <c r="EO44">
        <v>4.7409999999999997</v>
      </c>
      <c r="EP44">
        <v>5.4870000000000001</v>
      </c>
      <c r="EQ44">
        <v>6.2249999999999996</v>
      </c>
      <c r="ER44">
        <v>7.2450000000000001</v>
      </c>
      <c r="ES44">
        <v>1.0009999999999999</v>
      </c>
      <c r="ET44">
        <v>1500</v>
      </c>
      <c r="EY44" t="s">
        <v>64</v>
      </c>
      <c r="EZ44">
        <v>4.625</v>
      </c>
      <c r="FA44">
        <v>0.87</v>
      </c>
      <c r="FB44">
        <v>2.9180000000000001</v>
      </c>
      <c r="FC44">
        <v>4.0339999999999998</v>
      </c>
      <c r="FD44">
        <v>4.6079999999999997</v>
      </c>
      <c r="FE44">
        <v>5.1989999999999998</v>
      </c>
      <c r="FF44">
        <v>6.3860000000000001</v>
      </c>
      <c r="FG44">
        <v>1.002</v>
      </c>
      <c r="FH44">
        <v>1700</v>
      </c>
      <c r="GA44" t="s">
        <v>64</v>
      </c>
      <c r="GB44">
        <v>6.82</v>
      </c>
      <c r="GC44">
        <v>0.42099999999999999</v>
      </c>
      <c r="GD44">
        <v>5.819</v>
      </c>
      <c r="GE44">
        <v>6.5880000000000001</v>
      </c>
      <c r="GF44">
        <v>6.8970000000000002</v>
      </c>
      <c r="GG44">
        <v>7.157</v>
      </c>
      <c r="GH44">
        <v>7.3579999999999997</v>
      </c>
      <c r="GI44">
        <v>1.0009999999999999</v>
      </c>
      <c r="GJ44">
        <v>2000</v>
      </c>
      <c r="GO44" t="s">
        <v>64</v>
      </c>
      <c r="GP44">
        <v>4.6360000000000001</v>
      </c>
      <c r="GQ44">
        <v>0.85399999999999998</v>
      </c>
      <c r="GR44">
        <v>3.05</v>
      </c>
      <c r="GS44">
        <v>4.069</v>
      </c>
      <c r="GT44">
        <v>4.5979999999999999</v>
      </c>
      <c r="GU44">
        <v>5.1779999999999999</v>
      </c>
      <c r="GV44">
        <v>6.4550000000000001</v>
      </c>
      <c r="GW44">
        <v>1.0009999999999999</v>
      </c>
      <c r="GX44">
        <v>3000</v>
      </c>
      <c r="HC44" t="s">
        <v>64</v>
      </c>
      <c r="HD44">
        <v>4.742</v>
      </c>
      <c r="HE44">
        <v>0.80700000000000005</v>
      </c>
      <c r="HF44">
        <v>3.222</v>
      </c>
      <c r="HG44">
        <v>4.1980000000000004</v>
      </c>
      <c r="HH44">
        <v>4.7</v>
      </c>
      <c r="HI44">
        <v>5.2539999999999996</v>
      </c>
      <c r="HJ44">
        <v>6.4450000000000003</v>
      </c>
      <c r="HK44">
        <v>1.004</v>
      </c>
      <c r="HL44">
        <v>630</v>
      </c>
      <c r="HP44" s="7"/>
      <c r="HQ44" s="7" t="s">
        <v>64</v>
      </c>
      <c r="HR44" s="7">
        <v>5.05</v>
      </c>
      <c r="HS44" s="7">
        <v>0.748</v>
      </c>
      <c r="HT44" s="7">
        <v>3.69</v>
      </c>
      <c r="HU44" s="7">
        <v>4.5289999999999999</v>
      </c>
      <c r="HV44" s="7">
        <v>5.0030000000000001</v>
      </c>
      <c r="HW44" s="7">
        <v>5.5119999999999996</v>
      </c>
      <c r="HX44" s="7">
        <v>6.6509999999999998</v>
      </c>
      <c r="HY44" s="7">
        <v>1.002</v>
      </c>
      <c r="HZ44" s="7">
        <v>1300</v>
      </c>
      <c r="IA44" s="7"/>
      <c r="IE44" t="s">
        <v>64</v>
      </c>
      <c r="IF44">
        <v>5.6180000000000003</v>
      </c>
      <c r="IG44">
        <v>0.53300000000000003</v>
      </c>
      <c r="IH44">
        <v>4.6580000000000004</v>
      </c>
      <c r="II44">
        <v>5.2519999999999998</v>
      </c>
      <c r="IJ44">
        <v>5.59</v>
      </c>
      <c r="IK44">
        <v>5.9470000000000001</v>
      </c>
      <c r="IL44">
        <v>6.7729999999999997</v>
      </c>
      <c r="IM44">
        <v>1.0009999999999999</v>
      </c>
      <c r="IN44">
        <v>3000</v>
      </c>
      <c r="IS44" t="s">
        <v>64</v>
      </c>
      <c r="IT44">
        <v>5.89</v>
      </c>
      <c r="IU44">
        <v>0.55000000000000004</v>
      </c>
      <c r="IV44">
        <v>4.8579999999999997</v>
      </c>
      <c r="IW44">
        <v>5.5069999999999997</v>
      </c>
      <c r="IX44">
        <v>5.8650000000000002</v>
      </c>
      <c r="IY44">
        <v>6.2670000000000003</v>
      </c>
      <c r="IZ44">
        <v>7.0380000000000003</v>
      </c>
      <c r="JA44">
        <v>1.0009999999999999</v>
      </c>
      <c r="JB44">
        <v>3000</v>
      </c>
      <c r="JF44" t="s">
        <v>64</v>
      </c>
      <c r="JG44">
        <v>5.133</v>
      </c>
      <c r="JH44">
        <v>0.70799999999999996</v>
      </c>
      <c r="JI44">
        <v>3.8130000000000002</v>
      </c>
      <c r="JJ44">
        <v>4.6459999999999999</v>
      </c>
      <c r="JK44">
        <v>5.0990000000000002</v>
      </c>
      <c r="JL44">
        <v>5.5819999999999999</v>
      </c>
      <c r="JM44">
        <v>6.68</v>
      </c>
      <c r="JN44">
        <v>1.0009999999999999</v>
      </c>
      <c r="JO44">
        <v>3000</v>
      </c>
      <c r="JT44" t="s">
        <v>64</v>
      </c>
      <c r="JU44">
        <v>5.0039999999999996</v>
      </c>
      <c r="JV44">
        <v>0.752</v>
      </c>
      <c r="JW44">
        <v>3.6789999999999998</v>
      </c>
      <c r="JX44">
        <v>4.4690000000000003</v>
      </c>
      <c r="JY44">
        <v>4.9560000000000004</v>
      </c>
      <c r="JZ44">
        <v>5.49</v>
      </c>
      <c r="KA44">
        <v>6.6130000000000004</v>
      </c>
      <c r="KB44">
        <v>1.0009999999999999</v>
      </c>
      <c r="KC44">
        <v>3000</v>
      </c>
      <c r="KH44" t="s">
        <v>64</v>
      </c>
      <c r="KI44">
        <v>5.0259999999999998</v>
      </c>
      <c r="KJ44">
        <v>0.77</v>
      </c>
      <c r="KK44">
        <v>3.6640000000000001</v>
      </c>
      <c r="KL44">
        <v>4.4969999999999999</v>
      </c>
      <c r="KM44">
        <v>4.9589999999999996</v>
      </c>
      <c r="KN44">
        <v>5.52</v>
      </c>
      <c r="KO44">
        <v>6.702</v>
      </c>
      <c r="KP44">
        <v>1.004</v>
      </c>
      <c r="KQ44">
        <v>760</v>
      </c>
      <c r="KR44">
        <f t="shared" si="0"/>
        <v>152.32250247927831</v>
      </c>
      <c r="KV44" t="s">
        <v>64</v>
      </c>
      <c r="KW44">
        <v>5.2329999999999997</v>
      </c>
      <c r="KX44">
        <v>0.433</v>
      </c>
      <c r="KY44">
        <v>4.3810000000000002</v>
      </c>
      <c r="KZ44">
        <v>4.9379999999999997</v>
      </c>
      <c r="LA44">
        <v>5.2279999999999998</v>
      </c>
      <c r="LB44">
        <v>5.5149999999999997</v>
      </c>
      <c r="LC44">
        <v>6.0949999999999998</v>
      </c>
      <c r="LD44">
        <v>1.004</v>
      </c>
      <c r="LE44">
        <v>600</v>
      </c>
      <c r="LJ44" t="s">
        <v>64</v>
      </c>
      <c r="LK44">
        <v>2.0840000000000001</v>
      </c>
      <c r="LL44">
        <v>1.2210000000000001</v>
      </c>
      <c r="LM44">
        <v>-0.69699999999999995</v>
      </c>
      <c r="LN44">
        <v>1.345</v>
      </c>
      <c r="LO44">
        <v>2.2160000000000002</v>
      </c>
      <c r="LP44">
        <v>2.98</v>
      </c>
      <c r="LQ44">
        <v>4.0540000000000003</v>
      </c>
      <c r="LR44">
        <v>1.0029999999999999</v>
      </c>
      <c r="LS44">
        <v>890</v>
      </c>
      <c r="LX44" t="s">
        <v>64</v>
      </c>
      <c r="LY44">
        <v>0.61099999999999999</v>
      </c>
      <c r="LZ44">
        <v>1.7030000000000001</v>
      </c>
      <c r="MA44">
        <v>-3.3119999999999998</v>
      </c>
      <c r="MB44">
        <v>-0.41699999999999998</v>
      </c>
      <c r="MC44">
        <v>0.81100000000000005</v>
      </c>
      <c r="MD44">
        <v>1.8620000000000001</v>
      </c>
      <c r="ME44">
        <v>3.37</v>
      </c>
      <c r="MF44">
        <v>1.444</v>
      </c>
      <c r="MG44">
        <v>8</v>
      </c>
      <c r="ML44" t="s">
        <v>64</v>
      </c>
      <c r="MM44">
        <v>5.7290000000000001</v>
      </c>
      <c r="MN44">
        <v>0.41199999999999998</v>
      </c>
      <c r="MO44">
        <v>4.931</v>
      </c>
      <c r="MP44">
        <v>5.4489999999999998</v>
      </c>
      <c r="MQ44">
        <v>5.726</v>
      </c>
      <c r="MR44">
        <v>6.0060000000000002</v>
      </c>
      <c r="MS44">
        <v>6.5439999999999996</v>
      </c>
      <c r="MT44">
        <v>1.0009999999999999</v>
      </c>
      <c r="MU44">
        <v>33000</v>
      </c>
      <c r="MZ44" t="s">
        <v>64</v>
      </c>
      <c r="NA44">
        <v>5.7240000000000002</v>
      </c>
      <c r="NB44">
        <v>0.39</v>
      </c>
      <c r="NC44">
        <v>4.9720000000000004</v>
      </c>
      <c r="ND44">
        <v>5.4619999999999997</v>
      </c>
      <c r="NE44">
        <v>5.72</v>
      </c>
      <c r="NF44">
        <v>5.9850000000000003</v>
      </c>
      <c r="NG44">
        <v>6.4980000000000002</v>
      </c>
      <c r="NH44">
        <v>1.004</v>
      </c>
      <c r="NI44">
        <v>620</v>
      </c>
      <c r="NM44" t="s">
        <v>64</v>
      </c>
      <c r="NN44">
        <v>7.0229999999999997</v>
      </c>
      <c r="NO44">
        <v>0.20499999999999999</v>
      </c>
      <c r="NP44">
        <v>6.6070000000000002</v>
      </c>
      <c r="NQ44">
        <v>6.8869999999999996</v>
      </c>
      <c r="NR44">
        <v>7.0330000000000004</v>
      </c>
      <c r="NS44">
        <v>7.1639999999999997</v>
      </c>
      <c r="NT44">
        <v>7.407</v>
      </c>
      <c r="NU44">
        <v>1.0009999999999999</v>
      </c>
      <c r="NV44">
        <v>30000</v>
      </c>
      <c r="NY44" t="s">
        <v>64</v>
      </c>
      <c r="NZ44">
        <v>6.9960000000000004</v>
      </c>
      <c r="OA44">
        <v>0.21299999999999999</v>
      </c>
      <c r="OB44">
        <v>6.5579999999999998</v>
      </c>
      <c r="OC44">
        <v>6.8540000000000001</v>
      </c>
      <c r="OD44">
        <v>7.0049999999999999</v>
      </c>
      <c r="OE44">
        <v>7.1449999999999996</v>
      </c>
      <c r="OF44">
        <v>7.391</v>
      </c>
      <c r="OG44">
        <v>1.0009999999999999</v>
      </c>
      <c r="OH44">
        <v>23000</v>
      </c>
      <c r="OP44" t="s">
        <v>64</v>
      </c>
      <c r="OQ44">
        <v>7.0190000000000001</v>
      </c>
      <c r="OR44">
        <v>0.22</v>
      </c>
      <c r="OS44">
        <v>6.569</v>
      </c>
      <c r="OT44">
        <v>6.8719999999999999</v>
      </c>
      <c r="OU44">
        <v>7.0289999999999999</v>
      </c>
      <c r="OV44">
        <v>7.1760000000000002</v>
      </c>
      <c r="OW44">
        <v>7.4269999999999996</v>
      </c>
      <c r="OX44">
        <v>1.002</v>
      </c>
      <c r="OY44">
        <v>1900</v>
      </c>
      <c r="PB44" t="s">
        <v>64</v>
      </c>
      <c r="PC44">
        <v>7.0430000000000001</v>
      </c>
      <c r="PD44">
        <v>0.20100000000000001</v>
      </c>
      <c r="PE44">
        <v>6.6390000000000002</v>
      </c>
      <c r="PF44">
        <v>6.9080000000000004</v>
      </c>
      <c r="PG44">
        <v>7.0469999999999997</v>
      </c>
      <c r="PH44">
        <v>7.1849999999999996</v>
      </c>
      <c r="PI44">
        <v>7.4249999999999998</v>
      </c>
      <c r="PJ44">
        <v>1.002</v>
      </c>
      <c r="PK44">
        <v>1500</v>
      </c>
      <c r="PN44" t="s">
        <v>64</v>
      </c>
      <c r="PO44">
        <v>7.15</v>
      </c>
      <c r="PP44">
        <v>0.14099999999999999</v>
      </c>
      <c r="PQ44">
        <v>6.8339999999999996</v>
      </c>
      <c r="PR44">
        <v>7.06</v>
      </c>
      <c r="PS44">
        <v>7.1710000000000003</v>
      </c>
      <c r="PT44">
        <v>7.26</v>
      </c>
      <c r="PU44">
        <v>7.36</v>
      </c>
      <c r="PV44">
        <v>1.0009999999999999</v>
      </c>
      <c r="PW44">
        <v>3000</v>
      </c>
      <c r="QA44" t="s">
        <v>64</v>
      </c>
      <c r="QB44">
        <v>6.7709999999999999</v>
      </c>
      <c r="QC44">
        <v>0.10199999999999999</v>
      </c>
      <c r="QD44">
        <v>6.5739999999999998</v>
      </c>
      <c r="QE44">
        <v>6.6970000000000001</v>
      </c>
      <c r="QF44">
        <v>6.7750000000000004</v>
      </c>
      <c r="QG44">
        <v>6.8479999999999999</v>
      </c>
      <c r="QH44">
        <v>6.9420000000000002</v>
      </c>
      <c r="QI44">
        <v>1.133</v>
      </c>
      <c r="QJ44">
        <v>20</v>
      </c>
      <c r="QL44">
        <f t="shared" si="2"/>
        <v>0.37900000000000045</v>
      </c>
    </row>
    <row r="45" spans="1:454">
      <c r="A45" t="s">
        <v>65</v>
      </c>
      <c r="B45">
        <v>5.9059999999999997</v>
      </c>
      <c r="C45">
        <v>1.125</v>
      </c>
      <c r="D45">
        <v>3.706</v>
      </c>
      <c r="E45">
        <v>5.117</v>
      </c>
      <c r="F45">
        <v>5.8730000000000002</v>
      </c>
      <c r="G45">
        <v>6.7409999999999997</v>
      </c>
      <c r="H45">
        <v>8.1270000000000007</v>
      </c>
      <c r="I45">
        <v>1.2689999999999999</v>
      </c>
      <c r="J45">
        <v>12</v>
      </c>
      <c r="O45" t="s">
        <v>65</v>
      </c>
      <c r="P45">
        <v>2.0390000000000001</v>
      </c>
      <c r="Q45">
        <v>1.599</v>
      </c>
      <c r="R45">
        <v>5.6000000000000001E-2</v>
      </c>
      <c r="S45">
        <v>0.72299999999999998</v>
      </c>
      <c r="T45">
        <v>1.657</v>
      </c>
      <c r="U45">
        <v>3.0619999999999998</v>
      </c>
      <c r="V45">
        <v>5.7409999999999997</v>
      </c>
      <c r="W45">
        <v>1.018</v>
      </c>
      <c r="X45">
        <v>130</v>
      </c>
      <c r="AC45" t="s">
        <v>65</v>
      </c>
      <c r="AD45">
        <v>6.1210000000000004</v>
      </c>
      <c r="AE45">
        <v>0.65500000000000003</v>
      </c>
      <c r="AF45">
        <v>4.7779999999999996</v>
      </c>
      <c r="AG45">
        <v>5.6879999999999997</v>
      </c>
      <c r="AH45">
        <v>6.1459999999999999</v>
      </c>
      <c r="AI45">
        <v>6.6029999999999998</v>
      </c>
      <c r="AJ45">
        <v>7.2309999999999999</v>
      </c>
      <c r="AK45">
        <v>1.0009999999999999</v>
      </c>
      <c r="AL45">
        <v>3000</v>
      </c>
      <c r="AQ45" t="s">
        <v>65</v>
      </c>
      <c r="AR45">
        <v>6.0979999999999999</v>
      </c>
      <c r="AS45">
        <v>0.64300000000000002</v>
      </c>
      <c r="AT45">
        <v>4.7380000000000004</v>
      </c>
      <c r="AU45">
        <v>5.6749999999999998</v>
      </c>
      <c r="AV45">
        <v>6.1230000000000002</v>
      </c>
      <c r="AW45">
        <v>6.5730000000000004</v>
      </c>
      <c r="AX45">
        <v>7.2359999999999998</v>
      </c>
      <c r="AY45">
        <v>1.0009999999999999</v>
      </c>
      <c r="AZ45">
        <v>3000</v>
      </c>
      <c r="BE45" t="s">
        <v>65</v>
      </c>
      <c r="BF45">
        <v>6.3890000000000002</v>
      </c>
      <c r="BG45">
        <v>0.54300000000000004</v>
      </c>
      <c r="BH45">
        <v>5.26</v>
      </c>
      <c r="BI45">
        <v>6.0129999999999999</v>
      </c>
      <c r="BJ45">
        <v>6.4210000000000003</v>
      </c>
      <c r="BK45">
        <v>6.7960000000000003</v>
      </c>
      <c r="BL45">
        <v>7.3079999999999998</v>
      </c>
      <c r="BM45">
        <v>1.0009999999999999</v>
      </c>
      <c r="BN45">
        <v>3000</v>
      </c>
      <c r="BS45" t="s">
        <v>65</v>
      </c>
      <c r="BT45">
        <v>6.1260000000000003</v>
      </c>
      <c r="BU45">
        <v>0.63900000000000001</v>
      </c>
      <c r="BV45">
        <v>4.8010000000000002</v>
      </c>
      <c r="BW45">
        <v>5.681</v>
      </c>
      <c r="BX45">
        <v>6.1589999999999998</v>
      </c>
      <c r="BY45">
        <v>6.601</v>
      </c>
      <c r="BZ45">
        <v>7.2450000000000001</v>
      </c>
      <c r="CA45">
        <v>1.002</v>
      </c>
      <c r="CB45">
        <v>3000</v>
      </c>
      <c r="CG45" t="s">
        <v>65</v>
      </c>
      <c r="CH45">
        <v>6.4249999999999998</v>
      </c>
      <c r="CI45">
        <v>0.55000000000000004</v>
      </c>
      <c r="CJ45">
        <v>5.2759999999999998</v>
      </c>
      <c r="CK45">
        <v>6.0519999999999996</v>
      </c>
      <c r="CL45">
        <v>6.4649999999999999</v>
      </c>
      <c r="CM45">
        <v>6.8529999999999998</v>
      </c>
      <c r="CN45">
        <v>7.3019999999999996</v>
      </c>
      <c r="CO45">
        <v>1.0009999999999999</v>
      </c>
      <c r="CP45">
        <v>3000</v>
      </c>
      <c r="CU45" t="s">
        <v>65</v>
      </c>
      <c r="CV45">
        <v>6.1390000000000002</v>
      </c>
      <c r="CW45">
        <v>0.60099999999999998</v>
      </c>
      <c r="CX45">
        <v>4.8849999999999998</v>
      </c>
      <c r="CY45">
        <v>5.7480000000000002</v>
      </c>
      <c r="CZ45">
        <v>6.1680000000000001</v>
      </c>
      <c r="DA45">
        <v>6.5620000000000003</v>
      </c>
      <c r="DB45">
        <v>7.2249999999999996</v>
      </c>
      <c r="DC45">
        <v>1.008</v>
      </c>
      <c r="DD45">
        <v>290</v>
      </c>
      <c r="DI45" t="s">
        <v>65</v>
      </c>
      <c r="DJ45">
        <v>6.12</v>
      </c>
      <c r="DK45">
        <v>0.66700000000000004</v>
      </c>
      <c r="DL45">
        <v>4.7619999999999996</v>
      </c>
      <c r="DM45">
        <v>5.6539999999999999</v>
      </c>
      <c r="DN45">
        <v>6.1529999999999996</v>
      </c>
      <c r="DO45">
        <v>6.6139999999999999</v>
      </c>
      <c r="DP45">
        <v>7.2690000000000001</v>
      </c>
      <c r="DQ45">
        <v>1.0009999999999999</v>
      </c>
      <c r="DR45">
        <v>3000</v>
      </c>
      <c r="DY45" t="s">
        <v>65</v>
      </c>
      <c r="DZ45">
        <v>6.133</v>
      </c>
      <c r="EA45">
        <v>0.63900000000000001</v>
      </c>
      <c r="EB45">
        <v>4.7949999999999999</v>
      </c>
      <c r="EC45">
        <v>5.7069999999999999</v>
      </c>
      <c r="ED45">
        <v>6.1580000000000004</v>
      </c>
      <c r="EE45">
        <v>6.6029999999999998</v>
      </c>
      <c r="EF45">
        <v>7.2560000000000002</v>
      </c>
      <c r="EG45">
        <v>1.002</v>
      </c>
      <c r="EH45">
        <v>2000</v>
      </c>
      <c r="EK45" t="s">
        <v>65</v>
      </c>
      <c r="EL45">
        <v>5.6180000000000003</v>
      </c>
      <c r="EM45">
        <v>0.6</v>
      </c>
      <c r="EN45">
        <v>4.4320000000000004</v>
      </c>
      <c r="EO45">
        <v>5.2140000000000004</v>
      </c>
      <c r="EP45">
        <v>5.5979999999999999</v>
      </c>
      <c r="EQ45">
        <v>6.0289999999999999</v>
      </c>
      <c r="ER45">
        <v>6.8479999999999999</v>
      </c>
      <c r="ES45">
        <v>1</v>
      </c>
      <c r="ET45">
        <v>1500</v>
      </c>
      <c r="EY45" t="s">
        <v>65</v>
      </c>
      <c r="EZ45">
        <v>5.7910000000000004</v>
      </c>
      <c r="FA45">
        <v>0.70499999999999996</v>
      </c>
      <c r="FB45">
        <v>4.4180000000000001</v>
      </c>
      <c r="FC45">
        <v>5.3109999999999999</v>
      </c>
      <c r="FD45">
        <v>5.7859999999999996</v>
      </c>
      <c r="FE45">
        <v>6.2750000000000004</v>
      </c>
      <c r="FF45">
        <v>7.1559999999999997</v>
      </c>
      <c r="FG45">
        <v>1.0009999999999999</v>
      </c>
      <c r="FH45">
        <v>3000</v>
      </c>
      <c r="GA45" t="s">
        <v>65</v>
      </c>
      <c r="GB45">
        <v>6.6340000000000003</v>
      </c>
      <c r="GC45">
        <v>0.44700000000000001</v>
      </c>
      <c r="GD45">
        <v>5.6849999999999996</v>
      </c>
      <c r="GE45">
        <v>6.3280000000000003</v>
      </c>
      <c r="GF45">
        <v>6.67</v>
      </c>
      <c r="GG45">
        <v>6.992</v>
      </c>
      <c r="GH45">
        <v>7.335</v>
      </c>
      <c r="GI45">
        <v>1.002</v>
      </c>
      <c r="GJ45">
        <v>1900</v>
      </c>
      <c r="GO45" t="s">
        <v>65</v>
      </c>
      <c r="GP45">
        <v>5.8239999999999998</v>
      </c>
      <c r="GQ45">
        <v>0.68100000000000005</v>
      </c>
      <c r="GR45">
        <v>4.5330000000000004</v>
      </c>
      <c r="GS45">
        <v>5.3360000000000003</v>
      </c>
      <c r="GT45">
        <v>5.8250000000000002</v>
      </c>
      <c r="GU45">
        <v>6.3090000000000002</v>
      </c>
      <c r="GV45">
        <v>7.1269999999999998</v>
      </c>
      <c r="GW45">
        <v>1.0009999999999999</v>
      </c>
      <c r="GX45">
        <v>3000</v>
      </c>
      <c r="HC45" t="s">
        <v>65</v>
      </c>
      <c r="HD45">
        <v>5.7759999999999998</v>
      </c>
      <c r="HE45">
        <v>0.70399999999999996</v>
      </c>
      <c r="HF45">
        <v>4.3479999999999999</v>
      </c>
      <c r="HG45">
        <v>5.298</v>
      </c>
      <c r="HH45">
        <v>5.7869999999999999</v>
      </c>
      <c r="HI45">
        <v>6.2709999999999999</v>
      </c>
      <c r="HJ45">
        <v>7.0919999999999996</v>
      </c>
      <c r="HK45">
        <v>1.0009999999999999</v>
      </c>
      <c r="HL45">
        <v>3000</v>
      </c>
      <c r="HP45" s="7"/>
      <c r="HQ45" s="7" t="s">
        <v>65</v>
      </c>
      <c r="HR45" s="7">
        <v>6.1020000000000003</v>
      </c>
      <c r="HS45" s="7">
        <v>0.58499999999999996</v>
      </c>
      <c r="HT45" s="7">
        <v>4.9039999999999999</v>
      </c>
      <c r="HU45" s="7">
        <v>5.7119999999999997</v>
      </c>
      <c r="HV45" s="7">
        <v>6.0990000000000002</v>
      </c>
      <c r="HW45" s="7">
        <v>6.5119999999999996</v>
      </c>
      <c r="HX45" s="7">
        <v>7.226</v>
      </c>
      <c r="HY45" s="7">
        <v>1.0009999999999999</v>
      </c>
      <c r="HZ45" s="7">
        <v>2100</v>
      </c>
      <c r="IA45" s="7"/>
      <c r="IE45" t="s">
        <v>65</v>
      </c>
      <c r="IF45">
        <v>6.4459999999999997</v>
      </c>
      <c r="IG45">
        <v>0.42399999999999999</v>
      </c>
      <c r="IH45">
        <v>5.6349999999999998</v>
      </c>
      <c r="II45">
        <v>6.141</v>
      </c>
      <c r="IJ45">
        <v>6.4470000000000001</v>
      </c>
      <c r="IK45">
        <v>6.7510000000000003</v>
      </c>
      <c r="IL45">
        <v>7.2380000000000004</v>
      </c>
      <c r="IM45">
        <v>1.0009999999999999</v>
      </c>
      <c r="IN45">
        <v>3000</v>
      </c>
      <c r="IS45" t="s">
        <v>65</v>
      </c>
      <c r="IT45">
        <v>6.5019999999999998</v>
      </c>
      <c r="IU45">
        <v>0.434</v>
      </c>
      <c r="IV45">
        <v>5.6529999999999996</v>
      </c>
      <c r="IW45">
        <v>6.1840000000000002</v>
      </c>
      <c r="IX45">
        <v>6.508</v>
      </c>
      <c r="IY45">
        <v>6.83</v>
      </c>
      <c r="IZ45">
        <v>7.2729999999999997</v>
      </c>
      <c r="JA45">
        <v>1.0009999999999999</v>
      </c>
      <c r="JB45">
        <v>3000</v>
      </c>
      <c r="JF45" t="s">
        <v>65</v>
      </c>
      <c r="JG45">
        <v>6.16</v>
      </c>
      <c r="JH45">
        <v>0.56299999999999994</v>
      </c>
      <c r="JI45">
        <v>5.0510000000000002</v>
      </c>
      <c r="JJ45">
        <v>5.7690000000000001</v>
      </c>
      <c r="JK45">
        <v>6.1719999999999997</v>
      </c>
      <c r="JL45">
        <v>6.56</v>
      </c>
      <c r="JM45">
        <v>7.2030000000000003</v>
      </c>
      <c r="JN45">
        <v>1.0009999999999999</v>
      </c>
      <c r="JO45">
        <v>3000</v>
      </c>
      <c r="JT45" t="s">
        <v>65</v>
      </c>
      <c r="JU45">
        <v>6.133</v>
      </c>
      <c r="JV45">
        <v>0.57599999999999996</v>
      </c>
      <c r="JW45">
        <v>5.0030000000000001</v>
      </c>
      <c r="JX45">
        <v>5.7460000000000004</v>
      </c>
      <c r="JY45">
        <v>6.1310000000000002</v>
      </c>
      <c r="JZ45">
        <v>6.5460000000000003</v>
      </c>
      <c r="KA45">
        <v>7.2169999999999996</v>
      </c>
      <c r="KB45">
        <v>1.0009999999999999</v>
      </c>
      <c r="KC45">
        <v>3000</v>
      </c>
      <c r="KH45" t="s">
        <v>65</v>
      </c>
      <c r="KI45">
        <v>6.1529999999999996</v>
      </c>
      <c r="KJ45">
        <v>0.57099999999999995</v>
      </c>
      <c r="KK45">
        <v>5.01</v>
      </c>
      <c r="KL45">
        <v>5.7690000000000001</v>
      </c>
      <c r="KM45">
        <v>6.1529999999999996</v>
      </c>
      <c r="KN45">
        <v>6.56</v>
      </c>
      <c r="KO45">
        <v>7.2069999999999999</v>
      </c>
      <c r="KP45">
        <v>1.002</v>
      </c>
      <c r="KQ45">
        <v>1200</v>
      </c>
      <c r="KR45">
        <f t="shared" si="0"/>
        <v>470.12565028181552</v>
      </c>
      <c r="KV45" t="s">
        <v>65</v>
      </c>
      <c r="KW45">
        <v>6.2679999999999998</v>
      </c>
      <c r="KX45">
        <v>0.23799999999999999</v>
      </c>
      <c r="KY45">
        <v>5.7759999999999998</v>
      </c>
      <c r="KZ45">
        <v>6.1109999999999998</v>
      </c>
      <c r="LA45">
        <v>6.2750000000000004</v>
      </c>
      <c r="LB45">
        <v>6.4210000000000003</v>
      </c>
      <c r="LC45">
        <v>6.7229999999999999</v>
      </c>
      <c r="LD45">
        <v>1.0029999999999999</v>
      </c>
      <c r="LE45">
        <v>680</v>
      </c>
      <c r="LJ45" t="s">
        <v>65</v>
      </c>
      <c r="LK45">
        <v>2.2490000000000001</v>
      </c>
      <c r="LL45">
        <v>0.89900000000000002</v>
      </c>
      <c r="LM45">
        <v>0.20799999999999999</v>
      </c>
      <c r="LN45">
        <v>1.7110000000000001</v>
      </c>
      <c r="LO45">
        <v>2.3319999999999999</v>
      </c>
      <c r="LP45">
        <v>2.891</v>
      </c>
      <c r="LQ45">
        <v>3.742</v>
      </c>
      <c r="LR45">
        <v>1.0029999999999999</v>
      </c>
      <c r="LS45">
        <v>1800</v>
      </c>
      <c r="LX45" t="s">
        <v>65</v>
      </c>
      <c r="LY45">
        <v>1.633</v>
      </c>
      <c r="LZ45">
        <v>1.1000000000000001</v>
      </c>
      <c r="MA45">
        <v>-0.79</v>
      </c>
      <c r="MB45">
        <v>0.93400000000000005</v>
      </c>
      <c r="MC45">
        <v>1.746</v>
      </c>
      <c r="MD45">
        <v>2.415</v>
      </c>
      <c r="ME45">
        <v>3.5110000000000001</v>
      </c>
      <c r="MF45">
        <v>1.1599999999999999</v>
      </c>
      <c r="MG45">
        <v>18</v>
      </c>
      <c r="ML45" t="s">
        <v>65</v>
      </c>
      <c r="MM45">
        <v>6.5129999999999999</v>
      </c>
      <c r="MN45">
        <v>0.22800000000000001</v>
      </c>
      <c r="MO45">
        <v>6.0460000000000003</v>
      </c>
      <c r="MP45">
        <v>6.3650000000000002</v>
      </c>
      <c r="MQ45">
        <v>6.52</v>
      </c>
      <c r="MR45">
        <v>6.6680000000000001</v>
      </c>
      <c r="MS45">
        <v>6.944</v>
      </c>
      <c r="MT45">
        <v>1.0009999999999999</v>
      </c>
      <c r="MU45">
        <v>24000</v>
      </c>
      <c r="MZ45" t="s">
        <v>65</v>
      </c>
      <c r="NA45">
        <v>6.5110000000000001</v>
      </c>
      <c r="NB45">
        <v>0.216</v>
      </c>
      <c r="NC45">
        <v>6.06</v>
      </c>
      <c r="ND45">
        <v>6.3689999999999998</v>
      </c>
      <c r="NE45">
        <v>6.5190000000000001</v>
      </c>
      <c r="NF45">
        <v>6.6539999999999999</v>
      </c>
      <c r="NG45">
        <v>6.9139999999999997</v>
      </c>
      <c r="NH45">
        <v>1.004</v>
      </c>
      <c r="NI45">
        <v>660</v>
      </c>
      <c r="NM45" t="s">
        <v>65</v>
      </c>
      <c r="NN45">
        <v>7.1219999999999999</v>
      </c>
      <c r="NO45">
        <v>0.15</v>
      </c>
      <c r="NP45">
        <v>6.7990000000000004</v>
      </c>
      <c r="NQ45">
        <v>7.0229999999999997</v>
      </c>
      <c r="NR45">
        <v>7.1379999999999999</v>
      </c>
      <c r="NS45">
        <v>7.2320000000000002</v>
      </c>
      <c r="NT45">
        <v>7.3730000000000002</v>
      </c>
      <c r="NU45">
        <v>1.0009999999999999</v>
      </c>
      <c r="NV45">
        <v>30000</v>
      </c>
      <c r="NY45" t="s">
        <v>65</v>
      </c>
      <c r="NZ45">
        <v>7.1</v>
      </c>
      <c r="OA45">
        <v>0.159</v>
      </c>
      <c r="OB45">
        <v>6.7569999999999997</v>
      </c>
      <c r="OC45">
        <v>6.9960000000000004</v>
      </c>
      <c r="OD45">
        <v>7.117</v>
      </c>
      <c r="OE45">
        <v>7.2190000000000003</v>
      </c>
      <c r="OF45">
        <v>7.3630000000000004</v>
      </c>
      <c r="OG45">
        <v>1.0009999999999999</v>
      </c>
      <c r="OH45">
        <v>19000</v>
      </c>
      <c r="OP45" t="s">
        <v>65</v>
      </c>
      <c r="OQ45">
        <v>7.1159999999999997</v>
      </c>
      <c r="OR45">
        <v>0.161</v>
      </c>
      <c r="OS45">
        <v>6.7640000000000002</v>
      </c>
      <c r="OT45">
        <v>7.0129999999999999</v>
      </c>
      <c r="OU45">
        <v>7.133</v>
      </c>
      <c r="OV45">
        <v>7.2370000000000001</v>
      </c>
      <c r="OW45">
        <v>7.38</v>
      </c>
      <c r="OX45">
        <v>1.002</v>
      </c>
      <c r="OY45">
        <v>1400</v>
      </c>
      <c r="PB45" t="s">
        <v>65</v>
      </c>
      <c r="PC45">
        <v>7.1369999999999996</v>
      </c>
      <c r="PD45">
        <v>0.14499999999999999</v>
      </c>
      <c r="PE45">
        <v>6.8280000000000003</v>
      </c>
      <c r="PF45">
        <v>7.0439999999999996</v>
      </c>
      <c r="PG45">
        <v>7.1509999999999998</v>
      </c>
      <c r="PH45">
        <v>7.2450000000000001</v>
      </c>
      <c r="PI45">
        <v>7.3819999999999997</v>
      </c>
      <c r="PJ45">
        <v>1.002</v>
      </c>
      <c r="PK45">
        <v>1200</v>
      </c>
      <c r="PN45" t="s">
        <v>65</v>
      </c>
      <c r="PO45">
        <v>7.17</v>
      </c>
      <c r="PP45">
        <v>0.13300000000000001</v>
      </c>
      <c r="PQ45">
        <v>6.8719999999999999</v>
      </c>
      <c r="PR45">
        <v>7.0860000000000003</v>
      </c>
      <c r="PS45">
        <v>7.1920000000000002</v>
      </c>
      <c r="PT45">
        <v>7.2750000000000004</v>
      </c>
      <c r="PU45">
        <v>7.3609999999999998</v>
      </c>
      <c r="PV45">
        <v>1.0009999999999999</v>
      </c>
      <c r="PW45">
        <v>3000</v>
      </c>
      <c r="QA45" t="s">
        <v>65</v>
      </c>
      <c r="QB45">
        <v>6.7869999999999999</v>
      </c>
      <c r="QC45">
        <v>9.7000000000000003E-2</v>
      </c>
      <c r="QD45">
        <v>6.601</v>
      </c>
      <c r="QE45">
        <v>6.7169999999999996</v>
      </c>
      <c r="QF45">
        <v>6.79</v>
      </c>
      <c r="QG45">
        <v>6.8609999999999998</v>
      </c>
      <c r="QH45">
        <v>6.9509999999999996</v>
      </c>
      <c r="QI45">
        <v>1.127</v>
      </c>
      <c r="QJ45">
        <v>21</v>
      </c>
      <c r="QL45">
        <f t="shared" si="2"/>
        <v>0.38300000000000001</v>
      </c>
    </row>
    <row r="46" spans="1:454">
      <c r="A46" t="s">
        <v>66</v>
      </c>
      <c r="B46">
        <v>6.5090000000000003</v>
      </c>
      <c r="C46">
        <v>1.1399999999999999</v>
      </c>
      <c r="D46">
        <v>4.2729999999999997</v>
      </c>
      <c r="E46">
        <v>5.766</v>
      </c>
      <c r="F46">
        <v>6.5469999999999997</v>
      </c>
      <c r="G46">
        <v>7.2409999999999997</v>
      </c>
      <c r="H46">
        <v>8.8409999999999993</v>
      </c>
      <c r="I46">
        <v>1.1259999999999999</v>
      </c>
      <c r="J46">
        <v>23</v>
      </c>
      <c r="O46" t="s">
        <v>66</v>
      </c>
      <c r="P46">
        <v>6.8150000000000004</v>
      </c>
      <c r="Q46">
        <v>0.65600000000000003</v>
      </c>
      <c r="R46">
        <v>4.97</v>
      </c>
      <c r="S46">
        <v>6.5860000000000003</v>
      </c>
      <c r="T46">
        <v>7.0579999999999998</v>
      </c>
      <c r="U46">
        <v>7.2759999999999998</v>
      </c>
      <c r="V46">
        <v>7.3719999999999999</v>
      </c>
      <c r="W46">
        <v>1.0049999999999999</v>
      </c>
      <c r="X46">
        <v>540</v>
      </c>
      <c r="AC46" t="s">
        <v>66</v>
      </c>
      <c r="AD46">
        <v>7.077</v>
      </c>
      <c r="AE46">
        <v>0.317</v>
      </c>
      <c r="AF46">
        <v>6.2270000000000003</v>
      </c>
      <c r="AG46">
        <v>6.9539999999999997</v>
      </c>
      <c r="AH46">
        <v>7.1820000000000004</v>
      </c>
      <c r="AI46">
        <v>7.3049999999999997</v>
      </c>
      <c r="AJ46">
        <v>7.3780000000000001</v>
      </c>
      <c r="AK46">
        <v>1.002</v>
      </c>
      <c r="AL46">
        <v>1900</v>
      </c>
      <c r="AQ46" t="s">
        <v>66</v>
      </c>
      <c r="AR46">
        <v>7.0789999999999997</v>
      </c>
      <c r="AS46">
        <v>0.311</v>
      </c>
      <c r="AT46">
        <v>6.1909999999999998</v>
      </c>
      <c r="AU46">
        <v>6.9619999999999997</v>
      </c>
      <c r="AV46">
        <v>7.1779999999999999</v>
      </c>
      <c r="AW46">
        <v>7.298</v>
      </c>
      <c r="AX46">
        <v>7.3719999999999999</v>
      </c>
      <c r="AY46">
        <v>1.0009999999999999</v>
      </c>
      <c r="AZ46">
        <v>3000</v>
      </c>
      <c r="BE46" t="s">
        <v>66</v>
      </c>
      <c r="BF46">
        <v>7.0960000000000001</v>
      </c>
      <c r="BG46">
        <v>0.27600000000000002</v>
      </c>
      <c r="BH46">
        <v>6.3490000000000002</v>
      </c>
      <c r="BI46">
        <v>6.9870000000000001</v>
      </c>
      <c r="BJ46">
        <v>7.18</v>
      </c>
      <c r="BK46">
        <v>7.2969999999999997</v>
      </c>
      <c r="BL46">
        <v>7.3730000000000002</v>
      </c>
      <c r="BM46">
        <v>1.012</v>
      </c>
      <c r="BN46">
        <v>260</v>
      </c>
      <c r="BS46" t="s">
        <v>66</v>
      </c>
      <c r="BT46">
        <v>7.0880000000000001</v>
      </c>
      <c r="BU46">
        <v>0.29699999999999999</v>
      </c>
      <c r="BV46">
        <v>6.2939999999999996</v>
      </c>
      <c r="BW46">
        <v>6.9770000000000003</v>
      </c>
      <c r="BX46">
        <v>7.1829999999999998</v>
      </c>
      <c r="BY46">
        <v>7.298</v>
      </c>
      <c r="BZ46">
        <v>7.3730000000000002</v>
      </c>
      <c r="CA46">
        <v>1.0049999999999999</v>
      </c>
      <c r="CB46">
        <v>1800</v>
      </c>
      <c r="CG46" t="s">
        <v>66</v>
      </c>
      <c r="CH46">
        <v>7.0990000000000002</v>
      </c>
      <c r="CI46">
        <v>0.27300000000000002</v>
      </c>
      <c r="CJ46">
        <v>6.3819999999999997</v>
      </c>
      <c r="CK46">
        <v>6.9870000000000001</v>
      </c>
      <c r="CL46">
        <v>7.1760000000000002</v>
      </c>
      <c r="CM46">
        <v>7.2969999999999997</v>
      </c>
      <c r="CN46">
        <v>7.3730000000000002</v>
      </c>
      <c r="CO46">
        <v>1.0029999999999999</v>
      </c>
      <c r="CP46">
        <v>870</v>
      </c>
      <c r="CU46" t="s">
        <v>66</v>
      </c>
      <c r="CV46">
        <v>7.1769999999999996</v>
      </c>
      <c r="CW46">
        <v>0.253</v>
      </c>
      <c r="CX46">
        <v>6.4989999999999997</v>
      </c>
      <c r="CY46">
        <v>7.1040000000000001</v>
      </c>
      <c r="CZ46">
        <v>7.2640000000000002</v>
      </c>
      <c r="DA46">
        <v>7.3479999999999999</v>
      </c>
      <c r="DB46">
        <v>7.38</v>
      </c>
      <c r="DC46">
        <v>1.012</v>
      </c>
      <c r="DD46">
        <v>300</v>
      </c>
      <c r="DI46" t="s">
        <v>66</v>
      </c>
      <c r="DJ46">
        <v>7.0759999999999996</v>
      </c>
      <c r="DK46">
        <v>0.32700000000000001</v>
      </c>
      <c r="DL46">
        <v>6.1639999999999997</v>
      </c>
      <c r="DM46">
        <v>6.9619999999999997</v>
      </c>
      <c r="DN46">
        <v>7.1849999999999996</v>
      </c>
      <c r="DO46">
        <v>7.3070000000000004</v>
      </c>
      <c r="DP46">
        <v>7.3739999999999997</v>
      </c>
      <c r="DQ46">
        <v>1.0009999999999999</v>
      </c>
      <c r="DR46">
        <v>3000</v>
      </c>
      <c r="DY46" t="s">
        <v>66</v>
      </c>
      <c r="DZ46">
        <v>7.0789999999999997</v>
      </c>
      <c r="EA46">
        <v>0.315</v>
      </c>
      <c r="EB46">
        <v>6.2190000000000003</v>
      </c>
      <c r="EC46">
        <v>6.952</v>
      </c>
      <c r="ED46">
        <v>7.1829999999999998</v>
      </c>
      <c r="EE46">
        <v>7.306</v>
      </c>
      <c r="EF46">
        <v>7.3739999999999997</v>
      </c>
      <c r="EG46">
        <v>1.0049999999999999</v>
      </c>
      <c r="EH46">
        <v>600</v>
      </c>
      <c r="EK46" t="s">
        <v>66</v>
      </c>
      <c r="EL46">
        <v>6.8220000000000001</v>
      </c>
      <c r="EM46">
        <v>0.48599999999999999</v>
      </c>
      <c r="EN46">
        <v>5.6070000000000002</v>
      </c>
      <c r="EO46">
        <v>6.5709999999999997</v>
      </c>
      <c r="EP46">
        <v>6.9649999999999999</v>
      </c>
      <c r="EQ46">
        <v>7.1929999999999996</v>
      </c>
      <c r="ER46">
        <v>7.3609999999999998</v>
      </c>
      <c r="ES46">
        <v>1.004</v>
      </c>
      <c r="ET46">
        <v>1500</v>
      </c>
      <c r="EY46" t="s">
        <v>66</v>
      </c>
      <c r="EZ46">
        <v>7.01</v>
      </c>
      <c r="FA46">
        <v>0.36</v>
      </c>
      <c r="FB46">
        <v>6.0540000000000003</v>
      </c>
      <c r="FC46">
        <v>6.8490000000000002</v>
      </c>
      <c r="FD46">
        <v>7.1159999999999997</v>
      </c>
      <c r="FE46">
        <v>7.2750000000000004</v>
      </c>
      <c r="FF46">
        <v>7.3710000000000004</v>
      </c>
      <c r="FG46">
        <v>1.0009999999999999</v>
      </c>
      <c r="FH46">
        <v>3000</v>
      </c>
      <c r="GA46" t="s">
        <v>66</v>
      </c>
      <c r="GB46">
        <v>7.0410000000000004</v>
      </c>
      <c r="GC46">
        <v>0.27700000000000002</v>
      </c>
      <c r="GD46">
        <v>6.3550000000000004</v>
      </c>
      <c r="GE46">
        <v>6.9050000000000002</v>
      </c>
      <c r="GF46">
        <v>7.1040000000000001</v>
      </c>
      <c r="GG46">
        <v>7.2590000000000003</v>
      </c>
      <c r="GH46">
        <v>7.367</v>
      </c>
      <c r="GI46">
        <v>1.0009999999999999</v>
      </c>
      <c r="GJ46">
        <v>3000</v>
      </c>
      <c r="GO46" t="s">
        <v>66</v>
      </c>
      <c r="GP46">
        <v>7.03</v>
      </c>
      <c r="GQ46">
        <v>0.34599999999999997</v>
      </c>
      <c r="GR46">
        <v>6.0990000000000002</v>
      </c>
      <c r="GS46">
        <v>6.8920000000000003</v>
      </c>
      <c r="GT46">
        <v>7.1379999999999999</v>
      </c>
      <c r="GU46">
        <v>7.28</v>
      </c>
      <c r="GV46">
        <v>7.3719999999999999</v>
      </c>
      <c r="GW46">
        <v>1.0029999999999999</v>
      </c>
      <c r="GX46">
        <v>1200</v>
      </c>
      <c r="HC46" t="s">
        <v>66</v>
      </c>
      <c r="HD46">
        <v>7.0359999999999996</v>
      </c>
      <c r="HE46">
        <v>0.34599999999999997</v>
      </c>
      <c r="HF46">
        <v>6.0750000000000002</v>
      </c>
      <c r="HG46">
        <v>6.9029999999999996</v>
      </c>
      <c r="HH46">
        <v>7.1459999999999999</v>
      </c>
      <c r="HI46">
        <v>7.2850000000000001</v>
      </c>
      <c r="HJ46">
        <v>7.3719999999999999</v>
      </c>
      <c r="HK46">
        <v>1.0009999999999999</v>
      </c>
      <c r="HL46">
        <v>3000</v>
      </c>
      <c r="HP46" s="7"/>
      <c r="HQ46" s="7" t="s">
        <v>66</v>
      </c>
      <c r="HR46" s="7">
        <v>7.0830000000000002</v>
      </c>
      <c r="HS46" s="7">
        <v>0.29199999999999998</v>
      </c>
      <c r="HT46" s="7">
        <v>6.2910000000000004</v>
      </c>
      <c r="HU46" s="7">
        <v>6.9649999999999999</v>
      </c>
      <c r="HV46" s="7">
        <v>7.1740000000000004</v>
      </c>
      <c r="HW46" s="7">
        <v>7.2939999999999996</v>
      </c>
      <c r="HX46" s="7">
        <v>7.3719999999999999</v>
      </c>
      <c r="HY46" s="7">
        <v>1.002</v>
      </c>
      <c r="HZ46" s="7">
        <v>1300</v>
      </c>
      <c r="IA46" s="7"/>
      <c r="IE46" t="s">
        <v>66</v>
      </c>
      <c r="IF46">
        <v>7.1820000000000004</v>
      </c>
      <c r="IG46">
        <v>0.187</v>
      </c>
      <c r="IH46">
        <v>6.6890000000000001</v>
      </c>
      <c r="II46">
        <v>7.1059999999999999</v>
      </c>
      <c r="IJ46">
        <v>7.2380000000000004</v>
      </c>
      <c r="IK46">
        <v>7.3179999999999996</v>
      </c>
      <c r="IL46">
        <v>7.3739999999999997</v>
      </c>
      <c r="IM46">
        <v>1.0049999999999999</v>
      </c>
      <c r="IN46">
        <v>1200</v>
      </c>
      <c r="IS46" t="s">
        <v>66</v>
      </c>
      <c r="IT46">
        <v>7.18</v>
      </c>
      <c r="IU46">
        <v>0.189</v>
      </c>
      <c r="IV46">
        <v>6.6589999999999998</v>
      </c>
      <c r="IW46">
        <v>7.0949999999999998</v>
      </c>
      <c r="IX46">
        <v>7.2350000000000003</v>
      </c>
      <c r="IY46">
        <v>7.32</v>
      </c>
      <c r="IZ46">
        <v>7.375</v>
      </c>
      <c r="JA46">
        <v>1.002</v>
      </c>
      <c r="JB46">
        <v>1900</v>
      </c>
      <c r="JF46" t="s">
        <v>66</v>
      </c>
      <c r="JG46">
        <v>7.101</v>
      </c>
      <c r="JH46">
        <v>0.28199999999999997</v>
      </c>
      <c r="JI46">
        <v>6.3280000000000003</v>
      </c>
      <c r="JJ46">
        <v>6.9939999999999998</v>
      </c>
      <c r="JK46">
        <v>7.19</v>
      </c>
      <c r="JL46">
        <v>7.2990000000000004</v>
      </c>
      <c r="JM46">
        <v>7.3739999999999997</v>
      </c>
      <c r="JN46">
        <v>1.0009999999999999</v>
      </c>
      <c r="JO46">
        <v>3000</v>
      </c>
      <c r="JT46" t="s">
        <v>66</v>
      </c>
      <c r="JU46">
        <v>7.1050000000000004</v>
      </c>
      <c r="JV46">
        <v>0.26100000000000001</v>
      </c>
      <c r="JW46">
        <v>6.4130000000000003</v>
      </c>
      <c r="JX46">
        <v>6.9960000000000004</v>
      </c>
      <c r="JY46">
        <v>7.1829999999999998</v>
      </c>
      <c r="JZ46">
        <v>7.2960000000000003</v>
      </c>
      <c r="KA46">
        <v>7.3730000000000002</v>
      </c>
      <c r="KB46">
        <v>1.0009999999999999</v>
      </c>
      <c r="KC46">
        <v>3000</v>
      </c>
      <c r="KH46" t="s">
        <v>66</v>
      </c>
      <c r="KI46">
        <v>7.0869999999999997</v>
      </c>
      <c r="KJ46">
        <v>0.28199999999999997</v>
      </c>
      <c r="KK46">
        <v>6.3239999999999998</v>
      </c>
      <c r="KL46">
        <v>6.9779999999999998</v>
      </c>
      <c r="KM46">
        <v>7.1710000000000003</v>
      </c>
      <c r="KN46">
        <v>7.2939999999999996</v>
      </c>
      <c r="KO46">
        <v>7.3719999999999999</v>
      </c>
      <c r="KP46">
        <v>1.0009999999999999</v>
      </c>
      <c r="KQ46">
        <v>3000</v>
      </c>
      <c r="KR46">
        <f t="shared" si="0"/>
        <v>1196.3134713985733</v>
      </c>
      <c r="KV46" t="s">
        <v>66</v>
      </c>
      <c r="KW46">
        <v>10.635999999999999</v>
      </c>
      <c r="KX46">
        <v>0.752</v>
      </c>
      <c r="KY46">
        <v>9.1690000000000005</v>
      </c>
      <c r="KZ46">
        <v>10.125</v>
      </c>
      <c r="LA46">
        <v>10.651999999999999</v>
      </c>
      <c r="LB46">
        <v>11.127000000000001</v>
      </c>
      <c r="LC46">
        <v>12.125</v>
      </c>
      <c r="LD46">
        <v>1.0029999999999999</v>
      </c>
      <c r="LE46">
        <v>930</v>
      </c>
      <c r="LJ46" t="s">
        <v>66</v>
      </c>
      <c r="LK46">
        <v>2.9470000000000001</v>
      </c>
      <c r="LL46">
        <v>1.708</v>
      </c>
      <c r="LM46">
        <v>-0.81899999999999995</v>
      </c>
      <c r="LN46">
        <v>1.917</v>
      </c>
      <c r="LO46">
        <v>3.0990000000000002</v>
      </c>
      <c r="LP46">
        <v>4.1619999999999999</v>
      </c>
      <c r="LQ46">
        <v>5.8460000000000001</v>
      </c>
      <c r="LR46">
        <v>1.0049999999999999</v>
      </c>
      <c r="LS46">
        <v>570</v>
      </c>
      <c r="LX46" t="s">
        <v>66</v>
      </c>
      <c r="LY46">
        <v>5.9459999999999997</v>
      </c>
      <c r="LZ46">
        <v>2.722</v>
      </c>
      <c r="MA46">
        <v>1.0209999999999999</v>
      </c>
      <c r="MB46">
        <v>3.855</v>
      </c>
      <c r="MC46">
        <v>5.95</v>
      </c>
      <c r="MD46">
        <v>7.931</v>
      </c>
      <c r="ME46">
        <v>11.057</v>
      </c>
      <c r="MF46">
        <v>1.915</v>
      </c>
      <c r="MG46">
        <v>5</v>
      </c>
      <c r="ML46" t="s">
        <v>66</v>
      </c>
      <c r="MM46">
        <v>9.8230000000000004</v>
      </c>
      <c r="MN46">
        <v>0.69399999999999995</v>
      </c>
      <c r="MO46">
        <v>8.4710000000000001</v>
      </c>
      <c r="MP46">
        <v>9.3529999999999998</v>
      </c>
      <c r="MQ46">
        <v>9.8209999999999997</v>
      </c>
      <c r="MR46">
        <v>10.292999999999999</v>
      </c>
      <c r="MS46">
        <v>11.186</v>
      </c>
      <c r="MT46">
        <v>1.0009999999999999</v>
      </c>
      <c r="MU46">
        <v>27000</v>
      </c>
      <c r="MZ46" t="s">
        <v>66</v>
      </c>
      <c r="NA46">
        <v>9.8279999999999994</v>
      </c>
      <c r="NB46">
        <v>0.66500000000000004</v>
      </c>
      <c r="NC46">
        <v>8.5470000000000006</v>
      </c>
      <c r="ND46">
        <v>9.3759999999999994</v>
      </c>
      <c r="NE46">
        <v>9.8390000000000004</v>
      </c>
      <c r="NF46">
        <v>10.295</v>
      </c>
      <c r="NG46">
        <v>11.109</v>
      </c>
      <c r="NH46">
        <v>1.0029999999999999</v>
      </c>
      <c r="NI46">
        <v>680</v>
      </c>
      <c r="NM46" t="s">
        <v>66</v>
      </c>
      <c r="NN46">
        <v>7.5369999999999999</v>
      </c>
      <c r="NO46">
        <v>0.22500000000000001</v>
      </c>
      <c r="NP46">
        <v>7.101</v>
      </c>
      <c r="NQ46">
        <v>7.3860000000000001</v>
      </c>
      <c r="NR46">
        <v>7.5350000000000001</v>
      </c>
      <c r="NS46">
        <v>7.6859999999999999</v>
      </c>
      <c r="NT46">
        <v>7.9870000000000001</v>
      </c>
      <c r="NU46">
        <v>1.002</v>
      </c>
      <c r="NV46">
        <v>3100</v>
      </c>
      <c r="NY46" t="s">
        <v>66</v>
      </c>
      <c r="NZ46">
        <v>7.5380000000000003</v>
      </c>
      <c r="OA46">
        <v>0.22500000000000001</v>
      </c>
      <c r="OB46">
        <v>7.101</v>
      </c>
      <c r="OC46">
        <v>7.3869999999999996</v>
      </c>
      <c r="OD46">
        <v>7.5350000000000001</v>
      </c>
      <c r="OE46">
        <v>7.6879999999999997</v>
      </c>
      <c r="OF46">
        <v>7.9880000000000004</v>
      </c>
      <c r="OG46">
        <v>1.0009999999999999</v>
      </c>
      <c r="OH46">
        <v>43000</v>
      </c>
      <c r="OP46" t="s">
        <v>66</v>
      </c>
      <c r="OQ46">
        <v>7.5259999999999998</v>
      </c>
      <c r="OR46">
        <v>0.23300000000000001</v>
      </c>
      <c r="OS46">
        <v>7.0739999999999998</v>
      </c>
      <c r="OT46">
        <v>7.3650000000000002</v>
      </c>
      <c r="OU46">
        <v>7.5250000000000004</v>
      </c>
      <c r="OV46">
        <v>7.6840000000000002</v>
      </c>
      <c r="OW46">
        <v>7.984</v>
      </c>
      <c r="OX46">
        <v>1.0009999999999999</v>
      </c>
      <c r="OY46">
        <v>3000</v>
      </c>
      <c r="PB46" t="s">
        <v>66</v>
      </c>
      <c r="PC46">
        <v>7.5350000000000001</v>
      </c>
      <c r="PD46">
        <v>0.22900000000000001</v>
      </c>
      <c r="PE46">
        <v>7.0890000000000004</v>
      </c>
      <c r="PF46">
        <v>7.38</v>
      </c>
      <c r="PG46">
        <v>7.5369999999999999</v>
      </c>
      <c r="PH46">
        <v>7.6890000000000001</v>
      </c>
      <c r="PI46">
        <v>7.99</v>
      </c>
      <c r="PJ46">
        <v>1.0009999999999999</v>
      </c>
      <c r="PK46">
        <v>3000</v>
      </c>
      <c r="PN46" t="s">
        <v>66</v>
      </c>
      <c r="PO46">
        <v>7.4269999999999996</v>
      </c>
      <c r="PP46">
        <v>0.16</v>
      </c>
      <c r="PQ46">
        <v>7.1360000000000001</v>
      </c>
      <c r="PR46">
        <v>7.3140000000000001</v>
      </c>
      <c r="PS46">
        <v>7.415</v>
      </c>
      <c r="PT46">
        <v>7.532</v>
      </c>
      <c r="PU46">
        <v>7.7619999999999996</v>
      </c>
      <c r="PV46">
        <v>1.0009999999999999</v>
      </c>
      <c r="PW46">
        <v>2300</v>
      </c>
      <c r="QA46" t="s">
        <v>66</v>
      </c>
      <c r="QB46">
        <v>6.9939999999999998</v>
      </c>
      <c r="QC46">
        <v>6.3E-2</v>
      </c>
      <c r="QD46">
        <v>6.8680000000000003</v>
      </c>
      <c r="QE46">
        <v>6.95</v>
      </c>
      <c r="QF46">
        <v>6.9969999999999999</v>
      </c>
      <c r="QG46">
        <v>7.0389999999999997</v>
      </c>
      <c r="QH46">
        <v>7.1109999999999998</v>
      </c>
      <c r="QI46">
        <v>1.0029999999999999</v>
      </c>
      <c r="QJ46">
        <v>1100</v>
      </c>
      <c r="QL46">
        <f t="shared" si="2"/>
        <v>0.43299999999999983</v>
      </c>
    </row>
    <row r="47" spans="1:454">
      <c r="A47" t="s">
        <v>67</v>
      </c>
      <c r="B47">
        <v>6.17</v>
      </c>
      <c r="C47">
        <v>1.083</v>
      </c>
      <c r="D47">
        <v>4.12</v>
      </c>
      <c r="E47">
        <v>5.415</v>
      </c>
      <c r="F47">
        <v>6.1879999999999997</v>
      </c>
      <c r="G47">
        <v>6.8760000000000003</v>
      </c>
      <c r="H47">
        <v>8.3729999999999993</v>
      </c>
      <c r="I47">
        <v>1.2230000000000001</v>
      </c>
      <c r="J47">
        <v>13</v>
      </c>
      <c r="O47" t="s">
        <v>67</v>
      </c>
      <c r="P47">
        <v>5.468</v>
      </c>
      <c r="Q47">
        <v>1.742</v>
      </c>
      <c r="R47">
        <v>0.90600000000000003</v>
      </c>
      <c r="S47">
        <v>4.5369999999999999</v>
      </c>
      <c r="T47">
        <v>5.992</v>
      </c>
      <c r="U47">
        <v>6.867</v>
      </c>
      <c r="V47">
        <v>7.3410000000000002</v>
      </c>
      <c r="W47">
        <v>1.0029999999999999</v>
      </c>
      <c r="X47">
        <v>2500</v>
      </c>
      <c r="AC47" t="s">
        <v>67</v>
      </c>
      <c r="AD47">
        <v>6.7510000000000003</v>
      </c>
      <c r="AE47">
        <v>0.50900000000000001</v>
      </c>
      <c r="AF47">
        <v>5.49</v>
      </c>
      <c r="AG47">
        <v>6.4550000000000001</v>
      </c>
      <c r="AH47">
        <v>6.8659999999999997</v>
      </c>
      <c r="AI47">
        <v>7.16</v>
      </c>
      <c r="AJ47">
        <v>7.3620000000000001</v>
      </c>
      <c r="AK47">
        <v>1.0009999999999999</v>
      </c>
      <c r="AL47">
        <v>3000</v>
      </c>
      <c r="AQ47" t="s">
        <v>67</v>
      </c>
      <c r="AR47">
        <v>6.7169999999999996</v>
      </c>
      <c r="AS47">
        <v>0.50700000000000001</v>
      </c>
      <c r="AT47">
        <v>5.5350000000000001</v>
      </c>
      <c r="AU47">
        <v>6.407</v>
      </c>
      <c r="AV47">
        <v>6.8390000000000004</v>
      </c>
      <c r="AW47">
        <v>7.13</v>
      </c>
      <c r="AX47">
        <v>7.3559999999999999</v>
      </c>
      <c r="AY47">
        <v>1.002</v>
      </c>
      <c r="AZ47">
        <v>1600</v>
      </c>
      <c r="BE47" t="s">
        <v>67</v>
      </c>
      <c r="BF47">
        <v>6.5019999999999998</v>
      </c>
      <c r="BG47">
        <v>0.56999999999999995</v>
      </c>
      <c r="BH47">
        <v>5.2169999999999996</v>
      </c>
      <c r="BI47">
        <v>6.1349999999999998</v>
      </c>
      <c r="BJ47">
        <v>6.5810000000000004</v>
      </c>
      <c r="BK47">
        <v>6.952</v>
      </c>
      <c r="BL47">
        <v>7.33</v>
      </c>
      <c r="BM47">
        <v>1.0089999999999999</v>
      </c>
      <c r="BN47">
        <v>380</v>
      </c>
      <c r="BS47" t="s">
        <v>67</v>
      </c>
      <c r="BT47">
        <v>6.5960000000000001</v>
      </c>
      <c r="BU47">
        <v>0.57799999999999996</v>
      </c>
      <c r="BV47">
        <v>5.2610000000000001</v>
      </c>
      <c r="BW47">
        <v>6.23</v>
      </c>
      <c r="BX47">
        <v>6.7069999999999999</v>
      </c>
      <c r="BY47">
        <v>7.0629999999999997</v>
      </c>
      <c r="BZ47">
        <v>7.3570000000000002</v>
      </c>
      <c r="CA47">
        <v>1.0049999999999999</v>
      </c>
      <c r="CB47">
        <v>500</v>
      </c>
      <c r="CG47" t="s">
        <v>67</v>
      </c>
      <c r="CH47">
        <v>6.4770000000000003</v>
      </c>
      <c r="CI47">
        <v>0.57799999999999996</v>
      </c>
      <c r="CJ47">
        <v>5.1920000000000002</v>
      </c>
      <c r="CK47">
        <v>6.0990000000000002</v>
      </c>
      <c r="CL47">
        <v>6.5490000000000004</v>
      </c>
      <c r="CM47">
        <v>6.9480000000000004</v>
      </c>
      <c r="CN47">
        <v>7.3230000000000004</v>
      </c>
      <c r="CO47">
        <v>1.0189999999999999</v>
      </c>
      <c r="CP47">
        <v>120</v>
      </c>
      <c r="CU47" t="s">
        <v>67</v>
      </c>
      <c r="CV47">
        <v>6.8140000000000001</v>
      </c>
      <c r="CW47">
        <v>0.50600000000000001</v>
      </c>
      <c r="CX47">
        <v>5.5540000000000003</v>
      </c>
      <c r="CY47">
        <v>6.5519999999999996</v>
      </c>
      <c r="CZ47">
        <v>6.9530000000000003</v>
      </c>
      <c r="DA47">
        <v>7.218</v>
      </c>
      <c r="DB47">
        <v>7.3719999999999999</v>
      </c>
      <c r="DC47">
        <v>1.014</v>
      </c>
      <c r="DD47">
        <v>190</v>
      </c>
      <c r="DI47" t="s">
        <v>67</v>
      </c>
      <c r="DJ47">
        <v>6.7439999999999998</v>
      </c>
      <c r="DK47">
        <v>0.50600000000000001</v>
      </c>
      <c r="DL47">
        <v>5.5170000000000003</v>
      </c>
      <c r="DM47">
        <v>6.4560000000000004</v>
      </c>
      <c r="DN47">
        <v>6.8490000000000002</v>
      </c>
      <c r="DO47">
        <v>7.1509999999999998</v>
      </c>
      <c r="DP47">
        <v>7.359</v>
      </c>
      <c r="DQ47">
        <v>1.002</v>
      </c>
      <c r="DR47">
        <v>1800</v>
      </c>
      <c r="DY47" t="s">
        <v>67</v>
      </c>
      <c r="DZ47">
        <v>6.7329999999999997</v>
      </c>
      <c r="EA47">
        <v>0.497</v>
      </c>
      <c r="EB47">
        <v>5.5380000000000003</v>
      </c>
      <c r="EC47">
        <v>6.4279999999999999</v>
      </c>
      <c r="ED47">
        <v>6.8319999999999999</v>
      </c>
      <c r="EE47">
        <v>7.1340000000000003</v>
      </c>
      <c r="EF47">
        <v>7.3559999999999999</v>
      </c>
      <c r="EG47">
        <v>1.002</v>
      </c>
      <c r="EH47">
        <v>1500</v>
      </c>
      <c r="EK47" t="s">
        <v>67</v>
      </c>
      <c r="EL47">
        <v>6.4530000000000003</v>
      </c>
      <c r="EM47">
        <v>0.628</v>
      </c>
      <c r="EN47">
        <v>5.0730000000000004</v>
      </c>
      <c r="EO47">
        <v>6.0170000000000003</v>
      </c>
      <c r="EP47">
        <v>6.5529999999999999</v>
      </c>
      <c r="EQ47">
        <v>6.9690000000000003</v>
      </c>
      <c r="ER47">
        <v>7.3460000000000001</v>
      </c>
      <c r="ES47">
        <v>1.002</v>
      </c>
      <c r="ET47">
        <v>1500</v>
      </c>
      <c r="EY47" t="s">
        <v>67</v>
      </c>
      <c r="EZ47">
        <v>6.6680000000000001</v>
      </c>
      <c r="FA47">
        <v>0.55400000000000005</v>
      </c>
      <c r="FB47">
        <v>5.2949999999999999</v>
      </c>
      <c r="FC47">
        <v>6.3440000000000003</v>
      </c>
      <c r="FD47">
        <v>6.79</v>
      </c>
      <c r="FE47">
        <v>7.1150000000000002</v>
      </c>
      <c r="FF47">
        <v>7.351</v>
      </c>
      <c r="FG47">
        <v>1.0009999999999999</v>
      </c>
      <c r="FH47">
        <v>3000</v>
      </c>
      <c r="GA47" t="s">
        <v>67</v>
      </c>
      <c r="GB47">
        <v>6.5279999999999996</v>
      </c>
      <c r="GC47">
        <v>0.56000000000000005</v>
      </c>
      <c r="GD47">
        <v>5.3</v>
      </c>
      <c r="GE47">
        <v>6.1539999999999999</v>
      </c>
      <c r="GF47">
        <v>6.5990000000000002</v>
      </c>
      <c r="GG47">
        <v>6.9880000000000004</v>
      </c>
      <c r="GH47">
        <v>7.3419999999999996</v>
      </c>
      <c r="GI47">
        <v>1.0009999999999999</v>
      </c>
      <c r="GJ47">
        <v>3000</v>
      </c>
      <c r="GO47" t="s">
        <v>67</v>
      </c>
      <c r="GP47">
        <v>6.6779999999999999</v>
      </c>
      <c r="GQ47">
        <v>0.54</v>
      </c>
      <c r="GR47">
        <v>5.3849999999999998</v>
      </c>
      <c r="GS47">
        <v>6.3689999999999998</v>
      </c>
      <c r="GT47">
        <v>6.7830000000000004</v>
      </c>
      <c r="GU47">
        <v>7.1139999999999999</v>
      </c>
      <c r="GV47">
        <v>7.3579999999999997</v>
      </c>
      <c r="GW47">
        <v>1.002</v>
      </c>
      <c r="GX47">
        <v>3000</v>
      </c>
      <c r="HC47" t="s">
        <v>67</v>
      </c>
      <c r="HD47">
        <v>6.6859999999999999</v>
      </c>
      <c r="HE47">
        <v>0.52200000000000002</v>
      </c>
      <c r="HF47">
        <v>5.4640000000000004</v>
      </c>
      <c r="HG47">
        <v>6.375</v>
      </c>
      <c r="HH47">
        <v>6.78</v>
      </c>
      <c r="HI47">
        <v>7.1059999999999999</v>
      </c>
      <c r="HJ47">
        <v>7.359</v>
      </c>
      <c r="HK47">
        <v>1.002</v>
      </c>
      <c r="HL47">
        <v>1900</v>
      </c>
      <c r="HP47" s="7"/>
      <c r="HQ47" s="7" t="s">
        <v>67</v>
      </c>
      <c r="HR47" s="7">
        <v>6.6369999999999996</v>
      </c>
      <c r="HS47" s="7">
        <v>0.52600000000000002</v>
      </c>
      <c r="HT47" s="7">
        <v>5.45</v>
      </c>
      <c r="HU47" s="7">
        <v>6.2939999999999996</v>
      </c>
      <c r="HV47" s="7">
        <v>6.7290000000000001</v>
      </c>
      <c r="HW47" s="7">
        <v>7.0659999999999998</v>
      </c>
      <c r="HX47" s="7">
        <v>7.3490000000000002</v>
      </c>
      <c r="HY47" s="7">
        <v>1.002</v>
      </c>
      <c r="HZ47" s="7">
        <v>1200</v>
      </c>
      <c r="IA47" s="7"/>
      <c r="IE47" t="s">
        <v>67</v>
      </c>
      <c r="IF47">
        <v>6.5609999999999999</v>
      </c>
      <c r="IG47">
        <v>0.56200000000000006</v>
      </c>
      <c r="IH47">
        <v>5.2910000000000004</v>
      </c>
      <c r="II47">
        <v>6.2009999999999996</v>
      </c>
      <c r="IJ47">
        <v>6.6349999999999998</v>
      </c>
      <c r="IK47">
        <v>7.024</v>
      </c>
      <c r="IL47">
        <v>7.3449999999999998</v>
      </c>
      <c r="IM47">
        <v>1.0009999999999999</v>
      </c>
      <c r="IN47">
        <v>3000</v>
      </c>
      <c r="IS47" t="s">
        <v>67</v>
      </c>
      <c r="IT47">
        <v>6.6429999999999998</v>
      </c>
      <c r="IU47">
        <v>0.52700000000000002</v>
      </c>
      <c r="IV47">
        <v>5.44</v>
      </c>
      <c r="IW47">
        <v>6.3109999999999999</v>
      </c>
      <c r="IX47">
        <v>6.7309999999999999</v>
      </c>
      <c r="IY47">
        <v>7.0819999999999999</v>
      </c>
      <c r="IZ47">
        <v>7.3490000000000002</v>
      </c>
      <c r="JA47">
        <v>1.0009999999999999</v>
      </c>
      <c r="JB47">
        <v>3000</v>
      </c>
      <c r="JF47" t="s">
        <v>67</v>
      </c>
      <c r="JG47">
        <v>6.633</v>
      </c>
      <c r="JH47">
        <v>0.53700000000000003</v>
      </c>
      <c r="JI47">
        <v>5.4329999999999998</v>
      </c>
      <c r="JJ47">
        <v>6.282</v>
      </c>
      <c r="JK47">
        <v>6.7279999999999998</v>
      </c>
      <c r="JL47">
        <v>7.0780000000000003</v>
      </c>
      <c r="JM47">
        <v>7.3520000000000003</v>
      </c>
      <c r="JN47">
        <v>1.002</v>
      </c>
      <c r="JO47">
        <v>1800</v>
      </c>
      <c r="JT47" t="s">
        <v>67</v>
      </c>
      <c r="JU47">
        <v>6.617</v>
      </c>
      <c r="JV47">
        <v>0.55200000000000005</v>
      </c>
      <c r="JW47">
        <v>5.3639999999999999</v>
      </c>
      <c r="JX47">
        <v>6.2640000000000002</v>
      </c>
      <c r="JY47">
        <v>6.7089999999999996</v>
      </c>
      <c r="JZ47">
        <v>7.0709999999999997</v>
      </c>
      <c r="KA47">
        <v>7.35</v>
      </c>
      <c r="KB47">
        <v>1.0029999999999999</v>
      </c>
      <c r="KC47">
        <v>860</v>
      </c>
      <c r="KH47" t="s">
        <v>67</v>
      </c>
      <c r="KI47">
        <v>6.6130000000000004</v>
      </c>
      <c r="KJ47">
        <v>0.54700000000000004</v>
      </c>
      <c r="KK47">
        <v>5.3739999999999997</v>
      </c>
      <c r="KL47">
        <v>6.2670000000000003</v>
      </c>
      <c r="KM47">
        <v>6.7160000000000002</v>
      </c>
      <c r="KN47">
        <v>7.0540000000000003</v>
      </c>
      <c r="KO47">
        <v>7.3490000000000002</v>
      </c>
      <c r="KP47">
        <v>1.0009999999999999</v>
      </c>
      <c r="KQ47">
        <v>3000</v>
      </c>
      <c r="KR47">
        <f t="shared" si="0"/>
        <v>744.71381229003828</v>
      </c>
      <c r="KV47" t="s">
        <v>67</v>
      </c>
      <c r="KW47">
        <v>8.1389999999999993</v>
      </c>
      <c r="KX47">
        <v>0.253</v>
      </c>
      <c r="KY47">
        <v>7.5860000000000003</v>
      </c>
      <c r="KZ47">
        <v>7.9820000000000002</v>
      </c>
      <c r="LA47">
        <v>8.1560000000000006</v>
      </c>
      <c r="LB47">
        <v>8.31</v>
      </c>
      <c r="LC47">
        <v>8.6050000000000004</v>
      </c>
      <c r="LD47">
        <v>1.0009999999999999</v>
      </c>
      <c r="LE47">
        <v>2000</v>
      </c>
      <c r="LJ47" t="s">
        <v>67</v>
      </c>
      <c r="LK47">
        <v>2.548</v>
      </c>
      <c r="LL47">
        <v>0.85199999999999998</v>
      </c>
      <c r="LM47">
        <v>0.70699999999999996</v>
      </c>
      <c r="LN47">
        <v>1.9970000000000001</v>
      </c>
      <c r="LO47">
        <v>2.6110000000000002</v>
      </c>
      <c r="LP47">
        <v>3.1579999999999999</v>
      </c>
      <c r="LQ47">
        <v>4.0350000000000001</v>
      </c>
      <c r="LR47">
        <v>1.0069999999999999</v>
      </c>
      <c r="LS47">
        <v>1400</v>
      </c>
      <c r="LX47" t="s">
        <v>67</v>
      </c>
      <c r="LY47">
        <v>3.48</v>
      </c>
      <c r="LZ47">
        <v>1.1080000000000001</v>
      </c>
      <c r="MA47">
        <v>1.3069999999999999</v>
      </c>
      <c r="MB47">
        <v>2.6619999999999999</v>
      </c>
      <c r="MC47">
        <v>3.569</v>
      </c>
      <c r="MD47">
        <v>4.319</v>
      </c>
      <c r="ME47">
        <v>5.3739999999999997</v>
      </c>
      <c r="MF47">
        <v>1.478</v>
      </c>
      <c r="MG47">
        <v>8</v>
      </c>
      <c r="ML47" t="s">
        <v>67</v>
      </c>
      <c r="MM47">
        <v>7.931</v>
      </c>
      <c r="MN47">
        <v>0.22900000000000001</v>
      </c>
      <c r="MO47">
        <v>7.4509999999999996</v>
      </c>
      <c r="MP47">
        <v>7.7850000000000001</v>
      </c>
      <c r="MQ47">
        <v>7.94</v>
      </c>
      <c r="MR47">
        <v>8.0879999999999992</v>
      </c>
      <c r="MS47">
        <v>8.3559999999999999</v>
      </c>
      <c r="MT47">
        <v>1.0009999999999999</v>
      </c>
      <c r="MU47">
        <v>16000</v>
      </c>
      <c r="MZ47" t="s">
        <v>67</v>
      </c>
      <c r="NA47">
        <v>7.931</v>
      </c>
      <c r="NB47">
        <v>0.224</v>
      </c>
      <c r="NC47">
        <v>7.4610000000000003</v>
      </c>
      <c r="ND47">
        <v>7.7880000000000003</v>
      </c>
      <c r="NE47">
        <v>7.9470000000000001</v>
      </c>
      <c r="NF47">
        <v>8.093</v>
      </c>
      <c r="NG47">
        <v>8.3330000000000002</v>
      </c>
      <c r="NH47">
        <v>1.002</v>
      </c>
      <c r="NI47">
        <v>1200</v>
      </c>
      <c r="NM47" t="s">
        <v>67</v>
      </c>
      <c r="NN47">
        <v>7.2990000000000004</v>
      </c>
      <c r="NO47">
        <v>0.113</v>
      </c>
      <c r="NP47">
        <v>7.0629999999999997</v>
      </c>
      <c r="NQ47">
        <v>7.2229999999999999</v>
      </c>
      <c r="NR47">
        <v>7.306</v>
      </c>
      <c r="NS47">
        <v>7.3819999999999997</v>
      </c>
      <c r="NT47">
        <v>7.4989999999999997</v>
      </c>
      <c r="NU47">
        <v>1.002</v>
      </c>
      <c r="NV47">
        <v>3400</v>
      </c>
      <c r="NY47" t="s">
        <v>67</v>
      </c>
      <c r="NZ47">
        <v>7.2880000000000003</v>
      </c>
      <c r="OA47">
        <v>0.11899999999999999</v>
      </c>
      <c r="OB47">
        <v>7.04</v>
      </c>
      <c r="OC47">
        <v>7.2069999999999999</v>
      </c>
      <c r="OD47">
        <v>7.2949999999999999</v>
      </c>
      <c r="OE47">
        <v>7.375</v>
      </c>
      <c r="OF47">
        <v>7.4980000000000002</v>
      </c>
      <c r="OG47">
        <v>1.0009999999999999</v>
      </c>
      <c r="OH47">
        <v>17000</v>
      </c>
      <c r="OP47" t="s">
        <v>67</v>
      </c>
      <c r="OQ47">
        <v>7.2919999999999998</v>
      </c>
      <c r="OR47">
        <v>0.11700000000000001</v>
      </c>
      <c r="OS47">
        <v>7.0439999999999996</v>
      </c>
      <c r="OT47">
        <v>7.2149999999999999</v>
      </c>
      <c r="OU47">
        <v>7.3</v>
      </c>
      <c r="OV47">
        <v>7.3760000000000003</v>
      </c>
      <c r="OW47">
        <v>7.4939999999999998</v>
      </c>
      <c r="OX47">
        <v>1.002</v>
      </c>
      <c r="OY47">
        <v>1200</v>
      </c>
      <c r="PB47" t="s">
        <v>67</v>
      </c>
      <c r="PC47">
        <v>7.3079999999999998</v>
      </c>
      <c r="PD47">
        <v>0.11</v>
      </c>
      <c r="PE47">
        <v>7.0810000000000004</v>
      </c>
      <c r="PF47">
        <v>7.2309999999999999</v>
      </c>
      <c r="PG47">
        <v>7.3150000000000004</v>
      </c>
      <c r="PH47">
        <v>7.3879999999999999</v>
      </c>
      <c r="PI47">
        <v>7.4980000000000002</v>
      </c>
      <c r="PJ47">
        <v>1.002</v>
      </c>
      <c r="PK47">
        <v>1500</v>
      </c>
      <c r="PN47" t="s">
        <v>67</v>
      </c>
      <c r="PO47">
        <v>7.3789999999999996</v>
      </c>
      <c r="PP47">
        <v>0.13900000000000001</v>
      </c>
      <c r="PQ47">
        <v>7.1230000000000002</v>
      </c>
      <c r="PR47">
        <v>7.282</v>
      </c>
      <c r="PS47">
        <v>7.3719999999999999</v>
      </c>
      <c r="PT47">
        <v>7.4710000000000001</v>
      </c>
      <c r="PU47">
        <v>7.6630000000000003</v>
      </c>
      <c r="PV47">
        <v>1.0009999999999999</v>
      </c>
      <c r="PW47">
        <v>2400</v>
      </c>
      <c r="QA47" t="s">
        <v>67</v>
      </c>
      <c r="QB47">
        <v>6.9560000000000004</v>
      </c>
      <c r="QC47">
        <v>6.3E-2</v>
      </c>
      <c r="QD47">
        <v>6.83</v>
      </c>
      <c r="QE47">
        <v>6.9130000000000003</v>
      </c>
      <c r="QF47">
        <v>6.9569999999999999</v>
      </c>
      <c r="QG47">
        <v>7.0010000000000003</v>
      </c>
      <c r="QH47">
        <v>7.0730000000000004</v>
      </c>
      <c r="QI47">
        <v>1.016</v>
      </c>
      <c r="QJ47">
        <v>140</v>
      </c>
      <c r="QL47">
        <f t="shared" si="2"/>
        <v>0.42299999999999915</v>
      </c>
    </row>
    <row r="48" spans="1:454">
      <c r="A48" t="s">
        <v>68</v>
      </c>
      <c r="B48">
        <v>6.274</v>
      </c>
      <c r="C48">
        <v>1.0580000000000001</v>
      </c>
      <c r="D48">
        <v>4.2590000000000003</v>
      </c>
      <c r="E48">
        <v>5.5289999999999999</v>
      </c>
      <c r="F48">
        <v>6.26</v>
      </c>
      <c r="G48">
        <v>6.9539999999999997</v>
      </c>
      <c r="H48">
        <v>8.4480000000000004</v>
      </c>
      <c r="I48">
        <v>1.1879999999999999</v>
      </c>
      <c r="J48">
        <v>16</v>
      </c>
      <c r="O48" t="s">
        <v>68</v>
      </c>
      <c r="P48">
        <v>6.3369999999999997</v>
      </c>
      <c r="Q48">
        <v>1.0549999999999999</v>
      </c>
      <c r="R48">
        <v>3.4609999999999999</v>
      </c>
      <c r="S48">
        <v>5.8780000000000001</v>
      </c>
      <c r="T48">
        <v>6.6820000000000004</v>
      </c>
      <c r="U48">
        <v>7.1239999999999997</v>
      </c>
      <c r="V48">
        <v>7.36</v>
      </c>
      <c r="W48">
        <v>1.002</v>
      </c>
      <c r="X48">
        <v>1300</v>
      </c>
      <c r="AC48" t="s">
        <v>68</v>
      </c>
      <c r="AD48">
        <v>7.1660000000000004</v>
      </c>
      <c r="AE48">
        <v>0.20499999999999999</v>
      </c>
      <c r="AF48">
        <v>6.6420000000000003</v>
      </c>
      <c r="AG48">
        <v>7.0670000000000002</v>
      </c>
      <c r="AH48">
        <v>7.2249999999999996</v>
      </c>
      <c r="AI48">
        <v>7.3209999999999997</v>
      </c>
      <c r="AJ48">
        <v>7.375</v>
      </c>
      <c r="AK48">
        <v>1.0029999999999999</v>
      </c>
      <c r="AL48">
        <v>870</v>
      </c>
      <c r="AQ48" t="s">
        <v>68</v>
      </c>
      <c r="AR48">
        <v>7.1669999999999998</v>
      </c>
      <c r="AS48">
        <v>0.19900000000000001</v>
      </c>
      <c r="AT48">
        <v>6.6740000000000004</v>
      </c>
      <c r="AU48">
        <v>7.077</v>
      </c>
      <c r="AV48">
        <v>7.2279999999999998</v>
      </c>
      <c r="AW48">
        <v>7.3150000000000004</v>
      </c>
      <c r="AX48">
        <v>7.3739999999999997</v>
      </c>
      <c r="AY48">
        <v>1.0009999999999999</v>
      </c>
      <c r="AZ48">
        <v>3000</v>
      </c>
      <c r="BE48" t="s">
        <v>68</v>
      </c>
      <c r="BF48">
        <v>7.1619999999999999</v>
      </c>
      <c r="BG48">
        <v>0.20599999999999999</v>
      </c>
      <c r="BH48">
        <v>6.6050000000000004</v>
      </c>
      <c r="BI48">
        <v>7.0759999999999996</v>
      </c>
      <c r="BJ48">
        <v>7.2220000000000004</v>
      </c>
      <c r="BK48">
        <v>7.3109999999999999</v>
      </c>
      <c r="BL48">
        <v>7.375</v>
      </c>
      <c r="BM48">
        <v>1.0029999999999999</v>
      </c>
      <c r="BN48">
        <v>860</v>
      </c>
      <c r="BS48" t="s">
        <v>68</v>
      </c>
      <c r="BT48">
        <v>7.1630000000000003</v>
      </c>
      <c r="BU48">
        <v>0.2</v>
      </c>
      <c r="BV48">
        <v>6.6449999999999996</v>
      </c>
      <c r="BW48">
        <v>7.0750000000000002</v>
      </c>
      <c r="BX48">
        <v>7.2210000000000001</v>
      </c>
      <c r="BY48">
        <v>7.3140000000000001</v>
      </c>
      <c r="BZ48">
        <v>7.3739999999999997</v>
      </c>
      <c r="CA48">
        <v>1.0029999999999999</v>
      </c>
      <c r="CB48">
        <v>1400</v>
      </c>
      <c r="CG48" t="s">
        <v>68</v>
      </c>
      <c r="CH48">
        <v>7.1589999999999998</v>
      </c>
      <c r="CI48">
        <v>0.20300000000000001</v>
      </c>
      <c r="CJ48">
        <v>6.62</v>
      </c>
      <c r="CK48">
        <v>7.0629999999999997</v>
      </c>
      <c r="CL48">
        <v>7.22</v>
      </c>
      <c r="CM48">
        <v>7.3140000000000001</v>
      </c>
      <c r="CN48">
        <v>7.3730000000000002</v>
      </c>
      <c r="CO48">
        <v>1.002</v>
      </c>
      <c r="CP48">
        <v>2100</v>
      </c>
      <c r="CU48" t="s">
        <v>68</v>
      </c>
      <c r="CV48">
        <v>7.1740000000000004</v>
      </c>
      <c r="CW48">
        <v>0.20499999999999999</v>
      </c>
      <c r="CX48">
        <v>6.6470000000000002</v>
      </c>
      <c r="CY48">
        <v>7.0819999999999999</v>
      </c>
      <c r="CZ48">
        <v>7.234</v>
      </c>
      <c r="DA48">
        <v>7.3259999999999996</v>
      </c>
      <c r="DB48">
        <v>7.3780000000000001</v>
      </c>
      <c r="DC48">
        <v>1.006</v>
      </c>
      <c r="DD48">
        <v>580</v>
      </c>
      <c r="DI48" t="s">
        <v>68</v>
      </c>
      <c r="DJ48">
        <v>7.157</v>
      </c>
      <c r="DK48">
        <v>0.20899999999999999</v>
      </c>
      <c r="DL48">
        <v>6.6150000000000002</v>
      </c>
      <c r="DM48">
        <v>7.069</v>
      </c>
      <c r="DN48">
        <v>7.2140000000000004</v>
      </c>
      <c r="DO48">
        <v>7.3120000000000003</v>
      </c>
      <c r="DP48">
        <v>7.3739999999999997</v>
      </c>
      <c r="DQ48">
        <v>1.0009999999999999</v>
      </c>
      <c r="DR48">
        <v>3000</v>
      </c>
      <c r="DY48" t="s">
        <v>68</v>
      </c>
      <c r="DZ48">
        <v>7.1550000000000002</v>
      </c>
      <c r="EA48">
        <v>0.20200000000000001</v>
      </c>
      <c r="EB48">
        <v>6.6189999999999998</v>
      </c>
      <c r="EC48">
        <v>7.056</v>
      </c>
      <c r="ED48">
        <v>7.2149999999999999</v>
      </c>
      <c r="EE48">
        <v>7.3079999999999998</v>
      </c>
      <c r="EF48">
        <v>7.3719999999999999</v>
      </c>
      <c r="EG48">
        <v>1.008</v>
      </c>
      <c r="EH48">
        <v>500</v>
      </c>
      <c r="EK48" t="s">
        <v>68</v>
      </c>
      <c r="EL48">
        <v>7.1790000000000003</v>
      </c>
      <c r="EM48">
        <v>0.17899999999999999</v>
      </c>
      <c r="EN48">
        <v>6.7210000000000001</v>
      </c>
      <c r="EO48">
        <v>7.0940000000000003</v>
      </c>
      <c r="EP48">
        <v>7.2290000000000001</v>
      </c>
      <c r="EQ48">
        <v>7.3179999999999996</v>
      </c>
      <c r="ER48">
        <v>7.3739999999999997</v>
      </c>
      <c r="ES48">
        <v>1.0009999999999999</v>
      </c>
      <c r="ET48">
        <v>1500</v>
      </c>
      <c r="EY48" t="s">
        <v>68</v>
      </c>
      <c r="EZ48">
        <v>7.1529999999999996</v>
      </c>
      <c r="FA48">
        <v>0.20599999999999999</v>
      </c>
      <c r="FB48">
        <v>6.6219999999999999</v>
      </c>
      <c r="FC48">
        <v>7.0579999999999998</v>
      </c>
      <c r="FD48">
        <v>7.2110000000000003</v>
      </c>
      <c r="FE48">
        <v>7.3079999999999998</v>
      </c>
      <c r="FF48">
        <v>7.3739999999999997</v>
      </c>
      <c r="FG48">
        <v>1.0009999999999999</v>
      </c>
      <c r="FH48">
        <v>3000</v>
      </c>
      <c r="GA48" t="s">
        <v>68</v>
      </c>
      <c r="GB48">
        <v>7.1479999999999997</v>
      </c>
      <c r="GC48">
        <v>0.20300000000000001</v>
      </c>
      <c r="GD48">
        <v>6.63</v>
      </c>
      <c r="GE48">
        <v>7.0510000000000002</v>
      </c>
      <c r="GF48">
        <v>7.2009999999999996</v>
      </c>
      <c r="GG48">
        <v>7.3029999999999999</v>
      </c>
      <c r="GH48">
        <v>7.3739999999999997</v>
      </c>
      <c r="GI48">
        <v>1.0009999999999999</v>
      </c>
      <c r="GJ48">
        <v>3000</v>
      </c>
      <c r="GO48" t="s">
        <v>68</v>
      </c>
      <c r="GP48">
        <v>7.1369999999999996</v>
      </c>
      <c r="GQ48">
        <v>0.22500000000000001</v>
      </c>
      <c r="GR48">
        <v>6.5359999999999996</v>
      </c>
      <c r="GS48">
        <v>7.0339999999999998</v>
      </c>
      <c r="GT48">
        <v>7.202</v>
      </c>
      <c r="GU48">
        <v>7.3049999999999997</v>
      </c>
      <c r="GV48">
        <v>7.3730000000000002</v>
      </c>
      <c r="GW48">
        <v>1.0009999999999999</v>
      </c>
      <c r="GX48">
        <v>3000</v>
      </c>
      <c r="HC48" t="s">
        <v>68</v>
      </c>
      <c r="HD48">
        <v>7.1319999999999997</v>
      </c>
      <c r="HE48">
        <v>0.22900000000000001</v>
      </c>
      <c r="HF48">
        <v>6.5389999999999997</v>
      </c>
      <c r="HG48">
        <v>7.0270000000000001</v>
      </c>
      <c r="HH48">
        <v>7.1980000000000004</v>
      </c>
      <c r="HI48">
        <v>7.3019999999999996</v>
      </c>
      <c r="HJ48">
        <v>7.3739999999999997</v>
      </c>
      <c r="HK48">
        <v>1.0009999999999999</v>
      </c>
      <c r="HL48">
        <v>3000</v>
      </c>
      <c r="HP48" s="7"/>
      <c r="HQ48" s="7" t="s">
        <v>68</v>
      </c>
      <c r="HR48" s="7">
        <v>7.2169999999999996</v>
      </c>
      <c r="HS48" s="7">
        <v>0.15</v>
      </c>
      <c r="HT48" s="7">
        <v>6.8230000000000004</v>
      </c>
      <c r="HU48" s="7">
        <v>7.1509999999999998</v>
      </c>
      <c r="HV48" s="7">
        <v>7.26</v>
      </c>
      <c r="HW48" s="7">
        <v>7.33</v>
      </c>
      <c r="HX48" s="7">
        <v>7.3739999999999997</v>
      </c>
      <c r="HY48" s="7">
        <v>1.0009999999999999</v>
      </c>
      <c r="HZ48" s="7">
        <v>3000</v>
      </c>
      <c r="IA48" s="7"/>
      <c r="IE48" t="s">
        <v>68</v>
      </c>
      <c r="IF48">
        <v>7.2270000000000003</v>
      </c>
      <c r="IG48">
        <v>0.14000000000000001</v>
      </c>
      <c r="IH48">
        <v>6.8719999999999999</v>
      </c>
      <c r="II48">
        <v>7.1630000000000003</v>
      </c>
      <c r="IJ48">
        <v>7.2649999999999997</v>
      </c>
      <c r="IK48">
        <v>7.3339999999999996</v>
      </c>
      <c r="IL48">
        <v>7.3769999999999998</v>
      </c>
      <c r="IM48">
        <v>1.0009999999999999</v>
      </c>
      <c r="IN48">
        <v>3000</v>
      </c>
      <c r="IS48" t="s">
        <v>68</v>
      </c>
      <c r="IT48">
        <v>7.2270000000000003</v>
      </c>
      <c r="IU48">
        <v>0.14099999999999999</v>
      </c>
      <c r="IV48">
        <v>6.8639999999999999</v>
      </c>
      <c r="IW48">
        <v>7.165</v>
      </c>
      <c r="IX48">
        <v>7.2690000000000001</v>
      </c>
      <c r="IY48">
        <v>7.3310000000000004</v>
      </c>
      <c r="IZ48">
        <v>7.375</v>
      </c>
      <c r="JA48">
        <v>1.0009999999999999</v>
      </c>
      <c r="JB48">
        <v>3000</v>
      </c>
      <c r="JF48" t="s">
        <v>68</v>
      </c>
      <c r="JG48">
        <v>7.2149999999999999</v>
      </c>
      <c r="JH48">
        <v>0.154</v>
      </c>
      <c r="JI48">
        <v>6.819</v>
      </c>
      <c r="JJ48">
        <v>7.141</v>
      </c>
      <c r="JK48">
        <v>7.2619999999999996</v>
      </c>
      <c r="JL48">
        <v>7.3280000000000003</v>
      </c>
      <c r="JM48">
        <v>7.375</v>
      </c>
      <c r="JN48">
        <v>1</v>
      </c>
      <c r="JO48">
        <v>3000</v>
      </c>
      <c r="JT48" t="s">
        <v>68</v>
      </c>
      <c r="JU48">
        <v>7.2160000000000002</v>
      </c>
      <c r="JV48">
        <v>0.153</v>
      </c>
      <c r="JW48">
        <v>6.8179999999999996</v>
      </c>
      <c r="JX48">
        <v>7.1470000000000002</v>
      </c>
      <c r="JY48">
        <v>7.2670000000000003</v>
      </c>
      <c r="JZ48">
        <v>7.33</v>
      </c>
      <c r="KA48">
        <v>7.375</v>
      </c>
      <c r="KB48">
        <v>1.0009999999999999</v>
      </c>
      <c r="KC48">
        <v>3000</v>
      </c>
      <c r="KH48" t="s">
        <v>68</v>
      </c>
      <c r="KI48">
        <v>7.2160000000000002</v>
      </c>
      <c r="KJ48">
        <v>0.153</v>
      </c>
      <c r="KK48">
        <v>6.8</v>
      </c>
      <c r="KL48">
        <v>7.1509999999999998</v>
      </c>
      <c r="KM48">
        <v>7.2640000000000002</v>
      </c>
      <c r="KN48">
        <v>7.33</v>
      </c>
      <c r="KO48">
        <v>7.375</v>
      </c>
      <c r="KP48">
        <v>1.0009999999999999</v>
      </c>
      <c r="KQ48">
        <v>3000</v>
      </c>
      <c r="KR48">
        <f t="shared" si="0"/>
        <v>1361.0340218165807</v>
      </c>
      <c r="KV48" t="s">
        <v>68</v>
      </c>
      <c r="KW48">
        <v>8.5129999999999999</v>
      </c>
      <c r="KX48">
        <v>0.32200000000000001</v>
      </c>
      <c r="KY48">
        <v>7.8490000000000002</v>
      </c>
      <c r="KZ48">
        <v>8.3059999999999992</v>
      </c>
      <c r="LA48">
        <v>8.532</v>
      </c>
      <c r="LB48">
        <v>8.7260000000000009</v>
      </c>
      <c r="LC48">
        <v>9.1319999999999997</v>
      </c>
      <c r="LD48">
        <v>1.002</v>
      </c>
      <c r="LE48">
        <v>1400</v>
      </c>
      <c r="LJ48" t="s">
        <v>68</v>
      </c>
      <c r="LK48">
        <v>2.6080000000000001</v>
      </c>
      <c r="LL48">
        <v>0.94199999999999995</v>
      </c>
      <c r="LM48">
        <v>0.53200000000000003</v>
      </c>
      <c r="LN48">
        <v>2.0139999999999998</v>
      </c>
      <c r="LO48">
        <v>2.694</v>
      </c>
      <c r="LP48">
        <v>3.278</v>
      </c>
      <c r="LQ48">
        <v>4.2190000000000003</v>
      </c>
      <c r="LR48">
        <v>1.0069999999999999</v>
      </c>
      <c r="LS48">
        <v>1000</v>
      </c>
      <c r="LX48" t="s">
        <v>68</v>
      </c>
      <c r="LY48">
        <v>3.85</v>
      </c>
      <c r="LZ48">
        <v>1.306</v>
      </c>
      <c r="MA48">
        <v>1.3480000000000001</v>
      </c>
      <c r="MB48">
        <v>2.8780000000000001</v>
      </c>
      <c r="MC48">
        <v>3.9729999999999999</v>
      </c>
      <c r="MD48">
        <v>4.8479999999999999</v>
      </c>
      <c r="ME48">
        <v>6.117</v>
      </c>
      <c r="MF48">
        <v>1.637</v>
      </c>
      <c r="MG48">
        <v>6</v>
      </c>
      <c r="ML48" t="s">
        <v>68</v>
      </c>
      <c r="MM48">
        <v>8.2140000000000004</v>
      </c>
      <c r="MN48">
        <v>0.29299999999999998</v>
      </c>
      <c r="MO48">
        <v>7.625</v>
      </c>
      <c r="MP48">
        <v>8.02</v>
      </c>
      <c r="MQ48">
        <v>8.2189999999999994</v>
      </c>
      <c r="MR48">
        <v>8.4139999999999997</v>
      </c>
      <c r="MS48">
        <v>8.7759999999999998</v>
      </c>
      <c r="MT48">
        <v>1.0009999999999999</v>
      </c>
      <c r="MU48">
        <v>19000</v>
      </c>
      <c r="MZ48" t="s">
        <v>68</v>
      </c>
      <c r="NA48">
        <v>8.2159999999999993</v>
      </c>
      <c r="NB48">
        <v>0.28399999999999997</v>
      </c>
      <c r="NC48">
        <v>7.6369999999999996</v>
      </c>
      <c r="ND48">
        <v>8.0259999999999998</v>
      </c>
      <c r="NE48">
        <v>8.2319999999999993</v>
      </c>
      <c r="NF48">
        <v>8.4190000000000005</v>
      </c>
      <c r="NG48">
        <v>8.75</v>
      </c>
      <c r="NH48">
        <v>1.0029999999999999</v>
      </c>
      <c r="NI48">
        <v>950</v>
      </c>
      <c r="NM48" t="s">
        <v>68</v>
      </c>
      <c r="NN48">
        <v>7.335</v>
      </c>
      <c r="NO48">
        <v>0.122</v>
      </c>
      <c r="NP48">
        <v>7.0949999999999998</v>
      </c>
      <c r="NQ48">
        <v>7.2519999999999998</v>
      </c>
      <c r="NR48">
        <v>7.3369999999999997</v>
      </c>
      <c r="NS48">
        <v>7.42</v>
      </c>
      <c r="NT48">
        <v>7.5659999999999998</v>
      </c>
      <c r="NU48">
        <v>1.002</v>
      </c>
      <c r="NV48">
        <v>2900</v>
      </c>
      <c r="NY48" t="s">
        <v>68</v>
      </c>
      <c r="NZ48">
        <v>7.3250000000000002</v>
      </c>
      <c r="OA48">
        <v>0.126</v>
      </c>
      <c r="OB48">
        <v>7.0739999999999998</v>
      </c>
      <c r="OC48">
        <v>7.2389999999999999</v>
      </c>
      <c r="OD48">
        <v>7.3280000000000003</v>
      </c>
      <c r="OE48">
        <v>7.415</v>
      </c>
      <c r="OF48">
        <v>7.5640000000000001</v>
      </c>
      <c r="OG48">
        <v>1.0009999999999999</v>
      </c>
      <c r="OH48">
        <v>20000</v>
      </c>
      <c r="OP48" t="s">
        <v>68</v>
      </c>
      <c r="OQ48">
        <v>7.327</v>
      </c>
      <c r="OR48">
        <v>0.125</v>
      </c>
      <c r="OS48">
        <v>7.0830000000000002</v>
      </c>
      <c r="OT48">
        <v>7.2409999999999997</v>
      </c>
      <c r="OU48">
        <v>7.3289999999999997</v>
      </c>
      <c r="OV48">
        <v>7.4169999999999998</v>
      </c>
      <c r="OW48">
        <v>7.556</v>
      </c>
      <c r="OX48">
        <v>1.002</v>
      </c>
      <c r="OY48">
        <v>1400</v>
      </c>
      <c r="PB48" t="s">
        <v>68</v>
      </c>
      <c r="PC48">
        <v>7.3419999999999996</v>
      </c>
      <c r="PD48">
        <v>0.12</v>
      </c>
      <c r="PE48">
        <v>7.1059999999999999</v>
      </c>
      <c r="PF48">
        <v>7.2569999999999997</v>
      </c>
      <c r="PG48">
        <v>7.3449999999999998</v>
      </c>
      <c r="PH48">
        <v>7.4260000000000002</v>
      </c>
      <c r="PI48">
        <v>7.5650000000000004</v>
      </c>
      <c r="PJ48">
        <v>1.002</v>
      </c>
      <c r="PK48">
        <v>1900</v>
      </c>
      <c r="PN48" t="s">
        <v>68</v>
      </c>
      <c r="PO48">
        <v>7.4329999999999998</v>
      </c>
      <c r="PP48">
        <v>0.16400000000000001</v>
      </c>
      <c r="PQ48">
        <v>7.1369999999999996</v>
      </c>
      <c r="PR48">
        <v>7.3179999999999996</v>
      </c>
      <c r="PS48">
        <v>7.4219999999999997</v>
      </c>
      <c r="PT48">
        <v>7.54</v>
      </c>
      <c r="PU48">
        <v>7.7779999999999996</v>
      </c>
      <c r="PV48">
        <v>1.0009999999999999</v>
      </c>
      <c r="PW48">
        <v>2300</v>
      </c>
      <c r="QA48" t="s">
        <v>68</v>
      </c>
      <c r="QB48">
        <v>6.9989999999999997</v>
      </c>
      <c r="QC48">
        <v>6.3E-2</v>
      </c>
      <c r="QD48">
        <v>6.8730000000000002</v>
      </c>
      <c r="QE48">
        <v>6.9560000000000004</v>
      </c>
      <c r="QF48">
        <v>7.0019999999999998</v>
      </c>
      <c r="QG48">
        <v>7.0439999999999996</v>
      </c>
      <c r="QH48">
        <v>7.1159999999999997</v>
      </c>
      <c r="QI48">
        <v>1.002</v>
      </c>
      <c r="QJ48">
        <v>1700</v>
      </c>
      <c r="QL48">
        <f t="shared" si="2"/>
        <v>0.43400000000000016</v>
      </c>
    </row>
    <row r="49" spans="1:454">
      <c r="A49" t="s">
        <v>69</v>
      </c>
      <c r="B49">
        <v>6.1150000000000002</v>
      </c>
      <c r="C49">
        <v>1.1000000000000001</v>
      </c>
      <c r="D49">
        <v>4.0469999999999997</v>
      </c>
      <c r="E49">
        <v>5.3550000000000004</v>
      </c>
      <c r="F49">
        <v>6.0819999999999999</v>
      </c>
      <c r="G49">
        <v>6.8680000000000003</v>
      </c>
      <c r="H49">
        <v>8.2929999999999993</v>
      </c>
      <c r="I49">
        <v>1.2170000000000001</v>
      </c>
      <c r="J49">
        <v>14</v>
      </c>
      <c r="O49" t="s">
        <v>69</v>
      </c>
      <c r="P49">
        <v>3.4020000000000001</v>
      </c>
      <c r="Q49">
        <v>2.0009999999999999</v>
      </c>
      <c r="R49">
        <v>0.21099999999999999</v>
      </c>
      <c r="S49">
        <v>1.694</v>
      </c>
      <c r="T49">
        <v>3.286</v>
      </c>
      <c r="U49">
        <v>4.9909999999999997</v>
      </c>
      <c r="V49">
        <v>7.056</v>
      </c>
      <c r="W49">
        <v>1.0169999999999999</v>
      </c>
      <c r="X49">
        <v>140</v>
      </c>
      <c r="AC49" t="s">
        <v>69</v>
      </c>
      <c r="AD49">
        <v>6.2030000000000003</v>
      </c>
      <c r="AE49">
        <v>0.76800000000000002</v>
      </c>
      <c r="AF49">
        <v>4.4809999999999999</v>
      </c>
      <c r="AG49">
        <v>5.7249999999999996</v>
      </c>
      <c r="AH49">
        <v>6.3239999999999998</v>
      </c>
      <c r="AI49">
        <v>6.7930000000000001</v>
      </c>
      <c r="AJ49">
        <v>7.3140000000000001</v>
      </c>
      <c r="AK49">
        <v>1.0009999999999999</v>
      </c>
      <c r="AL49">
        <v>3000</v>
      </c>
      <c r="AQ49" t="s">
        <v>69</v>
      </c>
      <c r="AR49">
        <v>6.2210000000000001</v>
      </c>
      <c r="AS49">
        <v>0.745</v>
      </c>
      <c r="AT49">
        <v>4.5439999999999996</v>
      </c>
      <c r="AU49">
        <v>5.77</v>
      </c>
      <c r="AV49">
        <v>6.3330000000000002</v>
      </c>
      <c r="AW49">
        <v>6.7990000000000004</v>
      </c>
      <c r="AX49">
        <v>7.31</v>
      </c>
      <c r="AY49">
        <v>1.0009999999999999</v>
      </c>
      <c r="AZ49">
        <v>3000</v>
      </c>
      <c r="BE49" t="s">
        <v>69</v>
      </c>
      <c r="BF49">
        <v>5.4329999999999998</v>
      </c>
      <c r="BG49">
        <v>0.83599999999999997</v>
      </c>
      <c r="BH49">
        <v>3.7930000000000001</v>
      </c>
      <c r="BI49">
        <v>4.8559999999999999</v>
      </c>
      <c r="BJ49">
        <v>5.423</v>
      </c>
      <c r="BK49">
        <v>6.05</v>
      </c>
      <c r="BL49">
        <v>7.0149999999999997</v>
      </c>
      <c r="BM49">
        <v>1.018</v>
      </c>
      <c r="BN49">
        <v>130</v>
      </c>
      <c r="BS49" t="s">
        <v>69</v>
      </c>
      <c r="BT49">
        <v>5.859</v>
      </c>
      <c r="BU49">
        <v>0.872</v>
      </c>
      <c r="BV49">
        <v>4.0279999999999996</v>
      </c>
      <c r="BW49">
        <v>5.2380000000000004</v>
      </c>
      <c r="BX49">
        <v>5.9240000000000004</v>
      </c>
      <c r="BY49">
        <v>6.54</v>
      </c>
      <c r="BZ49">
        <v>7.2869999999999999</v>
      </c>
      <c r="CA49">
        <v>1.006</v>
      </c>
      <c r="CB49">
        <v>540</v>
      </c>
      <c r="CG49" t="s">
        <v>69</v>
      </c>
      <c r="CH49">
        <v>5.4630000000000001</v>
      </c>
      <c r="CI49">
        <v>0.79200000000000004</v>
      </c>
      <c r="CJ49">
        <v>3.8730000000000002</v>
      </c>
      <c r="CK49">
        <v>4.9130000000000003</v>
      </c>
      <c r="CL49">
        <v>5.4660000000000002</v>
      </c>
      <c r="CM49">
        <v>6.02</v>
      </c>
      <c r="CN49">
        <v>6.9470000000000001</v>
      </c>
      <c r="CO49">
        <v>1.016</v>
      </c>
      <c r="CP49">
        <v>140</v>
      </c>
      <c r="CU49" t="s">
        <v>69</v>
      </c>
      <c r="CV49">
        <v>6.1689999999999996</v>
      </c>
      <c r="CW49">
        <v>0.74299999999999999</v>
      </c>
      <c r="CX49">
        <v>4.3840000000000003</v>
      </c>
      <c r="CY49">
        <v>5.7270000000000003</v>
      </c>
      <c r="CZ49">
        <v>6.2949999999999999</v>
      </c>
      <c r="DA49">
        <v>6.7359999999999998</v>
      </c>
      <c r="DB49">
        <v>7.2530000000000001</v>
      </c>
      <c r="DC49">
        <v>1.0189999999999999</v>
      </c>
      <c r="DD49">
        <v>150</v>
      </c>
      <c r="DI49" t="s">
        <v>69</v>
      </c>
      <c r="DJ49">
        <v>6.242</v>
      </c>
      <c r="DK49">
        <v>0.749</v>
      </c>
      <c r="DL49">
        <v>4.5369999999999999</v>
      </c>
      <c r="DM49">
        <v>5.77</v>
      </c>
      <c r="DN49">
        <v>6.3780000000000001</v>
      </c>
      <c r="DO49">
        <v>6.8250000000000002</v>
      </c>
      <c r="DP49">
        <v>7.319</v>
      </c>
      <c r="DQ49">
        <v>1.0029999999999999</v>
      </c>
      <c r="DR49">
        <v>840</v>
      </c>
      <c r="DY49" t="s">
        <v>69</v>
      </c>
      <c r="DZ49">
        <v>6.335</v>
      </c>
      <c r="EA49">
        <v>0.69099999999999995</v>
      </c>
      <c r="EB49">
        <v>4.8</v>
      </c>
      <c r="EC49">
        <v>5.9169999999999998</v>
      </c>
      <c r="ED49">
        <v>6.4370000000000003</v>
      </c>
      <c r="EE49">
        <v>6.883</v>
      </c>
      <c r="EF49">
        <v>7.3120000000000003</v>
      </c>
      <c r="EG49">
        <v>1.002</v>
      </c>
      <c r="EH49">
        <v>1600</v>
      </c>
      <c r="EK49" t="s">
        <v>69</v>
      </c>
      <c r="EL49">
        <v>6.0449999999999999</v>
      </c>
      <c r="EM49">
        <v>0.89600000000000002</v>
      </c>
      <c r="EN49">
        <v>4.0170000000000003</v>
      </c>
      <c r="EO49">
        <v>5.4530000000000003</v>
      </c>
      <c r="EP49">
        <v>6.1870000000000003</v>
      </c>
      <c r="EQ49">
        <v>6.7569999999999997</v>
      </c>
      <c r="ER49">
        <v>7.3049999999999997</v>
      </c>
      <c r="ES49">
        <v>1</v>
      </c>
      <c r="ET49">
        <v>1500</v>
      </c>
      <c r="EY49" t="s">
        <v>69</v>
      </c>
      <c r="EZ49">
        <v>5.7859999999999996</v>
      </c>
      <c r="FA49">
        <v>0.95699999999999996</v>
      </c>
      <c r="FB49">
        <v>3.74</v>
      </c>
      <c r="FC49">
        <v>5.1109999999999998</v>
      </c>
      <c r="FD49">
        <v>5.8819999999999997</v>
      </c>
      <c r="FE49">
        <v>6.5490000000000004</v>
      </c>
      <c r="FF49">
        <v>7.2850000000000001</v>
      </c>
      <c r="FG49">
        <v>1.0009999999999999</v>
      </c>
      <c r="FH49">
        <v>3000</v>
      </c>
      <c r="GA49" t="s">
        <v>69</v>
      </c>
      <c r="GB49">
        <v>6.4889999999999999</v>
      </c>
      <c r="GC49">
        <v>0.65800000000000003</v>
      </c>
      <c r="GD49">
        <v>4.9320000000000004</v>
      </c>
      <c r="GE49">
        <v>6.0780000000000003</v>
      </c>
      <c r="GF49">
        <v>6.63</v>
      </c>
      <c r="GG49">
        <v>7.03</v>
      </c>
      <c r="GH49">
        <v>7.3360000000000003</v>
      </c>
      <c r="GI49">
        <v>1.0089999999999999</v>
      </c>
      <c r="GJ49">
        <v>350</v>
      </c>
      <c r="GO49" t="s">
        <v>69</v>
      </c>
      <c r="GP49">
        <v>5.8150000000000004</v>
      </c>
      <c r="GQ49">
        <v>0.95</v>
      </c>
      <c r="GR49">
        <v>3.7589999999999999</v>
      </c>
      <c r="GS49">
        <v>5.1689999999999996</v>
      </c>
      <c r="GT49">
        <v>5.8810000000000002</v>
      </c>
      <c r="GU49">
        <v>6.5679999999999996</v>
      </c>
      <c r="GV49">
        <v>7.28</v>
      </c>
      <c r="GW49">
        <v>1.002</v>
      </c>
      <c r="GX49">
        <v>1800</v>
      </c>
      <c r="HC49" t="s">
        <v>69</v>
      </c>
      <c r="HD49">
        <v>5.9249999999999998</v>
      </c>
      <c r="HE49">
        <v>0.90900000000000003</v>
      </c>
      <c r="HF49">
        <v>3.9950000000000001</v>
      </c>
      <c r="HG49">
        <v>5.3339999999999996</v>
      </c>
      <c r="HH49">
        <v>6.016</v>
      </c>
      <c r="HI49">
        <v>6.6449999999999996</v>
      </c>
      <c r="HJ49">
        <v>7.2789999999999999</v>
      </c>
      <c r="HK49">
        <v>1.002</v>
      </c>
      <c r="HL49">
        <v>1100</v>
      </c>
      <c r="HP49" s="7"/>
      <c r="HQ49" s="7" t="s">
        <v>69</v>
      </c>
      <c r="HR49" s="7">
        <v>5.8639999999999999</v>
      </c>
      <c r="HS49" s="7">
        <v>0.91400000000000003</v>
      </c>
      <c r="HT49" s="7">
        <v>3.94</v>
      </c>
      <c r="HU49" s="7">
        <v>5.22</v>
      </c>
      <c r="HV49" s="7">
        <v>5.968</v>
      </c>
      <c r="HW49" s="7">
        <v>6.6020000000000003</v>
      </c>
      <c r="HX49" s="7">
        <v>7.27</v>
      </c>
      <c r="HY49" s="7">
        <v>1.0049999999999999</v>
      </c>
      <c r="HZ49" s="7">
        <v>630</v>
      </c>
      <c r="IA49" s="7"/>
      <c r="IE49" t="s">
        <v>69</v>
      </c>
      <c r="IF49">
        <v>6.0819999999999999</v>
      </c>
      <c r="IG49">
        <v>0.88400000000000001</v>
      </c>
      <c r="IH49">
        <v>4.0629999999999997</v>
      </c>
      <c r="II49">
        <v>5.5549999999999997</v>
      </c>
      <c r="IJ49">
        <v>6.218</v>
      </c>
      <c r="IK49">
        <v>6.7850000000000001</v>
      </c>
      <c r="IL49">
        <v>7.3179999999999996</v>
      </c>
      <c r="IM49">
        <v>1.002</v>
      </c>
      <c r="IN49">
        <v>1400</v>
      </c>
      <c r="IS49" t="s">
        <v>69</v>
      </c>
      <c r="IT49">
        <v>6.2489999999999997</v>
      </c>
      <c r="IU49">
        <v>0.79600000000000004</v>
      </c>
      <c r="IV49">
        <v>4.319</v>
      </c>
      <c r="IW49">
        <v>5.7619999999999996</v>
      </c>
      <c r="IX49">
        <v>6.4139999999999997</v>
      </c>
      <c r="IY49">
        <v>6.8719999999999999</v>
      </c>
      <c r="IZ49">
        <v>7.3170000000000002</v>
      </c>
      <c r="JA49">
        <v>1.002</v>
      </c>
      <c r="JB49">
        <v>1100</v>
      </c>
      <c r="JF49" t="s">
        <v>69</v>
      </c>
      <c r="JG49">
        <v>5.9630000000000001</v>
      </c>
      <c r="JH49">
        <v>0.88400000000000001</v>
      </c>
      <c r="JI49">
        <v>4.0599999999999996</v>
      </c>
      <c r="JJ49">
        <v>5.3630000000000004</v>
      </c>
      <c r="JK49">
        <v>6.0389999999999997</v>
      </c>
      <c r="JL49">
        <v>6.6680000000000001</v>
      </c>
      <c r="JM49">
        <v>7.3029999999999999</v>
      </c>
      <c r="JN49">
        <v>1.0029999999999999</v>
      </c>
      <c r="JO49">
        <v>770</v>
      </c>
      <c r="JT49" t="s">
        <v>69</v>
      </c>
      <c r="JU49">
        <v>5.9180000000000001</v>
      </c>
      <c r="JV49">
        <v>0.89400000000000002</v>
      </c>
      <c r="JW49">
        <v>4.0460000000000003</v>
      </c>
      <c r="JX49">
        <v>5.29</v>
      </c>
      <c r="JY49">
        <v>6.0049999999999999</v>
      </c>
      <c r="JZ49">
        <v>6.6449999999999996</v>
      </c>
      <c r="KA49">
        <v>7.274</v>
      </c>
      <c r="KB49">
        <v>1.002</v>
      </c>
      <c r="KC49">
        <v>1900</v>
      </c>
      <c r="KH49" t="s">
        <v>69</v>
      </c>
      <c r="KI49">
        <v>5.907</v>
      </c>
      <c r="KJ49">
        <v>0.91600000000000004</v>
      </c>
      <c r="KK49">
        <v>3.9929999999999999</v>
      </c>
      <c r="KL49">
        <v>5.258</v>
      </c>
      <c r="KM49">
        <v>6.0060000000000002</v>
      </c>
      <c r="KN49">
        <v>6.6609999999999996</v>
      </c>
      <c r="KO49">
        <v>7.2889999999999997</v>
      </c>
      <c r="KP49">
        <v>1.002</v>
      </c>
      <c r="KQ49">
        <v>1600</v>
      </c>
      <c r="KR49">
        <f t="shared" si="0"/>
        <v>367.60169446289416</v>
      </c>
      <c r="KV49" t="s">
        <v>69</v>
      </c>
      <c r="KW49">
        <v>6.9210000000000003</v>
      </c>
      <c r="KX49">
        <v>0.153</v>
      </c>
      <c r="KY49">
        <v>6.5490000000000004</v>
      </c>
      <c r="KZ49">
        <v>6.8419999999999996</v>
      </c>
      <c r="LA49">
        <v>6.9470000000000001</v>
      </c>
      <c r="LB49">
        <v>7.0270000000000001</v>
      </c>
      <c r="LC49">
        <v>7.15</v>
      </c>
      <c r="LD49">
        <v>1.002</v>
      </c>
      <c r="LE49">
        <v>1600</v>
      </c>
      <c r="LJ49" t="s">
        <v>69</v>
      </c>
      <c r="LK49">
        <v>2.3540000000000001</v>
      </c>
      <c r="LL49">
        <v>0.78200000000000003</v>
      </c>
      <c r="LM49">
        <v>0.64500000000000002</v>
      </c>
      <c r="LN49">
        <v>1.8560000000000001</v>
      </c>
      <c r="LO49">
        <v>2.415</v>
      </c>
      <c r="LP49">
        <v>2.907</v>
      </c>
      <c r="LQ49">
        <v>3.6909999999999998</v>
      </c>
      <c r="LR49">
        <v>1.0049999999999999</v>
      </c>
      <c r="LS49">
        <v>3000</v>
      </c>
      <c r="LX49" t="s">
        <v>69</v>
      </c>
      <c r="LY49">
        <v>2.278</v>
      </c>
      <c r="LZ49">
        <v>0.877</v>
      </c>
      <c r="MA49">
        <v>0.46300000000000002</v>
      </c>
      <c r="MB49">
        <v>1.712</v>
      </c>
      <c r="MC49">
        <v>2.3170000000000002</v>
      </c>
      <c r="MD49">
        <v>2.9060000000000001</v>
      </c>
      <c r="ME49">
        <v>3.9119999999999999</v>
      </c>
      <c r="MF49">
        <v>1.02</v>
      </c>
      <c r="MG49">
        <v>110</v>
      </c>
      <c r="ML49" t="s">
        <v>69</v>
      </c>
      <c r="MM49">
        <v>7.008</v>
      </c>
      <c r="MN49">
        <v>0.14499999999999999</v>
      </c>
      <c r="MO49">
        <v>6.6509999999999998</v>
      </c>
      <c r="MP49">
        <v>6.9340000000000002</v>
      </c>
      <c r="MQ49">
        <v>7.0350000000000001</v>
      </c>
      <c r="MR49">
        <v>7.109</v>
      </c>
      <c r="MS49">
        <v>7.2169999999999996</v>
      </c>
      <c r="MT49">
        <v>1.0009999999999999</v>
      </c>
      <c r="MU49">
        <v>13000</v>
      </c>
      <c r="MZ49" t="s">
        <v>69</v>
      </c>
      <c r="NA49">
        <v>7.0060000000000002</v>
      </c>
      <c r="NB49">
        <v>0.14000000000000001</v>
      </c>
      <c r="NC49">
        <v>6.649</v>
      </c>
      <c r="ND49">
        <v>6.9379999999999997</v>
      </c>
      <c r="NE49">
        <v>7.0339999999999998</v>
      </c>
      <c r="NF49">
        <v>7.1029999999999998</v>
      </c>
      <c r="NG49">
        <v>7.2080000000000002</v>
      </c>
      <c r="NH49">
        <v>1.002</v>
      </c>
      <c r="NI49">
        <v>1200</v>
      </c>
      <c r="NM49" t="s">
        <v>69</v>
      </c>
      <c r="NN49">
        <v>7.1840000000000002</v>
      </c>
      <c r="NO49">
        <v>0.124</v>
      </c>
      <c r="NP49">
        <v>6.9059999999999997</v>
      </c>
      <c r="NQ49">
        <v>7.1029999999999998</v>
      </c>
      <c r="NR49">
        <v>7.202</v>
      </c>
      <c r="NS49">
        <v>7.2830000000000004</v>
      </c>
      <c r="NT49">
        <v>7.3630000000000004</v>
      </c>
      <c r="NU49">
        <v>1.0009999999999999</v>
      </c>
      <c r="NV49">
        <v>18000</v>
      </c>
      <c r="NY49" t="s">
        <v>69</v>
      </c>
      <c r="NZ49">
        <v>7.1660000000000004</v>
      </c>
      <c r="OA49">
        <v>0.13300000000000001</v>
      </c>
      <c r="OB49">
        <v>6.8710000000000004</v>
      </c>
      <c r="OC49">
        <v>7.0780000000000003</v>
      </c>
      <c r="OD49">
        <v>7.1840000000000002</v>
      </c>
      <c r="OE49">
        <v>7.2720000000000002</v>
      </c>
      <c r="OF49">
        <v>7.359</v>
      </c>
      <c r="OG49">
        <v>1.0009999999999999</v>
      </c>
      <c r="OH49">
        <v>16000</v>
      </c>
      <c r="OP49" t="s">
        <v>69</v>
      </c>
      <c r="OQ49">
        <v>7.1769999999999996</v>
      </c>
      <c r="OR49">
        <v>0.13200000000000001</v>
      </c>
      <c r="OS49">
        <v>6.875</v>
      </c>
      <c r="OT49">
        <v>7.0910000000000002</v>
      </c>
      <c r="OU49">
        <v>7.1989999999999998</v>
      </c>
      <c r="OV49">
        <v>7.2830000000000004</v>
      </c>
      <c r="OW49">
        <v>7.3659999999999997</v>
      </c>
      <c r="OX49">
        <v>1.002</v>
      </c>
      <c r="OY49">
        <v>1200</v>
      </c>
      <c r="PB49" t="s">
        <v>69</v>
      </c>
      <c r="PC49">
        <v>7.1959999999999997</v>
      </c>
      <c r="PD49">
        <v>0.11899999999999999</v>
      </c>
      <c r="PE49">
        <v>6.9340000000000002</v>
      </c>
      <c r="PF49">
        <v>7.12</v>
      </c>
      <c r="PG49">
        <v>7.2149999999999999</v>
      </c>
      <c r="PH49">
        <v>7.2910000000000004</v>
      </c>
      <c r="PI49">
        <v>7.3630000000000004</v>
      </c>
      <c r="PJ49">
        <v>1.002</v>
      </c>
      <c r="PK49">
        <v>1100</v>
      </c>
      <c r="PN49" t="s">
        <v>69</v>
      </c>
      <c r="PO49">
        <v>7.1429999999999998</v>
      </c>
      <c r="PP49">
        <v>0.14299999999999999</v>
      </c>
      <c r="PQ49">
        <v>6.8250000000000002</v>
      </c>
      <c r="PR49">
        <v>7.0510000000000002</v>
      </c>
      <c r="PS49">
        <v>7.1639999999999997</v>
      </c>
      <c r="PT49">
        <v>7.2539999999999996</v>
      </c>
      <c r="PU49">
        <v>7.3609999999999998</v>
      </c>
      <c r="PV49">
        <v>1.0009999999999999</v>
      </c>
      <c r="PW49">
        <v>3000</v>
      </c>
      <c r="QA49" t="s">
        <v>69</v>
      </c>
      <c r="QB49">
        <v>6.7649999999999997</v>
      </c>
      <c r="QC49">
        <v>0.104</v>
      </c>
      <c r="QD49">
        <v>6.5650000000000004</v>
      </c>
      <c r="QE49">
        <v>6.6909999999999998</v>
      </c>
      <c r="QF49">
        <v>6.77</v>
      </c>
      <c r="QG49">
        <v>6.843</v>
      </c>
      <c r="QH49">
        <v>6.9390000000000001</v>
      </c>
      <c r="QI49">
        <v>1.135</v>
      </c>
      <c r="QJ49">
        <v>20</v>
      </c>
      <c r="QL49">
        <f t="shared" si="2"/>
        <v>0.37800000000000011</v>
      </c>
    </row>
    <row r="50" spans="1:454">
      <c r="A50" t="s">
        <v>70</v>
      </c>
      <c r="B50">
        <v>6.1210000000000004</v>
      </c>
      <c r="C50">
        <v>1.18</v>
      </c>
      <c r="D50">
        <v>3.9369999999999998</v>
      </c>
      <c r="E50">
        <v>5.3159999999999998</v>
      </c>
      <c r="F50">
        <v>6.0650000000000004</v>
      </c>
      <c r="G50">
        <v>6.9189999999999996</v>
      </c>
      <c r="H50">
        <v>8.4719999999999995</v>
      </c>
      <c r="I50">
        <v>1.2010000000000001</v>
      </c>
      <c r="J50">
        <v>15</v>
      </c>
      <c r="O50" t="s">
        <v>70</v>
      </c>
      <c r="P50">
        <v>2.2370000000000001</v>
      </c>
      <c r="Q50">
        <v>1.996</v>
      </c>
      <c r="R50">
        <v>2.3E-2</v>
      </c>
      <c r="S50">
        <v>0.48399999999999999</v>
      </c>
      <c r="T50">
        <v>1.6359999999999999</v>
      </c>
      <c r="U50">
        <v>3.6669999999999998</v>
      </c>
      <c r="V50">
        <v>6.6959999999999997</v>
      </c>
      <c r="W50">
        <v>1.03</v>
      </c>
      <c r="X50">
        <v>88</v>
      </c>
      <c r="AC50" t="s">
        <v>70</v>
      </c>
      <c r="AD50">
        <v>5.5659999999999998</v>
      </c>
      <c r="AE50">
        <v>0.94</v>
      </c>
      <c r="AF50">
        <v>3.5840000000000001</v>
      </c>
      <c r="AG50">
        <v>4.95</v>
      </c>
      <c r="AH50">
        <v>5.5919999999999996</v>
      </c>
      <c r="AI50">
        <v>6.2510000000000003</v>
      </c>
      <c r="AJ50">
        <v>7.1909999999999998</v>
      </c>
      <c r="AK50">
        <v>1.0009999999999999</v>
      </c>
      <c r="AL50">
        <v>3000</v>
      </c>
      <c r="AQ50" t="s">
        <v>70</v>
      </c>
      <c r="AR50">
        <v>5.5869999999999997</v>
      </c>
      <c r="AS50">
        <v>0.876</v>
      </c>
      <c r="AT50">
        <v>3.8159999999999998</v>
      </c>
      <c r="AU50">
        <v>4.9809999999999999</v>
      </c>
      <c r="AV50">
        <v>5.6219999999999999</v>
      </c>
      <c r="AW50">
        <v>6.2290000000000001</v>
      </c>
      <c r="AX50">
        <v>7.141</v>
      </c>
      <c r="AY50">
        <v>1.0009999999999999</v>
      </c>
      <c r="AZ50">
        <v>3000</v>
      </c>
      <c r="BE50" t="s">
        <v>70</v>
      </c>
      <c r="BF50">
        <v>5.3310000000000004</v>
      </c>
      <c r="BG50">
        <v>0.75600000000000001</v>
      </c>
      <c r="BH50">
        <v>3.8639999999999999</v>
      </c>
      <c r="BI50">
        <v>4.8129999999999997</v>
      </c>
      <c r="BJ50">
        <v>5.319</v>
      </c>
      <c r="BK50">
        <v>5.8479999999999999</v>
      </c>
      <c r="BL50">
        <v>6.8419999999999996</v>
      </c>
      <c r="BM50">
        <v>1.0029999999999999</v>
      </c>
      <c r="BN50">
        <v>1200</v>
      </c>
      <c r="BS50" t="s">
        <v>70</v>
      </c>
      <c r="BT50">
        <v>5.1470000000000002</v>
      </c>
      <c r="BU50">
        <v>0.93600000000000005</v>
      </c>
      <c r="BV50">
        <v>3.3610000000000002</v>
      </c>
      <c r="BW50">
        <v>4.4880000000000004</v>
      </c>
      <c r="BX50">
        <v>5.1379999999999999</v>
      </c>
      <c r="BY50">
        <v>5.7859999999999996</v>
      </c>
      <c r="BZ50">
        <v>6.9489999999999998</v>
      </c>
      <c r="CA50">
        <v>1.004</v>
      </c>
      <c r="CB50">
        <v>630</v>
      </c>
      <c r="CG50" t="s">
        <v>70</v>
      </c>
      <c r="CH50">
        <v>5.1619999999999999</v>
      </c>
      <c r="CI50">
        <v>0.76700000000000002</v>
      </c>
      <c r="CJ50">
        <v>3.7050000000000001</v>
      </c>
      <c r="CK50">
        <v>4.6310000000000002</v>
      </c>
      <c r="CL50">
        <v>5.1680000000000001</v>
      </c>
      <c r="CM50">
        <v>5.6740000000000004</v>
      </c>
      <c r="CN50">
        <v>6.7130000000000001</v>
      </c>
      <c r="CO50">
        <v>1.0129999999999999</v>
      </c>
      <c r="CP50">
        <v>160</v>
      </c>
      <c r="CU50" t="s">
        <v>70</v>
      </c>
      <c r="CV50">
        <v>5.39</v>
      </c>
      <c r="CW50">
        <v>0.85399999999999998</v>
      </c>
      <c r="CX50">
        <v>3.597</v>
      </c>
      <c r="CY50">
        <v>4.8310000000000004</v>
      </c>
      <c r="CZ50">
        <v>5.43</v>
      </c>
      <c r="DA50">
        <v>5.9770000000000003</v>
      </c>
      <c r="DB50">
        <v>6.9710000000000001</v>
      </c>
      <c r="DC50">
        <v>1.01</v>
      </c>
      <c r="DD50">
        <v>270</v>
      </c>
      <c r="DI50" t="s">
        <v>70</v>
      </c>
      <c r="DJ50">
        <v>5.617</v>
      </c>
      <c r="DK50">
        <v>0.91800000000000004</v>
      </c>
      <c r="DL50">
        <v>3.7130000000000001</v>
      </c>
      <c r="DM50">
        <v>4.9909999999999997</v>
      </c>
      <c r="DN50">
        <v>5.6609999999999996</v>
      </c>
      <c r="DO50">
        <v>6.2809999999999997</v>
      </c>
      <c r="DP50">
        <v>7.2160000000000002</v>
      </c>
      <c r="DQ50">
        <v>1.004</v>
      </c>
      <c r="DR50">
        <v>520</v>
      </c>
      <c r="DY50" t="s">
        <v>70</v>
      </c>
      <c r="DZ50">
        <v>5.83</v>
      </c>
      <c r="EA50">
        <v>0.86199999999999999</v>
      </c>
      <c r="EB50">
        <v>4.0030000000000001</v>
      </c>
      <c r="EC50">
        <v>5.2530000000000001</v>
      </c>
      <c r="ED50">
        <v>5.8710000000000004</v>
      </c>
      <c r="EE50">
        <v>6.4870000000000001</v>
      </c>
      <c r="EF50">
        <v>7.27</v>
      </c>
      <c r="EG50">
        <v>1.004</v>
      </c>
      <c r="EH50">
        <v>1000</v>
      </c>
      <c r="EK50" t="s">
        <v>70</v>
      </c>
      <c r="EL50">
        <v>5.593</v>
      </c>
      <c r="EM50">
        <v>1.0509999999999999</v>
      </c>
      <c r="EN50">
        <v>3.3940000000000001</v>
      </c>
      <c r="EO50">
        <v>4.9080000000000004</v>
      </c>
      <c r="EP50">
        <v>5.6950000000000003</v>
      </c>
      <c r="EQ50">
        <v>6.4119999999999999</v>
      </c>
      <c r="ER50">
        <v>7.2709999999999999</v>
      </c>
      <c r="ES50">
        <v>1.0009999999999999</v>
      </c>
      <c r="ET50">
        <v>1500</v>
      </c>
      <c r="EY50" t="s">
        <v>70</v>
      </c>
      <c r="EZ50">
        <v>3.95</v>
      </c>
      <c r="FA50">
        <v>0.92800000000000005</v>
      </c>
      <c r="FB50">
        <v>2.238</v>
      </c>
      <c r="FC50">
        <v>3.3119999999999998</v>
      </c>
      <c r="FD50">
        <v>3.8980000000000001</v>
      </c>
      <c r="FE50">
        <v>4.5460000000000003</v>
      </c>
      <c r="FF50">
        <v>5.9109999999999996</v>
      </c>
      <c r="FG50">
        <v>1.0009999999999999</v>
      </c>
      <c r="FH50">
        <v>3000</v>
      </c>
      <c r="GA50" t="s">
        <v>70</v>
      </c>
      <c r="GB50">
        <v>6.7629999999999999</v>
      </c>
      <c r="GC50">
        <v>0.46600000000000003</v>
      </c>
      <c r="GD50">
        <v>5.6369999999999996</v>
      </c>
      <c r="GE50">
        <v>6.48</v>
      </c>
      <c r="GF50">
        <v>6.8639999999999999</v>
      </c>
      <c r="GG50">
        <v>7.1360000000000001</v>
      </c>
      <c r="GH50">
        <v>7.3559999999999999</v>
      </c>
      <c r="GI50">
        <v>1.0029999999999999</v>
      </c>
      <c r="GJ50">
        <v>710</v>
      </c>
      <c r="GO50" t="s">
        <v>70</v>
      </c>
      <c r="GP50">
        <v>4.0579999999999998</v>
      </c>
      <c r="GQ50">
        <v>0.94699999999999995</v>
      </c>
      <c r="GR50">
        <v>2.3690000000000002</v>
      </c>
      <c r="GS50">
        <v>3.395</v>
      </c>
      <c r="GT50">
        <v>3.9889999999999999</v>
      </c>
      <c r="GU50">
        <v>4.6429999999999998</v>
      </c>
      <c r="GV50">
        <v>6.1130000000000004</v>
      </c>
      <c r="GW50">
        <v>1.0029999999999999</v>
      </c>
      <c r="GX50">
        <v>890</v>
      </c>
      <c r="HC50" t="s">
        <v>70</v>
      </c>
      <c r="HD50">
        <v>4.1680000000000001</v>
      </c>
      <c r="HE50">
        <v>0.874</v>
      </c>
      <c r="HF50">
        <v>2.573</v>
      </c>
      <c r="HG50">
        <v>3.5710000000000002</v>
      </c>
      <c r="HH50">
        <v>4.1349999999999998</v>
      </c>
      <c r="HI50">
        <v>4.7039999999999997</v>
      </c>
      <c r="HJ50">
        <v>6.0469999999999997</v>
      </c>
      <c r="HK50">
        <v>1.002</v>
      </c>
      <c r="HL50">
        <v>1500</v>
      </c>
      <c r="HP50" s="7"/>
      <c r="HQ50" s="7" t="s">
        <v>70</v>
      </c>
      <c r="HR50" s="7">
        <v>4.556</v>
      </c>
      <c r="HS50" s="7">
        <v>0.79600000000000004</v>
      </c>
      <c r="HT50" s="7">
        <v>3.1440000000000001</v>
      </c>
      <c r="HU50" s="7">
        <v>4.0199999999999996</v>
      </c>
      <c r="HV50" s="7">
        <v>4.49</v>
      </c>
      <c r="HW50" s="7">
        <v>5.0170000000000003</v>
      </c>
      <c r="HX50" s="7">
        <v>6.3869999999999996</v>
      </c>
      <c r="HY50" s="7">
        <v>1.002</v>
      </c>
      <c r="HZ50" s="7">
        <v>1300</v>
      </c>
      <c r="IA50" s="7"/>
      <c r="IE50" t="s">
        <v>70</v>
      </c>
      <c r="IF50">
        <v>5.0640000000000001</v>
      </c>
      <c r="IG50">
        <v>0.60599999999999998</v>
      </c>
      <c r="IH50">
        <v>4.0279999999999996</v>
      </c>
      <c r="II50">
        <v>4.6509999999999998</v>
      </c>
      <c r="IJ50">
        <v>5.0049999999999999</v>
      </c>
      <c r="IK50">
        <v>5.4109999999999996</v>
      </c>
      <c r="IL50">
        <v>6.49</v>
      </c>
      <c r="IM50">
        <v>1.002</v>
      </c>
      <c r="IN50">
        <v>1100</v>
      </c>
      <c r="IS50" t="s">
        <v>70</v>
      </c>
      <c r="IT50">
        <v>5.3550000000000004</v>
      </c>
      <c r="IU50">
        <v>0.65100000000000002</v>
      </c>
      <c r="IV50">
        <v>4.2560000000000002</v>
      </c>
      <c r="IW50">
        <v>4.8819999999999997</v>
      </c>
      <c r="IX50">
        <v>5.2779999999999996</v>
      </c>
      <c r="IY50">
        <v>5.7670000000000003</v>
      </c>
      <c r="IZ50">
        <v>6.8120000000000003</v>
      </c>
      <c r="JA50">
        <v>1.0009999999999999</v>
      </c>
      <c r="JB50">
        <v>2200</v>
      </c>
      <c r="JF50" t="s">
        <v>70</v>
      </c>
      <c r="JG50">
        <v>4.6719999999999997</v>
      </c>
      <c r="JH50">
        <v>0.77300000000000002</v>
      </c>
      <c r="JI50">
        <v>3.2930000000000001</v>
      </c>
      <c r="JJ50">
        <v>4.1379999999999999</v>
      </c>
      <c r="JK50">
        <v>4.625</v>
      </c>
      <c r="JL50">
        <v>5.1559999999999997</v>
      </c>
      <c r="JM50">
        <v>6.391</v>
      </c>
      <c r="JN50">
        <v>1.002</v>
      </c>
      <c r="JO50">
        <v>1600</v>
      </c>
      <c r="JT50" t="s">
        <v>70</v>
      </c>
      <c r="JU50">
        <v>4.54</v>
      </c>
      <c r="JV50">
        <v>0.81399999999999995</v>
      </c>
      <c r="JW50">
        <v>3.0760000000000001</v>
      </c>
      <c r="JX50">
        <v>3.9750000000000001</v>
      </c>
      <c r="JY50">
        <v>4.484</v>
      </c>
      <c r="JZ50">
        <v>5.0549999999999997</v>
      </c>
      <c r="KA50">
        <v>6.28</v>
      </c>
      <c r="KB50">
        <v>1.0009999999999999</v>
      </c>
      <c r="KC50">
        <v>3000</v>
      </c>
      <c r="KH50" t="s">
        <v>70</v>
      </c>
      <c r="KI50">
        <v>4.5759999999999996</v>
      </c>
      <c r="KJ50">
        <v>0.82899999999999996</v>
      </c>
      <c r="KK50">
        <v>3.0920000000000001</v>
      </c>
      <c r="KL50">
        <v>3.988</v>
      </c>
      <c r="KM50">
        <v>4.5</v>
      </c>
      <c r="KN50">
        <v>5.07</v>
      </c>
      <c r="KO50">
        <v>6.468</v>
      </c>
      <c r="KP50">
        <v>1.002</v>
      </c>
      <c r="KQ50">
        <v>1400</v>
      </c>
      <c r="KR50">
        <f t="shared" si="0"/>
        <v>97.125115706265191</v>
      </c>
      <c r="KV50" t="s">
        <v>70</v>
      </c>
      <c r="KW50">
        <v>5.5019999999999998</v>
      </c>
      <c r="KX50">
        <v>0.38</v>
      </c>
      <c r="KY50">
        <v>4.7610000000000001</v>
      </c>
      <c r="KZ50">
        <v>5.25</v>
      </c>
      <c r="LA50">
        <v>5.4989999999999997</v>
      </c>
      <c r="LB50">
        <v>5.7469999999999999</v>
      </c>
      <c r="LC50">
        <v>6.26</v>
      </c>
      <c r="LD50">
        <v>1.004</v>
      </c>
      <c r="LE50">
        <v>610</v>
      </c>
      <c r="LJ50" t="s">
        <v>70</v>
      </c>
      <c r="LK50">
        <v>2.1269999999999998</v>
      </c>
      <c r="LL50">
        <v>1.127</v>
      </c>
      <c r="LM50">
        <v>-0.46</v>
      </c>
      <c r="LN50">
        <v>1.4530000000000001</v>
      </c>
      <c r="LO50">
        <v>2.2530000000000001</v>
      </c>
      <c r="LP50">
        <v>2.96</v>
      </c>
      <c r="LQ50">
        <v>3.9409999999999998</v>
      </c>
      <c r="LR50">
        <v>1.0029999999999999</v>
      </c>
      <c r="LS50">
        <v>1000</v>
      </c>
      <c r="LX50" t="s">
        <v>70</v>
      </c>
      <c r="LY50">
        <v>0.877</v>
      </c>
      <c r="LZ50">
        <v>1.5309999999999999</v>
      </c>
      <c r="MA50">
        <v>-2.6419999999999999</v>
      </c>
      <c r="MB50">
        <v>-4.7E-2</v>
      </c>
      <c r="MC50">
        <v>1.054</v>
      </c>
      <c r="MD50">
        <v>1.9970000000000001</v>
      </c>
      <c r="ME50">
        <v>3.3660000000000001</v>
      </c>
      <c r="MF50">
        <v>1.3839999999999999</v>
      </c>
      <c r="MG50">
        <v>9</v>
      </c>
      <c r="ML50" t="s">
        <v>70</v>
      </c>
      <c r="MM50">
        <v>5.9329999999999998</v>
      </c>
      <c r="MN50">
        <v>0.36199999999999999</v>
      </c>
      <c r="MO50">
        <v>5.23</v>
      </c>
      <c r="MP50">
        <v>5.6879999999999997</v>
      </c>
      <c r="MQ50">
        <v>5.9320000000000004</v>
      </c>
      <c r="MR50">
        <v>6.1760000000000002</v>
      </c>
      <c r="MS50">
        <v>6.6459999999999999</v>
      </c>
      <c r="MT50">
        <v>1.0009999999999999</v>
      </c>
      <c r="MU50">
        <v>32000</v>
      </c>
      <c r="MZ50" t="s">
        <v>70</v>
      </c>
      <c r="NA50">
        <v>5.9290000000000003</v>
      </c>
      <c r="NB50">
        <v>0.34200000000000003</v>
      </c>
      <c r="NC50">
        <v>5.2649999999999997</v>
      </c>
      <c r="ND50">
        <v>5.7</v>
      </c>
      <c r="NE50">
        <v>5.93</v>
      </c>
      <c r="NF50">
        <v>6.1589999999999998</v>
      </c>
      <c r="NG50">
        <v>6.6059999999999999</v>
      </c>
      <c r="NH50">
        <v>1.004</v>
      </c>
      <c r="NI50">
        <v>610</v>
      </c>
      <c r="NM50" t="s">
        <v>70</v>
      </c>
      <c r="NN50">
        <v>7.0490000000000004</v>
      </c>
      <c r="NO50">
        <v>0.189</v>
      </c>
      <c r="NP50">
        <v>6.6559999999999997</v>
      </c>
      <c r="NQ50">
        <v>6.923</v>
      </c>
      <c r="NR50">
        <v>7.06</v>
      </c>
      <c r="NS50">
        <v>7.181</v>
      </c>
      <c r="NT50">
        <v>7.3979999999999997</v>
      </c>
      <c r="NU50">
        <v>1.0009999999999999</v>
      </c>
      <c r="NV50">
        <v>30000</v>
      </c>
      <c r="NY50" t="s">
        <v>70</v>
      </c>
      <c r="NZ50">
        <v>7.0229999999999997</v>
      </c>
      <c r="OA50">
        <v>0.19800000000000001</v>
      </c>
      <c r="OB50">
        <v>6.6120000000000001</v>
      </c>
      <c r="OC50">
        <v>6.8920000000000003</v>
      </c>
      <c r="OD50">
        <v>7.0339999999999998</v>
      </c>
      <c r="OE50">
        <v>7.1639999999999997</v>
      </c>
      <c r="OF50">
        <v>7.3819999999999997</v>
      </c>
      <c r="OG50">
        <v>1.0009999999999999</v>
      </c>
      <c r="OH50">
        <v>22000</v>
      </c>
      <c r="OP50" t="s">
        <v>70</v>
      </c>
      <c r="OQ50">
        <v>7.0449999999999999</v>
      </c>
      <c r="OR50">
        <v>0.20399999999999999</v>
      </c>
      <c r="OS50">
        <v>6.62</v>
      </c>
      <c r="OT50">
        <v>6.9080000000000004</v>
      </c>
      <c r="OU50">
        <v>7.056</v>
      </c>
      <c r="OV50">
        <v>7.1909999999999998</v>
      </c>
      <c r="OW50">
        <v>7.415</v>
      </c>
      <c r="OX50">
        <v>1.002</v>
      </c>
      <c r="OY50">
        <v>1800</v>
      </c>
      <c r="PB50" t="s">
        <v>70</v>
      </c>
      <c r="PC50">
        <v>7.0670000000000002</v>
      </c>
      <c r="PD50">
        <v>0.185</v>
      </c>
      <c r="PE50">
        <v>6.6929999999999996</v>
      </c>
      <c r="PF50">
        <v>6.9459999999999997</v>
      </c>
      <c r="PG50">
        <v>7.0739999999999998</v>
      </c>
      <c r="PH50">
        <v>7.2009999999999996</v>
      </c>
      <c r="PI50">
        <v>7.41</v>
      </c>
      <c r="PJ50">
        <v>1.002</v>
      </c>
      <c r="PK50">
        <v>1400</v>
      </c>
      <c r="PN50" t="s">
        <v>70</v>
      </c>
      <c r="PO50">
        <v>7.109</v>
      </c>
      <c r="PP50">
        <v>0.159</v>
      </c>
      <c r="PQ50">
        <v>6.7649999999999997</v>
      </c>
      <c r="PR50">
        <v>7.0069999999999997</v>
      </c>
      <c r="PS50">
        <v>7.1260000000000003</v>
      </c>
      <c r="PT50">
        <v>7.2290000000000001</v>
      </c>
      <c r="PU50">
        <v>7.3680000000000003</v>
      </c>
      <c r="PV50">
        <v>1.0009999999999999</v>
      </c>
      <c r="PW50">
        <v>3000</v>
      </c>
      <c r="QA50" t="s">
        <v>70</v>
      </c>
      <c r="QB50">
        <v>6.7380000000000004</v>
      </c>
      <c r="QC50">
        <v>0.113</v>
      </c>
      <c r="QD50">
        <v>6.5190000000000001</v>
      </c>
      <c r="QE50">
        <v>6.657</v>
      </c>
      <c r="QF50">
        <v>6.7430000000000003</v>
      </c>
      <c r="QG50">
        <v>6.8230000000000004</v>
      </c>
      <c r="QH50">
        <v>6.9249999999999998</v>
      </c>
      <c r="QI50">
        <v>1.143</v>
      </c>
      <c r="QJ50">
        <v>19</v>
      </c>
      <c r="QL50">
        <f t="shared" si="2"/>
        <v>0.37099999999999955</v>
      </c>
    </row>
    <row r="51" spans="1:454">
      <c r="A51" t="s">
        <v>71</v>
      </c>
      <c r="B51">
        <v>6.3710000000000004</v>
      </c>
      <c r="C51">
        <v>1.1319999999999999</v>
      </c>
      <c r="D51">
        <v>4.0510000000000002</v>
      </c>
      <c r="E51">
        <v>5.6189999999999998</v>
      </c>
      <c r="F51">
        <v>6.3970000000000002</v>
      </c>
      <c r="G51">
        <v>7.0640000000000001</v>
      </c>
      <c r="H51">
        <v>8.7750000000000004</v>
      </c>
      <c r="I51">
        <v>1.139</v>
      </c>
      <c r="J51">
        <v>21</v>
      </c>
      <c r="O51" t="s">
        <v>71</v>
      </c>
      <c r="P51">
        <v>6.8929999999999998</v>
      </c>
      <c r="Q51">
        <v>0.54800000000000004</v>
      </c>
      <c r="R51">
        <v>5.3789999999999996</v>
      </c>
      <c r="S51">
        <v>6.69</v>
      </c>
      <c r="T51">
        <v>7.0860000000000003</v>
      </c>
      <c r="U51">
        <v>7.2830000000000004</v>
      </c>
      <c r="V51">
        <v>7.3739999999999997</v>
      </c>
      <c r="W51">
        <v>1.01</v>
      </c>
      <c r="X51">
        <v>370</v>
      </c>
      <c r="AC51" t="s">
        <v>71</v>
      </c>
      <c r="AD51">
        <v>7.1120000000000001</v>
      </c>
      <c r="AE51">
        <v>0.28799999999999998</v>
      </c>
      <c r="AF51">
        <v>6.31</v>
      </c>
      <c r="AG51">
        <v>7.0090000000000003</v>
      </c>
      <c r="AH51">
        <v>7.2080000000000002</v>
      </c>
      <c r="AI51">
        <v>7.3150000000000004</v>
      </c>
      <c r="AJ51">
        <v>7.3780000000000001</v>
      </c>
      <c r="AK51">
        <v>1.004</v>
      </c>
      <c r="AL51">
        <v>1500</v>
      </c>
      <c r="AQ51" t="s">
        <v>71</v>
      </c>
      <c r="AR51">
        <v>7.1050000000000004</v>
      </c>
      <c r="AS51">
        <v>0.28199999999999997</v>
      </c>
      <c r="AT51">
        <v>6.3380000000000001</v>
      </c>
      <c r="AU51">
        <v>6.992</v>
      </c>
      <c r="AV51">
        <v>7.1970000000000001</v>
      </c>
      <c r="AW51">
        <v>7.3090000000000002</v>
      </c>
      <c r="AX51">
        <v>7.375</v>
      </c>
      <c r="AY51">
        <v>1.0009999999999999</v>
      </c>
      <c r="AZ51">
        <v>3000</v>
      </c>
      <c r="BE51" t="s">
        <v>71</v>
      </c>
      <c r="BF51">
        <v>7.173</v>
      </c>
      <c r="BG51">
        <v>0.20599999999999999</v>
      </c>
      <c r="BH51">
        <v>6.6050000000000004</v>
      </c>
      <c r="BI51">
        <v>7.0869999999999997</v>
      </c>
      <c r="BJ51">
        <v>7.2380000000000004</v>
      </c>
      <c r="BK51">
        <v>7.3209999999999997</v>
      </c>
      <c r="BL51">
        <v>7.3739999999999997</v>
      </c>
      <c r="BM51">
        <v>1.0009999999999999</v>
      </c>
      <c r="BN51">
        <v>3000</v>
      </c>
      <c r="BS51" t="s">
        <v>71</v>
      </c>
      <c r="BT51">
        <v>7.1420000000000003</v>
      </c>
      <c r="BU51">
        <v>0.23300000000000001</v>
      </c>
      <c r="BV51">
        <v>6.5279999999999996</v>
      </c>
      <c r="BW51">
        <v>7.0460000000000003</v>
      </c>
      <c r="BX51">
        <v>7.2089999999999996</v>
      </c>
      <c r="BY51">
        <v>7.3129999999999997</v>
      </c>
      <c r="BZ51">
        <v>7.3739999999999997</v>
      </c>
      <c r="CA51">
        <v>1.004</v>
      </c>
      <c r="CB51">
        <v>750</v>
      </c>
      <c r="CG51" t="s">
        <v>71</v>
      </c>
      <c r="CH51">
        <v>7.1689999999999996</v>
      </c>
      <c r="CI51">
        <v>0.20100000000000001</v>
      </c>
      <c r="CJ51">
        <v>6.6459999999999999</v>
      </c>
      <c r="CK51">
        <v>7.08</v>
      </c>
      <c r="CL51">
        <v>7.2279999999999998</v>
      </c>
      <c r="CM51">
        <v>7.319</v>
      </c>
      <c r="CN51">
        <v>7.3730000000000002</v>
      </c>
      <c r="CO51">
        <v>1.0029999999999999</v>
      </c>
      <c r="CP51">
        <v>1200</v>
      </c>
      <c r="CU51" t="s">
        <v>71</v>
      </c>
      <c r="CV51">
        <v>7.2039999999999997</v>
      </c>
      <c r="CW51">
        <v>0.216</v>
      </c>
      <c r="CX51">
        <v>6.61</v>
      </c>
      <c r="CY51">
        <v>7.1319999999999997</v>
      </c>
      <c r="CZ51">
        <v>7.2789999999999999</v>
      </c>
      <c r="DA51">
        <v>7.3520000000000003</v>
      </c>
      <c r="DB51">
        <v>7.38</v>
      </c>
      <c r="DC51">
        <v>1.014</v>
      </c>
      <c r="DD51">
        <v>490</v>
      </c>
      <c r="DI51" t="s">
        <v>71</v>
      </c>
      <c r="DJ51">
        <v>7.1070000000000002</v>
      </c>
      <c r="DK51">
        <v>0.28999999999999998</v>
      </c>
      <c r="DL51">
        <v>6.2919999999999998</v>
      </c>
      <c r="DM51">
        <v>7.0129999999999999</v>
      </c>
      <c r="DN51">
        <v>7.2009999999999996</v>
      </c>
      <c r="DO51">
        <v>7.3090000000000002</v>
      </c>
      <c r="DP51">
        <v>7.3739999999999997</v>
      </c>
      <c r="DQ51">
        <v>1.0009999999999999</v>
      </c>
      <c r="DR51">
        <v>3000</v>
      </c>
      <c r="DY51" t="s">
        <v>71</v>
      </c>
      <c r="DZ51">
        <v>7.1079999999999997</v>
      </c>
      <c r="EA51">
        <v>0.28599999999999998</v>
      </c>
      <c r="EB51">
        <v>6.34</v>
      </c>
      <c r="EC51">
        <v>7.0019999999999998</v>
      </c>
      <c r="ED51">
        <v>7.2</v>
      </c>
      <c r="EE51">
        <v>7.31</v>
      </c>
      <c r="EF51">
        <v>7.375</v>
      </c>
      <c r="EG51">
        <v>1.004</v>
      </c>
      <c r="EH51">
        <v>2300</v>
      </c>
      <c r="EK51" t="s">
        <v>71</v>
      </c>
      <c r="EL51">
        <v>6.9009999999999998</v>
      </c>
      <c r="EM51">
        <v>0.40300000000000002</v>
      </c>
      <c r="EN51">
        <v>5.9219999999999997</v>
      </c>
      <c r="EO51">
        <v>6.681</v>
      </c>
      <c r="EP51">
        <v>7.0090000000000003</v>
      </c>
      <c r="EQ51">
        <v>7.2149999999999999</v>
      </c>
      <c r="ER51">
        <v>7.3689999999999998</v>
      </c>
      <c r="ES51">
        <v>1.004</v>
      </c>
      <c r="ET51">
        <v>1400</v>
      </c>
      <c r="EY51" t="s">
        <v>71</v>
      </c>
      <c r="EZ51">
        <v>7.0439999999999996</v>
      </c>
      <c r="FA51">
        <v>0.33500000000000002</v>
      </c>
      <c r="FB51">
        <v>6.1459999999999999</v>
      </c>
      <c r="FC51">
        <v>6.8979999999999997</v>
      </c>
      <c r="FD51">
        <v>7.1479999999999997</v>
      </c>
      <c r="FE51">
        <v>7.2889999999999997</v>
      </c>
      <c r="FF51">
        <v>7.37</v>
      </c>
      <c r="FG51">
        <v>1.0129999999999999</v>
      </c>
      <c r="FH51">
        <v>290</v>
      </c>
      <c r="GA51" t="s">
        <v>71</v>
      </c>
      <c r="GB51">
        <v>7.1070000000000002</v>
      </c>
      <c r="GC51">
        <v>0.23599999999999999</v>
      </c>
      <c r="GD51">
        <v>6.508</v>
      </c>
      <c r="GE51">
        <v>6.9859999999999998</v>
      </c>
      <c r="GF51">
        <v>7.1719999999999997</v>
      </c>
      <c r="GG51">
        <v>7.29</v>
      </c>
      <c r="GH51">
        <v>7.3730000000000002</v>
      </c>
      <c r="GI51">
        <v>1.0009999999999999</v>
      </c>
      <c r="GJ51">
        <v>3000</v>
      </c>
      <c r="GO51" t="s">
        <v>71</v>
      </c>
      <c r="GP51">
        <v>7.0579999999999998</v>
      </c>
      <c r="GQ51">
        <v>0.308</v>
      </c>
      <c r="GR51">
        <v>6.2469999999999999</v>
      </c>
      <c r="GS51">
        <v>6.9240000000000004</v>
      </c>
      <c r="GT51">
        <v>7.1550000000000002</v>
      </c>
      <c r="GU51">
        <v>7.2880000000000003</v>
      </c>
      <c r="GV51">
        <v>7.3710000000000004</v>
      </c>
      <c r="GW51">
        <v>1.0029999999999999</v>
      </c>
      <c r="GX51">
        <v>2600</v>
      </c>
      <c r="HC51" t="s">
        <v>71</v>
      </c>
      <c r="HD51">
        <v>7.0549999999999997</v>
      </c>
      <c r="HE51">
        <v>0.31</v>
      </c>
      <c r="HF51">
        <v>6.2110000000000003</v>
      </c>
      <c r="HG51">
        <v>6.9210000000000003</v>
      </c>
      <c r="HH51">
        <v>7.1449999999999996</v>
      </c>
      <c r="HI51">
        <v>7.2839999999999998</v>
      </c>
      <c r="HJ51">
        <v>7.3719999999999999</v>
      </c>
      <c r="HK51">
        <v>1.0009999999999999</v>
      </c>
      <c r="HL51">
        <v>3000</v>
      </c>
      <c r="HP51" s="7"/>
      <c r="HQ51" s="7" t="s">
        <v>71</v>
      </c>
      <c r="HR51" s="7">
        <v>7.141</v>
      </c>
      <c r="HS51" s="7">
        <v>0.23100000000000001</v>
      </c>
      <c r="HT51" s="7">
        <v>6.5309999999999997</v>
      </c>
      <c r="HU51" s="7">
        <v>7.0469999999999997</v>
      </c>
      <c r="HV51" s="7">
        <v>7.2160000000000002</v>
      </c>
      <c r="HW51" s="7">
        <v>7.3070000000000004</v>
      </c>
      <c r="HX51" s="7">
        <v>7.3719999999999999</v>
      </c>
      <c r="HY51" s="7">
        <v>1.004</v>
      </c>
      <c r="HZ51" s="7">
        <v>2500</v>
      </c>
      <c r="IA51" s="7"/>
      <c r="IE51" t="s">
        <v>71</v>
      </c>
      <c r="IF51">
        <v>7.2350000000000003</v>
      </c>
      <c r="IG51">
        <v>0.13300000000000001</v>
      </c>
      <c r="IH51">
        <v>6.8819999999999997</v>
      </c>
      <c r="II51">
        <v>7.1740000000000004</v>
      </c>
      <c r="IJ51">
        <v>7.2729999999999997</v>
      </c>
      <c r="IK51">
        <v>7.335</v>
      </c>
      <c r="IL51">
        <v>7.375</v>
      </c>
      <c r="IM51">
        <v>1.0029999999999999</v>
      </c>
      <c r="IN51">
        <v>1600</v>
      </c>
      <c r="IS51" t="s">
        <v>71</v>
      </c>
      <c r="IT51">
        <v>7.2240000000000002</v>
      </c>
      <c r="IU51">
        <v>0.14599999999999999</v>
      </c>
      <c r="IV51">
        <v>6.8239999999999998</v>
      </c>
      <c r="IW51">
        <v>7.1559999999999997</v>
      </c>
      <c r="IX51">
        <v>7.266</v>
      </c>
      <c r="IY51">
        <v>7.3319999999999999</v>
      </c>
      <c r="IZ51">
        <v>7.3760000000000003</v>
      </c>
      <c r="JA51">
        <v>1.0009999999999999</v>
      </c>
      <c r="JB51">
        <v>3000</v>
      </c>
      <c r="JF51" t="s">
        <v>71</v>
      </c>
      <c r="JG51">
        <v>7.1449999999999996</v>
      </c>
      <c r="JH51">
        <v>0.23300000000000001</v>
      </c>
      <c r="JI51">
        <v>6.5190000000000001</v>
      </c>
      <c r="JJ51">
        <v>7.0609999999999999</v>
      </c>
      <c r="JK51">
        <v>7.2169999999999996</v>
      </c>
      <c r="JL51">
        <v>7.3120000000000003</v>
      </c>
      <c r="JM51">
        <v>7.3739999999999997</v>
      </c>
      <c r="JN51">
        <v>1.0009999999999999</v>
      </c>
      <c r="JO51">
        <v>3000</v>
      </c>
      <c r="JT51" t="s">
        <v>71</v>
      </c>
      <c r="JU51">
        <v>7.1479999999999997</v>
      </c>
      <c r="JV51">
        <v>0.22700000000000001</v>
      </c>
      <c r="JW51">
        <v>6.508</v>
      </c>
      <c r="JX51">
        <v>7.06</v>
      </c>
      <c r="JY51">
        <v>7.2140000000000004</v>
      </c>
      <c r="JZ51">
        <v>7.3109999999999999</v>
      </c>
      <c r="KA51">
        <v>7.3739999999999997</v>
      </c>
      <c r="KB51">
        <v>1.002</v>
      </c>
      <c r="KC51">
        <v>3000</v>
      </c>
      <c r="KH51" t="s">
        <v>71</v>
      </c>
      <c r="KI51">
        <v>7.1379999999999999</v>
      </c>
      <c r="KJ51">
        <v>0.23300000000000001</v>
      </c>
      <c r="KK51">
        <v>6.508</v>
      </c>
      <c r="KL51">
        <v>7.04</v>
      </c>
      <c r="KM51">
        <v>7.2069999999999999</v>
      </c>
      <c r="KN51">
        <v>7.31</v>
      </c>
      <c r="KO51">
        <v>7.375</v>
      </c>
      <c r="KP51">
        <v>1.0009999999999999</v>
      </c>
      <c r="KQ51">
        <v>3000</v>
      </c>
      <c r="KR51">
        <f t="shared" si="0"/>
        <v>1258.9080534958202</v>
      </c>
      <c r="KV51" t="s">
        <v>71</v>
      </c>
      <c r="KW51">
        <v>10.662000000000001</v>
      </c>
      <c r="KX51">
        <v>0.75700000000000001</v>
      </c>
      <c r="KY51">
        <v>9.1850000000000005</v>
      </c>
      <c r="KZ51">
        <v>10.146000000000001</v>
      </c>
      <c r="LA51">
        <v>10.679</v>
      </c>
      <c r="LB51">
        <v>11.156000000000001</v>
      </c>
      <c r="LC51">
        <v>12.162000000000001</v>
      </c>
      <c r="LD51">
        <v>1.0029999999999999</v>
      </c>
      <c r="LE51">
        <v>930</v>
      </c>
      <c r="LJ51" t="s">
        <v>71</v>
      </c>
      <c r="LK51">
        <v>2.9510000000000001</v>
      </c>
      <c r="LL51">
        <v>1.7190000000000001</v>
      </c>
      <c r="LM51">
        <v>-0.83299999999999996</v>
      </c>
      <c r="LN51">
        <v>1.9119999999999999</v>
      </c>
      <c r="LO51">
        <v>3.1030000000000002</v>
      </c>
      <c r="LP51">
        <v>4.1760000000000002</v>
      </c>
      <c r="LQ51">
        <v>5.8650000000000002</v>
      </c>
      <c r="LR51">
        <v>1.0049999999999999</v>
      </c>
      <c r="LS51">
        <v>570</v>
      </c>
      <c r="LX51" t="s">
        <v>71</v>
      </c>
      <c r="LY51">
        <v>5.9720000000000004</v>
      </c>
      <c r="LZ51">
        <v>2.7410000000000001</v>
      </c>
      <c r="MA51">
        <v>1.012</v>
      </c>
      <c r="MB51">
        <v>3.867</v>
      </c>
      <c r="MC51">
        <v>5.9729999999999999</v>
      </c>
      <c r="MD51">
        <v>7.9660000000000002</v>
      </c>
      <c r="ME51">
        <v>11.117000000000001</v>
      </c>
      <c r="MF51">
        <v>1.915</v>
      </c>
      <c r="MG51">
        <v>5</v>
      </c>
      <c r="ML51" t="s">
        <v>71</v>
      </c>
      <c r="MM51">
        <v>9.843</v>
      </c>
      <c r="MN51">
        <v>0.69899999999999995</v>
      </c>
      <c r="MO51">
        <v>8.4809999999999999</v>
      </c>
      <c r="MP51">
        <v>9.3689999999999998</v>
      </c>
      <c r="MQ51">
        <v>9.8409999999999993</v>
      </c>
      <c r="MR51">
        <v>10.316000000000001</v>
      </c>
      <c r="MS51">
        <v>11.215999999999999</v>
      </c>
      <c r="MT51">
        <v>1.0009999999999999</v>
      </c>
      <c r="MU51">
        <v>27000</v>
      </c>
      <c r="MZ51" t="s">
        <v>71</v>
      </c>
      <c r="NA51">
        <v>9.8480000000000008</v>
      </c>
      <c r="NB51">
        <v>0.67</v>
      </c>
      <c r="NC51">
        <v>8.5570000000000004</v>
      </c>
      <c r="ND51">
        <v>9.3919999999999995</v>
      </c>
      <c r="NE51">
        <v>9.8610000000000007</v>
      </c>
      <c r="NF51">
        <v>10.318</v>
      </c>
      <c r="NG51">
        <v>11.138</v>
      </c>
      <c r="NH51">
        <v>1.0029999999999999</v>
      </c>
      <c r="NI51">
        <v>680</v>
      </c>
      <c r="NM51" t="s">
        <v>71</v>
      </c>
      <c r="NN51">
        <v>7.5389999999999997</v>
      </c>
      <c r="NO51">
        <v>0.22700000000000001</v>
      </c>
      <c r="NP51">
        <v>7.101</v>
      </c>
      <c r="NQ51">
        <v>7.3869999999999996</v>
      </c>
      <c r="NR51">
        <v>7.5380000000000003</v>
      </c>
      <c r="NS51">
        <v>7.6890000000000001</v>
      </c>
      <c r="NT51">
        <v>7.9930000000000003</v>
      </c>
      <c r="NU51">
        <v>1.002</v>
      </c>
      <c r="NV51">
        <v>3100</v>
      </c>
      <c r="NY51" t="s">
        <v>71</v>
      </c>
      <c r="NZ51">
        <v>7.5410000000000004</v>
      </c>
      <c r="OA51">
        <v>0.22700000000000001</v>
      </c>
      <c r="OB51">
        <v>7.101</v>
      </c>
      <c r="OC51">
        <v>7.3879999999999999</v>
      </c>
      <c r="OD51">
        <v>7.5380000000000003</v>
      </c>
      <c r="OE51">
        <v>7.6920000000000002</v>
      </c>
      <c r="OF51">
        <v>7.9930000000000003</v>
      </c>
      <c r="OG51">
        <v>1.0009999999999999</v>
      </c>
      <c r="OH51">
        <v>44000</v>
      </c>
      <c r="OP51" t="s">
        <v>71</v>
      </c>
      <c r="OQ51">
        <v>7.5279999999999996</v>
      </c>
      <c r="OR51">
        <v>0.23400000000000001</v>
      </c>
      <c r="OS51">
        <v>7.0720000000000001</v>
      </c>
      <c r="OT51">
        <v>7.3659999999999997</v>
      </c>
      <c r="OU51">
        <v>7.5270000000000001</v>
      </c>
      <c r="OV51">
        <v>7.6879999999999997</v>
      </c>
      <c r="OW51">
        <v>7.9889999999999999</v>
      </c>
      <c r="OX51">
        <v>1.0009999999999999</v>
      </c>
      <c r="OY51">
        <v>3000</v>
      </c>
      <c r="PB51" t="s">
        <v>71</v>
      </c>
      <c r="PC51">
        <v>7.5380000000000003</v>
      </c>
      <c r="PD51">
        <v>0.23100000000000001</v>
      </c>
      <c r="PE51">
        <v>7.09</v>
      </c>
      <c r="PF51">
        <v>7.3810000000000002</v>
      </c>
      <c r="PG51">
        <v>7.54</v>
      </c>
      <c r="PH51">
        <v>7.6920000000000002</v>
      </c>
      <c r="PI51">
        <v>7.9969999999999999</v>
      </c>
      <c r="PJ51">
        <v>1.0009999999999999</v>
      </c>
      <c r="PK51">
        <v>3000</v>
      </c>
      <c r="PN51" t="s">
        <v>71</v>
      </c>
      <c r="PO51">
        <v>7.42</v>
      </c>
      <c r="PP51">
        <v>0.157</v>
      </c>
      <c r="PQ51">
        <v>7.1360000000000001</v>
      </c>
      <c r="PR51">
        <v>7.31</v>
      </c>
      <c r="PS51">
        <v>7.41</v>
      </c>
      <c r="PT51">
        <v>7.5229999999999997</v>
      </c>
      <c r="PU51">
        <v>7.7489999999999997</v>
      </c>
      <c r="PV51">
        <v>1.0009999999999999</v>
      </c>
      <c r="PW51">
        <v>2300</v>
      </c>
      <c r="QA51" t="s">
        <v>71</v>
      </c>
      <c r="QB51">
        <v>6.9880000000000004</v>
      </c>
      <c r="QC51">
        <v>6.3E-2</v>
      </c>
      <c r="QD51">
        <v>6.8630000000000004</v>
      </c>
      <c r="QE51">
        <v>6.9450000000000003</v>
      </c>
      <c r="QF51">
        <v>6.9909999999999997</v>
      </c>
      <c r="QG51">
        <v>7.0330000000000004</v>
      </c>
      <c r="QH51">
        <v>7.1050000000000004</v>
      </c>
      <c r="QI51">
        <v>1.004</v>
      </c>
      <c r="QJ51">
        <v>710</v>
      </c>
      <c r="QL51">
        <f t="shared" si="2"/>
        <v>0.4319999999999995</v>
      </c>
    </row>
    <row r="52" spans="1:454">
      <c r="A52" t="s">
        <v>72</v>
      </c>
      <c r="B52">
        <v>6.2060000000000004</v>
      </c>
      <c r="C52">
        <v>1.042</v>
      </c>
      <c r="D52">
        <v>4.2009999999999996</v>
      </c>
      <c r="E52">
        <v>5.5069999999999997</v>
      </c>
      <c r="F52">
        <v>6.181</v>
      </c>
      <c r="G52">
        <v>6.9130000000000003</v>
      </c>
      <c r="H52">
        <v>8.35</v>
      </c>
      <c r="I52">
        <v>1.2210000000000001</v>
      </c>
      <c r="J52">
        <v>14</v>
      </c>
      <c r="O52" t="s">
        <v>72</v>
      </c>
      <c r="P52">
        <v>5.1429999999999998</v>
      </c>
      <c r="Q52">
        <v>1.514</v>
      </c>
      <c r="R52">
        <v>1.571</v>
      </c>
      <c r="S52">
        <v>4.22</v>
      </c>
      <c r="T52">
        <v>5.3550000000000004</v>
      </c>
      <c r="U52">
        <v>6.3470000000000004</v>
      </c>
      <c r="V52">
        <v>7.2859999999999996</v>
      </c>
      <c r="W52">
        <v>1.0069999999999999</v>
      </c>
      <c r="X52">
        <v>2500</v>
      </c>
      <c r="AC52" t="s">
        <v>72</v>
      </c>
      <c r="AD52">
        <v>6.8159999999999998</v>
      </c>
      <c r="AE52">
        <v>0.439</v>
      </c>
      <c r="AF52">
        <v>5.7119999999999997</v>
      </c>
      <c r="AG52">
        <v>6.5869999999999997</v>
      </c>
      <c r="AH52">
        <v>6.9050000000000002</v>
      </c>
      <c r="AI52">
        <v>7.1589999999999998</v>
      </c>
      <c r="AJ52">
        <v>7.3570000000000002</v>
      </c>
      <c r="AK52">
        <v>1.0029999999999999</v>
      </c>
      <c r="AL52">
        <v>1100</v>
      </c>
      <c r="AQ52" t="s">
        <v>72</v>
      </c>
      <c r="AR52">
        <v>6.8159999999999998</v>
      </c>
      <c r="AS52">
        <v>0.42799999999999999</v>
      </c>
      <c r="AT52">
        <v>5.7729999999999997</v>
      </c>
      <c r="AU52">
        <v>6.5640000000000001</v>
      </c>
      <c r="AV52">
        <v>6.9160000000000004</v>
      </c>
      <c r="AW52">
        <v>7.149</v>
      </c>
      <c r="AX52">
        <v>7.3520000000000003</v>
      </c>
      <c r="AY52">
        <v>1.0009999999999999</v>
      </c>
      <c r="AZ52">
        <v>3000</v>
      </c>
      <c r="BE52" t="s">
        <v>72</v>
      </c>
      <c r="BF52">
        <v>6.782</v>
      </c>
      <c r="BG52">
        <v>0.43</v>
      </c>
      <c r="BH52">
        <v>5.7839999999999998</v>
      </c>
      <c r="BI52">
        <v>6.5149999999999997</v>
      </c>
      <c r="BJ52">
        <v>6.8609999999999998</v>
      </c>
      <c r="BK52">
        <v>7.1280000000000001</v>
      </c>
      <c r="BL52">
        <v>7.3540000000000001</v>
      </c>
      <c r="BM52">
        <v>1.004</v>
      </c>
      <c r="BN52">
        <v>540</v>
      </c>
      <c r="BS52" t="s">
        <v>72</v>
      </c>
      <c r="BT52">
        <v>6.79</v>
      </c>
      <c r="BU52">
        <v>0.44500000000000001</v>
      </c>
      <c r="BV52">
        <v>5.7649999999999997</v>
      </c>
      <c r="BW52">
        <v>6.5220000000000002</v>
      </c>
      <c r="BX52">
        <v>6.8769999999999998</v>
      </c>
      <c r="BY52">
        <v>7.1529999999999996</v>
      </c>
      <c r="BZ52">
        <v>7.3520000000000003</v>
      </c>
      <c r="CA52">
        <v>1.002</v>
      </c>
      <c r="CB52">
        <v>1100</v>
      </c>
      <c r="CG52" t="s">
        <v>72</v>
      </c>
      <c r="CH52">
        <v>6.7480000000000002</v>
      </c>
      <c r="CI52">
        <v>0.44500000000000001</v>
      </c>
      <c r="CJ52">
        <v>5.7149999999999999</v>
      </c>
      <c r="CK52">
        <v>6.46</v>
      </c>
      <c r="CL52">
        <v>6.82</v>
      </c>
      <c r="CM52">
        <v>7.109</v>
      </c>
      <c r="CN52">
        <v>7.3529999999999998</v>
      </c>
      <c r="CO52">
        <v>1.0009999999999999</v>
      </c>
      <c r="CP52">
        <v>3000</v>
      </c>
      <c r="CU52" t="s">
        <v>72</v>
      </c>
      <c r="CV52">
        <v>6.8380000000000001</v>
      </c>
      <c r="CW52">
        <v>0.40699999999999997</v>
      </c>
      <c r="CX52">
        <v>5.8609999999999998</v>
      </c>
      <c r="CY52">
        <v>6.6120000000000001</v>
      </c>
      <c r="CZ52">
        <v>6.907</v>
      </c>
      <c r="DA52">
        <v>7.157</v>
      </c>
      <c r="DB52">
        <v>7.3579999999999997</v>
      </c>
      <c r="DC52">
        <v>1.014</v>
      </c>
      <c r="DD52">
        <v>380</v>
      </c>
      <c r="DI52" t="s">
        <v>72</v>
      </c>
      <c r="DJ52">
        <v>6.8209999999999997</v>
      </c>
      <c r="DK52">
        <v>0.42899999999999999</v>
      </c>
      <c r="DL52">
        <v>5.798</v>
      </c>
      <c r="DM52">
        <v>6.5789999999999997</v>
      </c>
      <c r="DN52">
        <v>6.9119999999999999</v>
      </c>
      <c r="DO52">
        <v>7.15</v>
      </c>
      <c r="DP52">
        <v>7.359</v>
      </c>
      <c r="DQ52">
        <v>1.0049999999999999</v>
      </c>
      <c r="DR52">
        <v>450</v>
      </c>
      <c r="DY52" t="s">
        <v>72</v>
      </c>
      <c r="DZ52">
        <v>6.827</v>
      </c>
      <c r="EA52">
        <v>0.432</v>
      </c>
      <c r="EB52">
        <v>5.782</v>
      </c>
      <c r="EC52">
        <v>6.5759999999999996</v>
      </c>
      <c r="ED52">
        <v>6.9240000000000004</v>
      </c>
      <c r="EE52">
        <v>7.1639999999999997</v>
      </c>
      <c r="EF52">
        <v>7.3609999999999998</v>
      </c>
      <c r="EG52">
        <v>1.0049999999999999</v>
      </c>
      <c r="EH52">
        <v>970</v>
      </c>
      <c r="EK52" t="s">
        <v>72</v>
      </c>
      <c r="EL52">
        <v>6.6040000000000001</v>
      </c>
      <c r="EM52">
        <v>0.48299999999999998</v>
      </c>
      <c r="EN52">
        <v>5.585</v>
      </c>
      <c r="EO52">
        <v>6.266</v>
      </c>
      <c r="EP52">
        <v>6.6429999999999998</v>
      </c>
      <c r="EQ52">
        <v>6.9820000000000002</v>
      </c>
      <c r="ER52">
        <v>7.343</v>
      </c>
      <c r="ES52">
        <v>1.002</v>
      </c>
      <c r="ET52">
        <v>1100</v>
      </c>
      <c r="EY52" t="s">
        <v>72</v>
      </c>
      <c r="EZ52">
        <v>6.7409999999999997</v>
      </c>
      <c r="FA52">
        <v>0.47799999999999998</v>
      </c>
      <c r="FB52">
        <v>5.601</v>
      </c>
      <c r="FC52">
        <v>6.4610000000000003</v>
      </c>
      <c r="FD52">
        <v>6.8380000000000001</v>
      </c>
      <c r="FE52">
        <v>7.1230000000000002</v>
      </c>
      <c r="FF52">
        <v>7.3520000000000003</v>
      </c>
      <c r="FG52">
        <v>1.0009999999999999</v>
      </c>
      <c r="FH52">
        <v>3000</v>
      </c>
      <c r="GA52" t="s">
        <v>72</v>
      </c>
      <c r="GB52">
        <v>6.9870000000000001</v>
      </c>
      <c r="GC52">
        <v>0.314</v>
      </c>
      <c r="GD52">
        <v>6.2249999999999996</v>
      </c>
      <c r="GE52">
        <v>6.8049999999999997</v>
      </c>
      <c r="GF52">
        <v>7.0659999999999998</v>
      </c>
      <c r="GG52">
        <v>7.2380000000000004</v>
      </c>
      <c r="GH52">
        <v>7.3639999999999999</v>
      </c>
      <c r="GI52">
        <v>1.0009999999999999</v>
      </c>
      <c r="GJ52">
        <v>3000</v>
      </c>
      <c r="GO52" t="s">
        <v>72</v>
      </c>
      <c r="GP52">
        <v>6.7530000000000001</v>
      </c>
      <c r="GQ52">
        <v>0.47299999999999998</v>
      </c>
      <c r="GR52">
        <v>5.59</v>
      </c>
      <c r="GS52">
        <v>6.4729999999999999</v>
      </c>
      <c r="GT52">
        <v>6.8490000000000002</v>
      </c>
      <c r="GU52">
        <v>7.1289999999999996</v>
      </c>
      <c r="GV52">
        <v>7.3570000000000002</v>
      </c>
      <c r="GW52">
        <v>1.0009999999999999</v>
      </c>
      <c r="GX52">
        <v>3000</v>
      </c>
      <c r="HC52" t="s">
        <v>72</v>
      </c>
      <c r="HD52">
        <v>6.7389999999999999</v>
      </c>
      <c r="HE52">
        <v>0.48099999999999998</v>
      </c>
      <c r="HF52">
        <v>5.6159999999999997</v>
      </c>
      <c r="HG52">
        <v>6.45</v>
      </c>
      <c r="HH52">
        <v>6.8330000000000002</v>
      </c>
      <c r="HI52">
        <v>7.1230000000000002</v>
      </c>
      <c r="HJ52">
        <v>7.3559999999999999</v>
      </c>
      <c r="HK52">
        <v>1.0029999999999999</v>
      </c>
      <c r="HL52">
        <v>1300</v>
      </c>
      <c r="HP52" s="7"/>
      <c r="HQ52" s="7" t="s">
        <v>72</v>
      </c>
      <c r="HR52" s="7">
        <v>6.8869999999999996</v>
      </c>
      <c r="HS52" s="7">
        <v>0.39300000000000002</v>
      </c>
      <c r="HT52" s="7">
        <v>5.93</v>
      </c>
      <c r="HU52" s="7">
        <v>6.6479999999999997</v>
      </c>
      <c r="HV52" s="7">
        <v>6.9809999999999999</v>
      </c>
      <c r="HW52" s="7">
        <v>7.1989999999999998</v>
      </c>
      <c r="HX52" s="7">
        <v>7.3650000000000002</v>
      </c>
      <c r="HY52" s="7">
        <v>1.0009999999999999</v>
      </c>
      <c r="HZ52" s="7">
        <v>2600</v>
      </c>
      <c r="IA52" s="7"/>
      <c r="IE52" t="s">
        <v>72</v>
      </c>
      <c r="IF52">
        <v>7.0839999999999996</v>
      </c>
      <c r="IG52">
        <v>0.24099999999999999</v>
      </c>
      <c r="IH52">
        <v>6.4969999999999999</v>
      </c>
      <c r="II52">
        <v>6.9480000000000004</v>
      </c>
      <c r="IJ52">
        <v>7.141</v>
      </c>
      <c r="IK52">
        <v>7.2750000000000004</v>
      </c>
      <c r="IL52">
        <v>7.3710000000000004</v>
      </c>
      <c r="IM52">
        <v>1.0009999999999999</v>
      </c>
      <c r="IN52">
        <v>2400</v>
      </c>
      <c r="IS52" t="s">
        <v>72</v>
      </c>
      <c r="IT52">
        <v>7.0659999999999998</v>
      </c>
      <c r="IU52">
        <v>0.252</v>
      </c>
      <c r="IV52">
        <v>6.4489999999999998</v>
      </c>
      <c r="IW52">
        <v>6.9169999999999998</v>
      </c>
      <c r="IX52">
        <v>7.13</v>
      </c>
      <c r="IY52">
        <v>7.2670000000000003</v>
      </c>
      <c r="IZ52">
        <v>7.3680000000000003</v>
      </c>
      <c r="JA52">
        <v>1.004</v>
      </c>
      <c r="JB52">
        <v>740</v>
      </c>
      <c r="JF52" t="s">
        <v>72</v>
      </c>
      <c r="JG52">
        <v>6.9169999999999998</v>
      </c>
      <c r="JH52">
        <v>0.37</v>
      </c>
      <c r="JI52">
        <v>5.9909999999999997</v>
      </c>
      <c r="JJ52">
        <v>6.7050000000000001</v>
      </c>
      <c r="JK52">
        <v>7.0069999999999997</v>
      </c>
      <c r="JL52">
        <v>7.2140000000000004</v>
      </c>
      <c r="JM52">
        <v>7.3620000000000001</v>
      </c>
      <c r="JN52">
        <v>1.0009999999999999</v>
      </c>
      <c r="JO52">
        <v>2400</v>
      </c>
      <c r="JT52" t="s">
        <v>72</v>
      </c>
      <c r="JU52">
        <v>6.9119999999999999</v>
      </c>
      <c r="JV52">
        <v>0.371</v>
      </c>
      <c r="JW52">
        <v>6.0289999999999999</v>
      </c>
      <c r="JX52">
        <v>6.6959999999999997</v>
      </c>
      <c r="JY52">
        <v>7.0019999999999998</v>
      </c>
      <c r="JZ52">
        <v>7.2030000000000003</v>
      </c>
      <c r="KA52">
        <v>7.3650000000000002</v>
      </c>
      <c r="KB52">
        <v>1.0009999999999999</v>
      </c>
      <c r="KC52">
        <v>3000</v>
      </c>
      <c r="KH52" t="s">
        <v>72</v>
      </c>
      <c r="KI52">
        <v>6.9119999999999999</v>
      </c>
      <c r="KJ52">
        <v>0.37</v>
      </c>
      <c r="KK52">
        <v>6.0060000000000002</v>
      </c>
      <c r="KL52">
        <v>6.7069999999999999</v>
      </c>
      <c r="KM52">
        <v>6.9930000000000003</v>
      </c>
      <c r="KN52">
        <v>7.2060000000000004</v>
      </c>
      <c r="KO52">
        <v>7.3650000000000002</v>
      </c>
      <c r="KP52">
        <v>1.0009999999999999</v>
      </c>
      <c r="KQ52">
        <v>3000</v>
      </c>
      <c r="KR52">
        <f t="shared" si="0"/>
        <v>1004.2537426063149</v>
      </c>
      <c r="KV52" t="s">
        <v>72</v>
      </c>
      <c r="KW52">
        <v>7.5380000000000003</v>
      </c>
      <c r="KX52">
        <v>0.16500000000000001</v>
      </c>
      <c r="KY52">
        <v>7.1219999999999999</v>
      </c>
      <c r="KZ52">
        <v>7.4560000000000004</v>
      </c>
      <c r="LA52">
        <v>7.5709999999999997</v>
      </c>
      <c r="LB52">
        <v>7.6550000000000002</v>
      </c>
      <c r="LC52">
        <v>7.7809999999999997</v>
      </c>
      <c r="LD52">
        <v>1.0009999999999999</v>
      </c>
      <c r="LE52">
        <v>3000</v>
      </c>
      <c r="LJ52" t="s">
        <v>72</v>
      </c>
      <c r="LK52">
        <v>2.452</v>
      </c>
      <c r="LL52">
        <v>0.76900000000000002</v>
      </c>
      <c r="LM52">
        <v>0.83599999999999997</v>
      </c>
      <c r="LN52">
        <v>1.966</v>
      </c>
      <c r="LO52">
        <v>2.492</v>
      </c>
      <c r="LP52">
        <v>3.0190000000000001</v>
      </c>
      <c r="LQ52">
        <v>3.786</v>
      </c>
      <c r="LR52">
        <v>1.006</v>
      </c>
      <c r="LS52">
        <v>3000</v>
      </c>
      <c r="LX52" t="s">
        <v>72</v>
      </c>
      <c r="LY52">
        <v>2.8879999999999999</v>
      </c>
      <c r="LZ52">
        <v>0.89</v>
      </c>
      <c r="MA52">
        <v>1.0469999999999999</v>
      </c>
      <c r="MB52">
        <v>2.2679999999999998</v>
      </c>
      <c r="MC52">
        <v>2.9329999999999998</v>
      </c>
      <c r="MD52">
        <v>3.536</v>
      </c>
      <c r="ME52">
        <v>4.4610000000000003</v>
      </c>
      <c r="MF52">
        <v>1.1579999999999999</v>
      </c>
      <c r="MG52">
        <v>17</v>
      </c>
      <c r="ML52" t="s">
        <v>72</v>
      </c>
      <c r="MM52">
        <v>7.476</v>
      </c>
      <c r="MN52">
        <v>0.15</v>
      </c>
      <c r="MO52">
        <v>7.1070000000000002</v>
      </c>
      <c r="MP52">
        <v>7.4</v>
      </c>
      <c r="MQ52">
        <v>7.5030000000000001</v>
      </c>
      <c r="MR52">
        <v>7.58</v>
      </c>
      <c r="MS52">
        <v>7.6959999999999997</v>
      </c>
      <c r="MT52">
        <v>1.0009999999999999</v>
      </c>
      <c r="MU52">
        <v>11000</v>
      </c>
      <c r="MZ52" t="s">
        <v>72</v>
      </c>
      <c r="NA52">
        <v>7.4749999999999996</v>
      </c>
      <c r="NB52">
        <v>0.14799999999999999</v>
      </c>
      <c r="NC52">
        <v>7.1120000000000001</v>
      </c>
      <c r="ND52">
        <v>7.3979999999999997</v>
      </c>
      <c r="NE52">
        <v>7.5049999999999999</v>
      </c>
      <c r="NF52">
        <v>7.5810000000000004</v>
      </c>
      <c r="NG52">
        <v>7.6870000000000003</v>
      </c>
      <c r="NH52">
        <v>1.0009999999999999</v>
      </c>
      <c r="NI52">
        <v>2600</v>
      </c>
      <c r="NM52" t="s">
        <v>72</v>
      </c>
      <c r="NN52">
        <v>7.242</v>
      </c>
      <c r="NO52">
        <v>0.111</v>
      </c>
      <c r="NP52">
        <v>6.9950000000000001</v>
      </c>
      <c r="NQ52">
        <v>7.17</v>
      </c>
      <c r="NR52">
        <v>7.258</v>
      </c>
      <c r="NS52">
        <v>7.3310000000000004</v>
      </c>
      <c r="NT52">
        <v>7.407</v>
      </c>
      <c r="NU52">
        <v>1.0009999999999999</v>
      </c>
      <c r="NV52">
        <v>6100</v>
      </c>
      <c r="NY52" t="s">
        <v>72</v>
      </c>
      <c r="NZ52">
        <v>7.2279999999999998</v>
      </c>
      <c r="OA52">
        <v>0.11899999999999999</v>
      </c>
      <c r="OB52">
        <v>6.9649999999999999</v>
      </c>
      <c r="OC52">
        <v>7.149</v>
      </c>
      <c r="OD52">
        <v>7.2439999999999998</v>
      </c>
      <c r="OE52">
        <v>7.3230000000000004</v>
      </c>
      <c r="OF52">
        <v>7.4050000000000002</v>
      </c>
      <c r="OG52">
        <v>1.0009999999999999</v>
      </c>
      <c r="OH52">
        <v>16000</v>
      </c>
      <c r="OP52" t="s">
        <v>72</v>
      </c>
      <c r="OQ52">
        <v>7.2350000000000003</v>
      </c>
      <c r="OR52">
        <v>0.11700000000000001</v>
      </c>
      <c r="OS52">
        <v>6.976</v>
      </c>
      <c r="OT52">
        <v>7.1609999999999996</v>
      </c>
      <c r="OU52">
        <v>7.2530000000000001</v>
      </c>
      <c r="OV52">
        <v>7.327</v>
      </c>
      <c r="OW52">
        <v>7.4009999999999998</v>
      </c>
      <c r="OX52">
        <v>1.002</v>
      </c>
      <c r="OY52">
        <v>1100</v>
      </c>
      <c r="PB52" t="s">
        <v>72</v>
      </c>
      <c r="PC52">
        <v>7.2530000000000001</v>
      </c>
      <c r="PD52">
        <v>0.107</v>
      </c>
      <c r="PE52">
        <v>7.0190000000000001</v>
      </c>
      <c r="PF52">
        <v>7.18</v>
      </c>
      <c r="PG52">
        <v>7.2709999999999999</v>
      </c>
      <c r="PH52">
        <v>7.3380000000000001</v>
      </c>
      <c r="PI52">
        <v>7.4059999999999997</v>
      </c>
      <c r="PJ52">
        <v>1.002</v>
      </c>
      <c r="PK52">
        <v>1100</v>
      </c>
      <c r="PN52" t="s">
        <v>72</v>
      </c>
      <c r="PO52">
        <v>7.0759999999999996</v>
      </c>
      <c r="PP52">
        <v>0.17599999999999999</v>
      </c>
      <c r="PQ52">
        <v>6.7</v>
      </c>
      <c r="PR52">
        <v>6.9619999999999997</v>
      </c>
      <c r="PS52">
        <v>7.0919999999999996</v>
      </c>
      <c r="PT52">
        <v>7.2060000000000004</v>
      </c>
      <c r="PU52">
        <v>7.3719999999999999</v>
      </c>
      <c r="PV52">
        <v>1.0009999999999999</v>
      </c>
      <c r="PW52">
        <v>3000</v>
      </c>
      <c r="QA52" t="s">
        <v>72</v>
      </c>
      <c r="QB52">
        <v>6.7110000000000003</v>
      </c>
      <c r="QC52">
        <v>0.122</v>
      </c>
      <c r="QD52">
        <v>6.4720000000000004</v>
      </c>
      <c r="QE52">
        <v>6.6239999999999997</v>
      </c>
      <c r="QF52">
        <v>6.7160000000000002</v>
      </c>
      <c r="QG52">
        <v>6.8029999999999999</v>
      </c>
      <c r="QH52">
        <v>6.915</v>
      </c>
      <c r="QI52">
        <v>1.149</v>
      </c>
      <c r="QJ52">
        <v>18</v>
      </c>
      <c r="QL52">
        <f t="shared" si="2"/>
        <v>0.36499999999999932</v>
      </c>
    </row>
    <row r="53" spans="1:454">
      <c r="A53" t="s">
        <v>73</v>
      </c>
      <c r="B53">
        <v>4.3849999999999998</v>
      </c>
      <c r="C53">
        <v>1.03</v>
      </c>
      <c r="D53">
        <v>2.0920000000000001</v>
      </c>
      <c r="E53">
        <v>3.782</v>
      </c>
      <c r="F53">
        <v>4.4809999999999999</v>
      </c>
      <c r="G53">
        <v>5.0780000000000003</v>
      </c>
      <c r="H53">
        <v>6.2850000000000001</v>
      </c>
      <c r="I53">
        <v>1.008</v>
      </c>
      <c r="J53">
        <v>560</v>
      </c>
      <c r="O53" t="s">
        <v>73</v>
      </c>
      <c r="P53">
        <v>2.4209999999999998</v>
      </c>
      <c r="Q53">
        <v>1.365</v>
      </c>
      <c r="R53">
        <v>0.19800000000000001</v>
      </c>
      <c r="S53">
        <v>1.343</v>
      </c>
      <c r="T53">
        <v>2.3319999999999999</v>
      </c>
      <c r="U53">
        <v>3.3940000000000001</v>
      </c>
      <c r="V53">
        <v>5.1630000000000003</v>
      </c>
      <c r="W53">
        <v>1.0049999999999999</v>
      </c>
      <c r="X53">
        <v>810</v>
      </c>
      <c r="AC53" t="s">
        <v>73</v>
      </c>
      <c r="AD53">
        <v>4.4530000000000003</v>
      </c>
      <c r="AE53">
        <v>0.70899999999999996</v>
      </c>
      <c r="AF53">
        <v>3.101</v>
      </c>
      <c r="AG53">
        <v>3.9729999999999999</v>
      </c>
      <c r="AH53">
        <v>4.4290000000000003</v>
      </c>
      <c r="AI53">
        <v>4.944</v>
      </c>
      <c r="AJ53">
        <v>5.8689999999999998</v>
      </c>
      <c r="AK53">
        <v>1.006</v>
      </c>
      <c r="AL53">
        <v>350</v>
      </c>
      <c r="AQ53" t="s">
        <v>73</v>
      </c>
      <c r="AR53">
        <v>4.5039999999999996</v>
      </c>
      <c r="AS53">
        <v>0.72899999999999998</v>
      </c>
      <c r="AT53">
        <v>3.141</v>
      </c>
      <c r="AU53">
        <v>4.0030000000000001</v>
      </c>
      <c r="AV53">
        <v>4.4870000000000001</v>
      </c>
      <c r="AW53">
        <v>5.016</v>
      </c>
      <c r="AX53">
        <v>5.9359999999999999</v>
      </c>
      <c r="AY53">
        <v>1.026</v>
      </c>
      <c r="AZ53">
        <v>97</v>
      </c>
      <c r="BE53" t="s">
        <v>73</v>
      </c>
      <c r="BF53">
        <v>5.4589999999999996</v>
      </c>
      <c r="BG53">
        <v>0.61499999999999999</v>
      </c>
      <c r="BH53">
        <v>4.282</v>
      </c>
      <c r="BI53">
        <v>5.0389999999999997</v>
      </c>
      <c r="BJ53">
        <v>5.45</v>
      </c>
      <c r="BK53">
        <v>5.8810000000000002</v>
      </c>
      <c r="BL53">
        <v>6.63</v>
      </c>
      <c r="BM53">
        <v>1.022</v>
      </c>
      <c r="BN53">
        <v>99</v>
      </c>
      <c r="BS53" t="s">
        <v>73</v>
      </c>
      <c r="BT53">
        <v>4.4210000000000003</v>
      </c>
      <c r="BU53">
        <v>0.67900000000000005</v>
      </c>
      <c r="BV53">
        <v>3.0550000000000002</v>
      </c>
      <c r="BW53">
        <v>3.976</v>
      </c>
      <c r="BX53">
        <v>4.4139999999999997</v>
      </c>
      <c r="BY53">
        <v>4.8710000000000004</v>
      </c>
      <c r="BZ53">
        <v>5.7460000000000004</v>
      </c>
      <c r="CA53">
        <v>1.032</v>
      </c>
      <c r="CB53">
        <v>91</v>
      </c>
      <c r="CG53" t="s">
        <v>73</v>
      </c>
      <c r="CH53">
        <v>5.5439999999999996</v>
      </c>
      <c r="CI53">
        <v>0.63700000000000001</v>
      </c>
      <c r="CJ53">
        <v>4.2720000000000002</v>
      </c>
      <c r="CK53">
        <v>5.133</v>
      </c>
      <c r="CL53">
        <v>5.548</v>
      </c>
      <c r="CM53">
        <v>5.9740000000000002</v>
      </c>
      <c r="CN53">
        <v>6.7539999999999996</v>
      </c>
      <c r="CO53">
        <v>1.014</v>
      </c>
      <c r="CP53">
        <v>150</v>
      </c>
      <c r="CU53" t="s">
        <v>73</v>
      </c>
      <c r="CV53">
        <v>5.2720000000000002</v>
      </c>
      <c r="CW53">
        <v>0.72199999999999998</v>
      </c>
      <c r="CX53">
        <v>3.7679999999999998</v>
      </c>
      <c r="CY53">
        <v>4.7759999999999998</v>
      </c>
      <c r="CZ53">
        <v>5.335</v>
      </c>
      <c r="DA53">
        <v>5.7880000000000003</v>
      </c>
      <c r="DB53">
        <v>6.5979999999999999</v>
      </c>
      <c r="DC53">
        <v>1.02</v>
      </c>
      <c r="DD53">
        <v>110</v>
      </c>
      <c r="DI53" t="s">
        <v>73</v>
      </c>
      <c r="DJ53">
        <v>4.5430000000000001</v>
      </c>
      <c r="DK53">
        <v>0.71499999999999997</v>
      </c>
      <c r="DL53">
        <v>3.1850000000000001</v>
      </c>
      <c r="DM53">
        <v>4.0529999999999999</v>
      </c>
      <c r="DN53">
        <v>4.5350000000000001</v>
      </c>
      <c r="DO53">
        <v>5.0110000000000001</v>
      </c>
      <c r="DP53">
        <v>5.9509999999999996</v>
      </c>
      <c r="DQ53">
        <v>1.002</v>
      </c>
      <c r="DR53">
        <v>3000</v>
      </c>
      <c r="DY53" t="s">
        <v>73</v>
      </c>
      <c r="DZ53">
        <v>4.6390000000000002</v>
      </c>
      <c r="EA53">
        <v>0.73599999999999999</v>
      </c>
      <c r="EB53">
        <v>3.2120000000000002</v>
      </c>
      <c r="EC53">
        <v>4.1340000000000003</v>
      </c>
      <c r="ED53">
        <v>4.6340000000000003</v>
      </c>
      <c r="EE53">
        <v>5.1449999999999996</v>
      </c>
      <c r="EF53">
        <v>6.12</v>
      </c>
      <c r="EG53">
        <v>1.028</v>
      </c>
      <c r="EH53">
        <v>76</v>
      </c>
      <c r="EK53" t="s">
        <v>73</v>
      </c>
      <c r="EL53">
        <v>3.8959999999999999</v>
      </c>
      <c r="EM53">
        <v>0.63400000000000001</v>
      </c>
      <c r="EN53">
        <v>2.7589999999999999</v>
      </c>
      <c r="EO53">
        <v>3.4529999999999998</v>
      </c>
      <c r="EP53">
        <v>3.879</v>
      </c>
      <c r="EQ53">
        <v>4.3040000000000003</v>
      </c>
      <c r="ER53">
        <v>5.1829999999999998</v>
      </c>
      <c r="ES53">
        <v>1.0009999999999999</v>
      </c>
      <c r="ET53">
        <v>1400</v>
      </c>
      <c r="EY53" t="s">
        <v>73</v>
      </c>
      <c r="EZ53">
        <v>4.0750000000000002</v>
      </c>
      <c r="FA53">
        <v>0.71799999999999997</v>
      </c>
      <c r="FB53">
        <v>2.7170000000000001</v>
      </c>
      <c r="FC53">
        <v>3.58</v>
      </c>
      <c r="FD53">
        <v>4.056</v>
      </c>
      <c r="FE53">
        <v>4.5640000000000001</v>
      </c>
      <c r="FF53">
        <v>5.5350000000000001</v>
      </c>
      <c r="FG53">
        <v>1.002</v>
      </c>
      <c r="FH53">
        <v>1400</v>
      </c>
      <c r="GA53" t="s">
        <v>73</v>
      </c>
      <c r="GB53">
        <v>4.5270000000000001</v>
      </c>
      <c r="GC53">
        <v>0.66500000000000004</v>
      </c>
      <c r="GD53">
        <v>3.2450000000000001</v>
      </c>
      <c r="GE53">
        <v>4.0659999999999998</v>
      </c>
      <c r="GF53">
        <v>4.5369999999999999</v>
      </c>
      <c r="GG53">
        <v>4.9800000000000004</v>
      </c>
      <c r="GH53">
        <v>5.8049999999999997</v>
      </c>
      <c r="GI53">
        <v>1.0049999999999999</v>
      </c>
      <c r="GJ53">
        <v>470</v>
      </c>
      <c r="GO53" t="s">
        <v>73</v>
      </c>
      <c r="GP53">
        <v>4.1769999999999996</v>
      </c>
      <c r="GQ53">
        <v>0.74099999999999999</v>
      </c>
      <c r="GR53">
        <v>2.7530000000000001</v>
      </c>
      <c r="GS53">
        <v>3.67</v>
      </c>
      <c r="GT53">
        <v>4.1609999999999996</v>
      </c>
      <c r="GU53">
        <v>4.67</v>
      </c>
      <c r="GV53">
        <v>5.6779999999999999</v>
      </c>
      <c r="GW53">
        <v>1.016</v>
      </c>
      <c r="GX53">
        <v>130</v>
      </c>
      <c r="HC53" t="s">
        <v>73</v>
      </c>
      <c r="HD53">
        <v>4.12</v>
      </c>
      <c r="HE53">
        <v>0.73499999999999999</v>
      </c>
      <c r="HF53">
        <v>2.7719999999999998</v>
      </c>
      <c r="HG53">
        <v>3.5870000000000002</v>
      </c>
      <c r="HH53">
        <v>4.0919999999999996</v>
      </c>
      <c r="HI53">
        <v>4.625</v>
      </c>
      <c r="HJ53">
        <v>5.6310000000000002</v>
      </c>
      <c r="HK53">
        <v>1.0049999999999999</v>
      </c>
      <c r="HL53">
        <v>440</v>
      </c>
      <c r="HP53" s="7"/>
      <c r="HQ53" s="7" t="s">
        <v>73</v>
      </c>
      <c r="HR53" s="7">
        <v>4.4989999999999997</v>
      </c>
      <c r="HS53" s="7">
        <v>0.66600000000000004</v>
      </c>
      <c r="HT53" s="7">
        <v>3.2530000000000001</v>
      </c>
      <c r="HU53" s="7">
        <v>4.0469999999999997</v>
      </c>
      <c r="HV53" s="7">
        <v>4.4809999999999999</v>
      </c>
      <c r="HW53" s="7">
        <v>4.9420000000000002</v>
      </c>
      <c r="HX53" s="7">
        <v>5.8540000000000001</v>
      </c>
      <c r="HY53" s="7">
        <v>1.01</v>
      </c>
      <c r="HZ53" s="7">
        <v>210</v>
      </c>
      <c r="IA53" s="7"/>
      <c r="IE53" t="s">
        <v>73</v>
      </c>
      <c r="IF53">
        <v>4.4459999999999997</v>
      </c>
      <c r="IG53">
        <v>0.59199999999999997</v>
      </c>
      <c r="IH53">
        <v>3.2930000000000001</v>
      </c>
      <c r="II53">
        <v>4.0460000000000003</v>
      </c>
      <c r="IJ53">
        <v>4.4509999999999996</v>
      </c>
      <c r="IK53">
        <v>4.8360000000000003</v>
      </c>
      <c r="IL53">
        <v>5.59</v>
      </c>
      <c r="IM53">
        <v>1.008</v>
      </c>
      <c r="IN53">
        <v>280</v>
      </c>
      <c r="IS53" t="s">
        <v>73</v>
      </c>
      <c r="IT53">
        <v>4.4080000000000004</v>
      </c>
      <c r="IU53">
        <v>0.63900000000000001</v>
      </c>
      <c r="IV53">
        <v>3.226</v>
      </c>
      <c r="IW53">
        <v>3.9740000000000002</v>
      </c>
      <c r="IX53">
        <v>4.4059999999999997</v>
      </c>
      <c r="IY53">
        <v>4.8440000000000003</v>
      </c>
      <c r="IZ53">
        <v>5.64</v>
      </c>
      <c r="JA53">
        <v>1.026</v>
      </c>
      <c r="JB53">
        <v>85</v>
      </c>
      <c r="JF53" t="s">
        <v>73</v>
      </c>
      <c r="JG53">
        <v>4.4080000000000004</v>
      </c>
      <c r="JH53">
        <v>0.64700000000000002</v>
      </c>
      <c r="JI53">
        <v>3.1789999999999998</v>
      </c>
      <c r="JJ53">
        <v>3.9769999999999999</v>
      </c>
      <c r="JK53">
        <v>4.3940000000000001</v>
      </c>
      <c r="JL53">
        <v>4.8209999999999997</v>
      </c>
      <c r="JM53">
        <v>5.7610000000000001</v>
      </c>
      <c r="JN53">
        <v>1.004</v>
      </c>
      <c r="JO53">
        <v>520</v>
      </c>
      <c r="JT53" t="s">
        <v>73</v>
      </c>
      <c r="JU53">
        <v>4.407</v>
      </c>
      <c r="JV53">
        <v>0.63800000000000001</v>
      </c>
      <c r="JW53">
        <v>3.1960000000000002</v>
      </c>
      <c r="JX53">
        <v>3.9870000000000001</v>
      </c>
      <c r="JY53">
        <v>4.3789999999999996</v>
      </c>
      <c r="JZ53">
        <v>4.8220000000000001</v>
      </c>
      <c r="KA53">
        <v>5.7</v>
      </c>
      <c r="KB53">
        <v>1.0009999999999999</v>
      </c>
      <c r="KC53">
        <v>2100</v>
      </c>
      <c r="KH53" t="s">
        <v>73</v>
      </c>
      <c r="KI53">
        <v>4.3390000000000004</v>
      </c>
      <c r="KJ53">
        <v>0.63700000000000001</v>
      </c>
      <c r="KK53">
        <v>3.1480000000000001</v>
      </c>
      <c r="KL53">
        <v>3.8969999999999998</v>
      </c>
      <c r="KM53">
        <v>4.327</v>
      </c>
      <c r="KN53">
        <v>4.7720000000000002</v>
      </c>
      <c r="KO53">
        <v>5.6280000000000001</v>
      </c>
      <c r="KP53">
        <v>1.0029999999999999</v>
      </c>
      <c r="KQ53">
        <v>870</v>
      </c>
      <c r="KR53">
        <f t="shared" si="0"/>
        <v>76.630870139945614</v>
      </c>
      <c r="KV53" t="s">
        <v>73</v>
      </c>
      <c r="KW53">
        <v>5.8120000000000003</v>
      </c>
      <c r="KX53">
        <v>0.48</v>
      </c>
      <c r="KY53">
        <v>4.8929999999999998</v>
      </c>
      <c r="KZ53">
        <v>5.4580000000000002</v>
      </c>
      <c r="LA53">
        <v>5.82</v>
      </c>
      <c r="LB53">
        <v>6.1719999999999997</v>
      </c>
      <c r="LC53">
        <v>6.6680000000000001</v>
      </c>
      <c r="LD53">
        <v>1.0209999999999999</v>
      </c>
      <c r="LE53">
        <v>100</v>
      </c>
      <c r="LJ53" t="s">
        <v>73</v>
      </c>
      <c r="LK53">
        <v>3.9740000000000002</v>
      </c>
      <c r="LL53">
        <v>0.28599999999999998</v>
      </c>
      <c r="LM53">
        <v>3.419</v>
      </c>
      <c r="LN53">
        <v>3.7850000000000001</v>
      </c>
      <c r="LO53">
        <v>3.9769999999999999</v>
      </c>
      <c r="LP53">
        <v>4.1669999999999998</v>
      </c>
      <c r="LQ53">
        <v>4.55</v>
      </c>
      <c r="LR53">
        <v>1.0129999999999999</v>
      </c>
      <c r="LS53">
        <v>170</v>
      </c>
      <c r="LX53" t="s">
        <v>73</v>
      </c>
      <c r="LY53">
        <v>5.6609999999999996</v>
      </c>
      <c r="LZ53">
        <v>0.48599999999999999</v>
      </c>
      <c r="MA53">
        <v>4.7039999999999997</v>
      </c>
      <c r="MB53">
        <v>5.32</v>
      </c>
      <c r="MC53">
        <v>5.6760000000000002</v>
      </c>
      <c r="MD53">
        <v>6.0190000000000001</v>
      </c>
      <c r="ME53">
        <v>6.5460000000000003</v>
      </c>
      <c r="MF53">
        <v>1.0680000000000001</v>
      </c>
      <c r="MG53">
        <v>35</v>
      </c>
      <c r="ML53" t="s">
        <v>73</v>
      </c>
      <c r="MM53">
        <v>4.71</v>
      </c>
      <c r="MN53">
        <v>1</v>
      </c>
      <c r="MO53">
        <v>2.5249999999999999</v>
      </c>
      <c r="MP53">
        <v>4.077</v>
      </c>
      <c r="MQ53">
        <v>4.782</v>
      </c>
      <c r="MR53">
        <v>5.4169999999999998</v>
      </c>
      <c r="MS53">
        <v>6.4539999999999997</v>
      </c>
      <c r="MT53">
        <v>1.0169999999999999</v>
      </c>
      <c r="MU53">
        <v>340</v>
      </c>
      <c r="MZ53" t="s">
        <v>73</v>
      </c>
      <c r="NA53">
        <v>4.6529999999999996</v>
      </c>
      <c r="NB53">
        <v>0.79600000000000004</v>
      </c>
      <c r="NC53">
        <v>3.1880000000000002</v>
      </c>
      <c r="ND53">
        <v>4.0529999999999999</v>
      </c>
      <c r="NE53">
        <v>4.6130000000000004</v>
      </c>
      <c r="NF53">
        <v>5.25</v>
      </c>
      <c r="NG53">
        <v>6.1529999999999996</v>
      </c>
      <c r="NH53">
        <v>1.599</v>
      </c>
      <c r="NI53">
        <v>7</v>
      </c>
      <c r="NM53" t="s">
        <v>73</v>
      </c>
      <c r="NN53">
        <v>3.9550000000000001</v>
      </c>
      <c r="NO53">
        <v>0.91800000000000004</v>
      </c>
      <c r="NP53">
        <v>1.944</v>
      </c>
      <c r="NQ53">
        <v>3.3639999999999999</v>
      </c>
      <c r="NR53">
        <v>4.0069999999999997</v>
      </c>
      <c r="NS53">
        <v>4.6139999999999999</v>
      </c>
      <c r="NT53">
        <v>5.5869999999999997</v>
      </c>
      <c r="NU53">
        <v>1.0289999999999999</v>
      </c>
      <c r="NV53">
        <v>190</v>
      </c>
      <c r="NY53" t="s">
        <v>73</v>
      </c>
      <c r="NZ53">
        <v>4.2830000000000004</v>
      </c>
      <c r="OA53">
        <v>1.0109999999999999</v>
      </c>
      <c r="OB53">
        <v>2.2719999999999998</v>
      </c>
      <c r="OC53">
        <v>3.6040000000000001</v>
      </c>
      <c r="OD53">
        <v>4.2750000000000004</v>
      </c>
      <c r="OE53">
        <v>5.0030000000000001</v>
      </c>
      <c r="OF53">
        <v>6.1260000000000003</v>
      </c>
      <c r="OG53">
        <v>1.0149999999999999</v>
      </c>
      <c r="OH53">
        <v>370</v>
      </c>
      <c r="OP53" t="s">
        <v>73</v>
      </c>
      <c r="OQ53">
        <v>4.91</v>
      </c>
      <c r="OR53">
        <v>0.90100000000000002</v>
      </c>
      <c r="OS53">
        <v>2.8210000000000002</v>
      </c>
      <c r="OT53">
        <v>4.3280000000000003</v>
      </c>
      <c r="OU53">
        <v>5.085</v>
      </c>
      <c r="OV53">
        <v>5.609</v>
      </c>
      <c r="OW53">
        <v>6.1840000000000002</v>
      </c>
      <c r="OX53">
        <v>1.1559999999999999</v>
      </c>
      <c r="OY53">
        <v>22</v>
      </c>
      <c r="PB53" t="s">
        <v>73</v>
      </c>
      <c r="PC53">
        <v>3.2360000000000002</v>
      </c>
      <c r="PD53">
        <v>0.89100000000000001</v>
      </c>
      <c r="PE53">
        <v>1.329</v>
      </c>
      <c r="PF53">
        <v>2.6789999999999998</v>
      </c>
      <c r="PG53">
        <v>3.3119999999999998</v>
      </c>
      <c r="PH53">
        <v>3.8839999999999999</v>
      </c>
      <c r="PI53">
        <v>4.76</v>
      </c>
      <c r="PJ53">
        <v>1.099</v>
      </c>
      <c r="PK53">
        <v>32</v>
      </c>
      <c r="PN53" t="s">
        <v>73</v>
      </c>
      <c r="PO53">
        <v>3.01</v>
      </c>
      <c r="PP53">
        <v>0.753</v>
      </c>
      <c r="PQ53">
        <v>1.44</v>
      </c>
      <c r="PR53">
        <v>2.5329999999999999</v>
      </c>
      <c r="PS53">
        <v>3.052</v>
      </c>
      <c r="PT53">
        <v>3.5390000000000001</v>
      </c>
      <c r="PU53">
        <v>4.383</v>
      </c>
      <c r="PV53">
        <v>1.054</v>
      </c>
      <c r="PW53">
        <v>49</v>
      </c>
      <c r="PX53">
        <f>AVERAGE(PO53:PO75)</f>
        <v>4.0026956521739132</v>
      </c>
      <c r="QA53" t="s">
        <v>73</v>
      </c>
      <c r="QB53">
        <v>-2.536</v>
      </c>
      <c r="QC53">
        <v>0.69299999999999995</v>
      </c>
      <c r="QD53">
        <v>-3.7250000000000001</v>
      </c>
      <c r="QE53">
        <v>-3.0449999999999999</v>
      </c>
      <c r="QF53">
        <v>-2.6</v>
      </c>
      <c r="QG53">
        <v>-2.073</v>
      </c>
      <c r="QH53">
        <v>-1.028</v>
      </c>
      <c r="QI53">
        <v>1.1379999999999999</v>
      </c>
      <c r="QJ53">
        <v>24</v>
      </c>
      <c r="QK53">
        <f>AVERAGE(QB53:QB75)</f>
        <v>0.77452173913043498</v>
      </c>
      <c r="QL53">
        <f t="shared" si="2"/>
        <v>5.5459999999999994</v>
      </c>
    </row>
    <row r="54" spans="1:454">
      <c r="A54" t="s">
        <v>74</v>
      </c>
      <c r="B54">
        <v>6.6790000000000003</v>
      </c>
      <c r="C54">
        <v>1.1279999999999999</v>
      </c>
      <c r="D54">
        <v>4.3600000000000003</v>
      </c>
      <c r="E54">
        <v>5.9560000000000004</v>
      </c>
      <c r="F54">
        <v>6.7220000000000004</v>
      </c>
      <c r="G54">
        <v>7.4729999999999999</v>
      </c>
      <c r="H54">
        <v>8.8209999999999997</v>
      </c>
      <c r="I54">
        <v>1.012</v>
      </c>
      <c r="J54">
        <v>1800</v>
      </c>
      <c r="O54" t="s">
        <v>74</v>
      </c>
      <c r="P54">
        <v>6.2859999999999996</v>
      </c>
      <c r="Q54">
        <v>0.89700000000000002</v>
      </c>
      <c r="R54">
        <v>4.0999999999999996</v>
      </c>
      <c r="S54">
        <v>5.7949999999999999</v>
      </c>
      <c r="T54">
        <v>6.5039999999999996</v>
      </c>
      <c r="U54">
        <v>7</v>
      </c>
      <c r="V54">
        <v>7.343</v>
      </c>
      <c r="W54">
        <v>1.004</v>
      </c>
      <c r="X54">
        <v>760</v>
      </c>
      <c r="AC54" t="s">
        <v>74</v>
      </c>
      <c r="AD54">
        <v>6.5389999999999997</v>
      </c>
      <c r="AE54">
        <v>0.64600000000000002</v>
      </c>
      <c r="AF54">
        <v>5</v>
      </c>
      <c r="AG54">
        <v>6.1369999999999996</v>
      </c>
      <c r="AH54">
        <v>6.6669999999999998</v>
      </c>
      <c r="AI54">
        <v>7.069</v>
      </c>
      <c r="AJ54">
        <v>7.3650000000000002</v>
      </c>
      <c r="AK54">
        <v>1.002</v>
      </c>
      <c r="AL54">
        <v>1000</v>
      </c>
      <c r="AQ54" t="s">
        <v>74</v>
      </c>
      <c r="AR54">
        <v>6.5730000000000004</v>
      </c>
      <c r="AS54">
        <v>0.61799999999999999</v>
      </c>
      <c r="AT54">
        <v>5.141</v>
      </c>
      <c r="AU54">
        <v>6.1959999999999997</v>
      </c>
      <c r="AV54">
        <v>6.6989999999999998</v>
      </c>
      <c r="AW54">
        <v>7.0830000000000002</v>
      </c>
      <c r="AX54">
        <v>7.3550000000000004</v>
      </c>
      <c r="AY54">
        <v>1.006</v>
      </c>
      <c r="AZ54">
        <v>380</v>
      </c>
      <c r="BE54" t="s">
        <v>74</v>
      </c>
      <c r="BF54">
        <v>6.8250000000000002</v>
      </c>
      <c r="BG54">
        <v>0.48</v>
      </c>
      <c r="BH54">
        <v>5.6029999999999998</v>
      </c>
      <c r="BI54">
        <v>6.5519999999999996</v>
      </c>
      <c r="BJ54">
        <v>6.9569999999999999</v>
      </c>
      <c r="BK54">
        <v>7.1989999999999998</v>
      </c>
      <c r="BL54">
        <v>7.3659999999999997</v>
      </c>
      <c r="BM54">
        <v>1.0149999999999999</v>
      </c>
      <c r="BN54">
        <v>210</v>
      </c>
      <c r="BS54" t="s">
        <v>74</v>
      </c>
      <c r="BT54">
        <v>6.5010000000000003</v>
      </c>
      <c r="BU54">
        <v>0.66100000000000003</v>
      </c>
      <c r="BV54">
        <v>4.9980000000000002</v>
      </c>
      <c r="BW54">
        <v>6.069</v>
      </c>
      <c r="BX54">
        <v>6.63</v>
      </c>
      <c r="BY54">
        <v>7.056</v>
      </c>
      <c r="BZ54">
        <v>7.35</v>
      </c>
      <c r="CA54">
        <v>1.0029999999999999</v>
      </c>
      <c r="CB54">
        <v>930</v>
      </c>
      <c r="CG54" t="s">
        <v>74</v>
      </c>
      <c r="CH54">
        <v>6.8680000000000003</v>
      </c>
      <c r="CI54">
        <v>0.441</v>
      </c>
      <c r="CJ54">
        <v>5.7670000000000003</v>
      </c>
      <c r="CK54">
        <v>6.6390000000000002</v>
      </c>
      <c r="CL54">
        <v>6.9930000000000003</v>
      </c>
      <c r="CM54">
        <v>7.2069999999999999</v>
      </c>
      <c r="CN54">
        <v>7.3650000000000002</v>
      </c>
      <c r="CO54">
        <v>1.0049999999999999</v>
      </c>
      <c r="CP54">
        <v>690</v>
      </c>
      <c r="CU54" t="s">
        <v>74</v>
      </c>
      <c r="CV54">
        <v>6.9880000000000004</v>
      </c>
      <c r="CW54">
        <v>0.44</v>
      </c>
      <c r="CX54">
        <v>5.7720000000000002</v>
      </c>
      <c r="CY54">
        <v>6.7930000000000001</v>
      </c>
      <c r="CZ54">
        <v>7.1470000000000002</v>
      </c>
      <c r="DA54">
        <v>7.32</v>
      </c>
      <c r="DB54">
        <v>7.38</v>
      </c>
      <c r="DC54">
        <v>1.004</v>
      </c>
      <c r="DD54">
        <v>750</v>
      </c>
      <c r="DI54" t="s">
        <v>74</v>
      </c>
      <c r="DJ54">
        <v>6.6059999999999999</v>
      </c>
      <c r="DK54">
        <v>0.63300000000000001</v>
      </c>
      <c r="DL54">
        <v>5.069</v>
      </c>
      <c r="DM54">
        <v>6.2350000000000003</v>
      </c>
      <c r="DN54">
        <v>6.7530000000000001</v>
      </c>
      <c r="DO54">
        <v>7.1260000000000003</v>
      </c>
      <c r="DP54">
        <v>7.3639999999999999</v>
      </c>
      <c r="DQ54">
        <v>1.002</v>
      </c>
      <c r="DR54">
        <v>1700</v>
      </c>
      <c r="DY54" t="s">
        <v>74</v>
      </c>
      <c r="DZ54">
        <v>6.6639999999999997</v>
      </c>
      <c r="EA54">
        <v>0.60899999999999999</v>
      </c>
      <c r="EB54">
        <v>5.2089999999999996</v>
      </c>
      <c r="EC54">
        <v>6.3159999999999998</v>
      </c>
      <c r="ED54">
        <v>6.8259999999999996</v>
      </c>
      <c r="EE54">
        <v>7.1559999999999997</v>
      </c>
      <c r="EF54">
        <v>7.3630000000000004</v>
      </c>
      <c r="EG54">
        <v>1.0129999999999999</v>
      </c>
      <c r="EH54">
        <v>250</v>
      </c>
      <c r="EK54" t="s">
        <v>74</v>
      </c>
      <c r="EL54">
        <v>6.2990000000000004</v>
      </c>
      <c r="EM54">
        <v>0.751</v>
      </c>
      <c r="EN54">
        <v>4.63</v>
      </c>
      <c r="EO54">
        <v>5.8040000000000003</v>
      </c>
      <c r="EP54">
        <v>6.4269999999999996</v>
      </c>
      <c r="EQ54">
        <v>6.9059999999999997</v>
      </c>
      <c r="ER54">
        <v>7.3280000000000003</v>
      </c>
      <c r="ES54">
        <v>1.0029999999999999</v>
      </c>
      <c r="ET54">
        <v>660</v>
      </c>
      <c r="EY54" t="s">
        <v>74</v>
      </c>
      <c r="EZ54">
        <v>6.4329999999999998</v>
      </c>
      <c r="FA54">
        <v>0.71899999999999997</v>
      </c>
      <c r="FB54">
        <v>4.7750000000000004</v>
      </c>
      <c r="FC54">
        <v>5.976</v>
      </c>
      <c r="FD54">
        <v>6.5830000000000002</v>
      </c>
      <c r="FE54">
        <v>7.0119999999999996</v>
      </c>
      <c r="FF54">
        <v>7.3470000000000004</v>
      </c>
      <c r="FG54">
        <v>1.0009999999999999</v>
      </c>
      <c r="FH54">
        <v>3000</v>
      </c>
      <c r="GA54" t="s">
        <v>74</v>
      </c>
      <c r="GB54">
        <v>5.7530000000000001</v>
      </c>
      <c r="GC54">
        <v>0.68899999999999995</v>
      </c>
      <c r="GD54">
        <v>4.4210000000000003</v>
      </c>
      <c r="GE54">
        <v>5.2560000000000002</v>
      </c>
      <c r="GF54">
        <v>5.7549999999999999</v>
      </c>
      <c r="GG54">
        <v>6.2229999999999999</v>
      </c>
      <c r="GH54">
        <v>7.1230000000000002</v>
      </c>
      <c r="GI54">
        <v>1.0089999999999999</v>
      </c>
      <c r="GJ54">
        <v>260</v>
      </c>
      <c r="GO54" t="s">
        <v>74</v>
      </c>
      <c r="GP54">
        <v>6.3979999999999997</v>
      </c>
      <c r="GQ54">
        <v>0.72399999999999998</v>
      </c>
      <c r="GR54">
        <v>4.8170000000000002</v>
      </c>
      <c r="GS54">
        <v>5.9219999999999997</v>
      </c>
      <c r="GT54">
        <v>6.53</v>
      </c>
      <c r="GU54">
        <v>7.0060000000000002</v>
      </c>
      <c r="GV54">
        <v>7.34</v>
      </c>
      <c r="GW54">
        <v>1.002</v>
      </c>
      <c r="GX54">
        <v>1700</v>
      </c>
      <c r="HC54" t="s">
        <v>74</v>
      </c>
      <c r="HD54">
        <v>6.4169999999999998</v>
      </c>
      <c r="HE54">
        <v>0.70799999999999996</v>
      </c>
      <c r="HF54">
        <v>4.8319999999999999</v>
      </c>
      <c r="HG54">
        <v>5.9470000000000001</v>
      </c>
      <c r="HH54">
        <v>6.56</v>
      </c>
      <c r="HI54">
        <v>6.992</v>
      </c>
      <c r="HJ54">
        <v>7.3380000000000001</v>
      </c>
      <c r="HK54">
        <v>1.004</v>
      </c>
      <c r="HL54">
        <v>620</v>
      </c>
      <c r="HP54" s="7"/>
      <c r="HQ54" s="7" t="s">
        <v>74</v>
      </c>
      <c r="HR54" s="7">
        <v>6.5170000000000003</v>
      </c>
      <c r="HS54" s="7">
        <v>0.65100000000000002</v>
      </c>
      <c r="HT54" s="7">
        <v>5.024</v>
      </c>
      <c r="HU54" s="7">
        <v>6.11</v>
      </c>
      <c r="HV54" s="7">
        <v>6.6429999999999998</v>
      </c>
      <c r="HW54" s="7">
        <v>7.0529999999999999</v>
      </c>
      <c r="HX54" s="7">
        <v>7.351</v>
      </c>
      <c r="HY54" s="7">
        <v>1.0009999999999999</v>
      </c>
      <c r="HZ54" s="7">
        <v>3000</v>
      </c>
      <c r="IA54" s="7"/>
      <c r="IE54" t="s">
        <v>74</v>
      </c>
      <c r="IF54">
        <v>6.5449999999999999</v>
      </c>
      <c r="IG54">
        <v>0.60499999999999998</v>
      </c>
      <c r="IH54">
        <v>5.1609999999999996</v>
      </c>
      <c r="II54">
        <v>6.16</v>
      </c>
      <c r="IJ54">
        <v>6.649</v>
      </c>
      <c r="IK54">
        <v>7.0380000000000003</v>
      </c>
      <c r="IL54">
        <v>7.3490000000000002</v>
      </c>
      <c r="IM54">
        <v>1.002</v>
      </c>
      <c r="IN54">
        <v>2000</v>
      </c>
      <c r="IS54" t="s">
        <v>74</v>
      </c>
      <c r="IT54">
        <v>6.5519999999999996</v>
      </c>
      <c r="IU54">
        <v>0.626</v>
      </c>
      <c r="IV54">
        <v>5.09</v>
      </c>
      <c r="IW54">
        <v>6.173</v>
      </c>
      <c r="IX54">
        <v>6.6840000000000002</v>
      </c>
      <c r="IY54">
        <v>7.0579999999999998</v>
      </c>
      <c r="IZ54">
        <v>7.3470000000000004</v>
      </c>
      <c r="JA54">
        <v>1.0129999999999999</v>
      </c>
      <c r="JB54">
        <v>290</v>
      </c>
      <c r="JF54" t="s">
        <v>74</v>
      </c>
      <c r="JG54">
        <v>6.64</v>
      </c>
      <c r="JH54">
        <v>0.56499999999999995</v>
      </c>
      <c r="JI54">
        <v>5.3410000000000002</v>
      </c>
      <c r="JJ54">
        <v>6.2839999999999998</v>
      </c>
      <c r="JK54">
        <v>6.76</v>
      </c>
      <c r="JL54">
        <v>7.0970000000000004</v>
      </c>
      <c r="JM54">
        <v>7.35</v>
      </c>
      <c r="JN54">
        <v>1.0009999999999999</v>
      </c>
      <c r="JO54">
        <v>3000</v>
      </c>
      <c r="JT54" t="s">
        <v>74</v>
      </c>
      <c r="JU54">
        <v>6.63</v>
      </c>
      <c r="JV54">
        <v>0.57699999999999996</v>
      </c>
      <c r="JW54">
        <v>5.2880000000000003</v>
      </c>
      <c r="JX54">
        <v>6.2770000000000001</v>
      </c>
      <c r="JY54">
        <v>6.7510000000000003</v>
      </c>
      <c r="JZ54">
        <v>7.101</v>
      </c>
      <c r="KA54">
        <v>7.3529999999999998</v>
      </c>
      <c r="KB54">
        <v>1.0009999999999999</v>
      </c>
      <c r="KC54">
        <v>2500</v>
      </c>
      <c r="KH54" t="s">
        <v>74</v>
      </c>
      <c r="KI54">
        <v>6.6319999999999997</v>
      </c>
      <c r="KJ54">
        <v>0.58099999999999996</v>
      </c>
      <c r="KK54">
        <v>5.2590000000000003</v>
      </c>
      <c r="KL54">
        <v>6.2729999999999997</v>
      </c>
      <c r="KM54">
        <v>6.76</v>
      </c>
      <c r="KN54">
        <v>7.0960000000000001</v>
      </c>
      <c r="KO54">
        <v>7.3570000000000002</v>
      </c>
      <c r="KP54">
        <v>1.0009999999999999</v>
      </c>
      <c r="KQ54">
        <v>3000</v>
      </c>
      <c r="KR54">
        <f t="shared" si="0"/>
        <v>758.99865095791552</v>
      </c>
      <c r="KV54" t="s">
        <v>74</v>
      </c>
      <c r="KW54">
        <v>8.093</v>
      </c>
      <c r="KX54">
        <v>0.71</v>
      </c>
      <c r="KY54">
        <v>6.6829999999999998</v>
      </c>
      <c r="KZ54">
        <v>7.5949999999999998</v>
      </c>
      <c r="LA54">
        <v>8.0950000000000006</v>
      </c>
      <c r="LB54">
        <v>8.6110000000000007</v>
      </c>
      <c r="LC54">
        <v>9.3930000000000007</v>
      </c>
      <c r="LD54">
        <v>1.01</v>
      </c>
      <c r="LE54">
        <v>200</v>
      </c>
      <c r="LJ54" t="s">
        <v>74</v>
      </c>
      <c r="LK54">
        <v>5.2709999999999999</v>
      </c>
      <c r="LL54">
        <v>0.32700000000000001</v>
      </c>
      <c r="LM54">
        <v>4.63</v>
      </c>
      <c r="LN54">
        <v>5.0490000000000004</v>
      </c>
      <c r="LO54">
        <v>5.2679999999999998</v>
      </c>
      <c r="LP54">
        <v>5.4889999999999999</v>
      </c>
      <c r="LQ54">
        <v>5.9009999999999998</v>
      </c>
      <c r="LR54">
        <v>1.0249999999999999</v>
      </c>
      <c r="LS54">
        <v>85</v>
      </c>
      <c r="LX54" t="s">
        <v>74</v>
      </c>
      <c r="LY54">
        <v>8.2460000000000004</v>
      </c>
      <c r="LZ54">
        <v>0.85599999999999998</v>
      </c>
      <c r="MA54">
        <v>6.6109999999999998</v>
      </c>
      <c r="MB54">
        <v>7.6429999999999998</v>
      </c>
      <c r="MC54">
        <v>8.2560000000000002</v>
      </c>
      <c r="MD54">
        <v>8.8420000000000005</v>
      </c>
      <c r="ME54">
        <v>9.8759999999999994</v>
      </c>
      <c r="MF54">
        <v>1.21</v>
      </c>
      <c r="MG54">
        <v>14</v>
      </c>
      <c r="ML54" t="s">
        <v>74</v>
      </c>
      <c r="MM54">
        <v>6.7389999999999999</v>
      </c>
      <c r="MN54">
        <v>1.1220000000000001</v>
      </c>
      <c r="MO54">
        <v>4.3789999999999996</v>
      </c>
      <c r="MP54">
        <v>6.0129999999999999</v>
      </c>
      <c r="MQ54">
        <v>6.7759999999999998</v>
      </c>
      <c r="MR54">
        <v>7.5250000000000004</v>
      </c>
      <c r="MS54">
        <v>8.7989999999999995</v>
      </c>
      <c r="MT54">
        <v>1.0109999999999999</v>
      </c>
      <c r="MU54">
        <v>340</v>
      </c>
      <c r="MZ54" t="s">
        <v>74</v>
      </c>
      <c r="NA54">
        <v>6.6479999999999997</v>
      </c>
      <c r="NB54">
        <v>0.93799999999999994</v>
      </c>
      <c r="NC54">
        <v>4.9279999999999999</v>
      </c>
      <c r="ND54">
        <v>5.9480000000000004</v>
      </c>
      <c r="NE54">
        <v>6.6070000000000002</v>
      </c>
      <c r="NF54">
        <v>7.3419999999999996</v>
      </c>
      <c r="NG54">
        <v>8.452</v>
      </c>
      <c r="NH54">
        <v>1.5740000000000001</v>
      </c>
      <c r="NI54">
        <v>7</v>
      </c>
      <c r="NM54" t="s">
        <v>74</v>
      </c>
      <c r="NN54">
        <v>6.9710000000000001</v>
      </c>
      <c r="NO54">
        <v>1.165</v>
      </c>
      <c r="NP54">
        <v>4.673</v>
      </c>
      <c r="NQ54">
        <v>6.1719999999999997</v>
      </c>
      <c r="NR54">
        <v>6.9340000000000002</v>
      </c>
      <c r="NS54">
        <v>7.782</v>
      </c>
      <c r="NT54">
        <v>9.1850000000000005</v>
      </c>
      <c r="NU54">
        <v>1.028</v>
      </c>
      <c r="NV54">
        <v>130</v>
      </c>
      <c r="NY54" t="s">
        <v>74</v>
      </c>
      <c r="NZ54">
        <v>8.2560000000000002</v>
      </c>
      <c r="OA54">
        <v>1.3420000000000001</v>
      </c>
      <c r="OB54">
        <v>5.5570000000000004</v>
      </c>
      <c r="OC54">
        <v>7.2960000000000003</v>
      </c>
      <c r="OD54">
        <v>8.3330000000000002</v>
      </c>
      <c r="OE54">
        <v>9.2509999999999994</v>
      </c>
      <c r="OF54">
        <v>10.598000000000001</v>
      </c>
      <c r="OG54">
        <v>1.046</v>
      </c>
      <c r="OH54">
        <v>58</v>
      </c>
      <c r="OP54" t="s">
        <v>74</v>
      </c>
      <c r="OQ54">
        <v>8.6340000000000003</v>
      </c>
      <c r="OR54">
        <v>1.002</v>
      </c>
      <c r="OS54">
        <v>6.3319999999999999</v>
      </c>
      <c r="OT54">
        <v>7.9660000000000002</v>
      </c>
      <c r="OU54">
        <v>8.7850000000000001</v>
      </c>
      <c r="OV54">
        <v>9.3940000000000001</v>
      </c>
      <c r="OW54">
        <v>10.208</v>
      </c>
      <c r="OX54">
        <v>1.0940000000000001</v>
      </c>
      <c r="OY54">
        <v>37</v>
      </c>
      <c r="PB54" t="s">
        <v>74</v>
      </c>
      <c r="PC54">
        <v>4.6449999999999996</v>
      </c>
      <c r="PD54">
        <v>0.877</v>
      </c>
      <c r="PE54">
        <v>2.7509999999999999</v>
      </c>
      <c r="PF54">
        <v>4.101</v>
      </c>
      <c r="PG54">
        <v>4.72</v>
      </c>
      <c r="PH54">
        <v>5.2789999999999999</v>
      </c>
      <c r="PI54">
        <v>6.1369999999999996</v>
      </c>
      <c r="PJ54">
        <v>1.08</v>
      </c>
      <c r="PK54">
        <v>35</v>
      </c>
      <c r="PN54" t="s">
        <v>74</v>
      </c>
      <c r="PO54">
        <v>4.8010000000000002</v>
      </c>
      <c r="PP54">
        <v>0.77200000000000002</v>
      </c>
      <c r="PQ54">
        <v>3.254</v>
      </c>
      <c r="PR54">
        <v>4.2930000000000001</v>
      </c>
      <c r="PS54">
        <v>4.8460000000000001</v>
      </c>
      <c r="PT54">
        <v>5.3440000000000003</v>
      </c>
      <c r="PU54">
        <v>6.2229999999999999</v>
      </c>
      <c r="PV54">
        <v>1.054</v>
      </c>
      <c r="PW54">
        <v>46</v>
      </c>
      <c r="QA54" t="s">
        <v>74</v>
      </c>
      <c r="QB54">
        <v>3.4390000000000001</v>
      </c>
      <c r="QC54">
        <v>0.39900000000000002</v>
      </c>
      <c r="QD54">
        <v>2.6949999999999998</v>
      </c>
      <c r="QE54">
        <v>3.1469999999999998</v>
      </c>
      <c r="QF54">
        <v>3.4460000000000002</v>
      </c>
      <c r="QG54">
        <v>3.7149999999999999</v>
      </c>
      <c r="QH54">
        <v>4.2389999999999999</v>
      </c>
      <c r="QI54">
        <v>1.018</v>
      </c>
      <c r="QJ54">
        <v>160</v>
      </c>
      <c r="QL54">
        <f t="shared" si="2"/>
        <v>1.3620000000000001</v>
      </c>
    </row>
    <row r="55" spans="1:454">
      <c r="A55" t="s">
        <v>75</v>
      </c>
      <c r="B55">
        <v>2.9980000000000002</v>
      </c>
      <c r="C55">
        <v>1.016</v>
      </c>
      <c r="D55">
        <v>0.81499999999999995</v>
      </c>
      <c r="E55">
        <v>2.3580000000000001</v>
      </c>
      <c r="F55">
        <v>3.0059999999999998</v>
      </c>
      <c r="G55">
        <v>3.6829999999999998</v>
      </c>
      <c r="H55">
        <v>4.9880000000000004</v>
      </c>
      <c r="I55">
        <v>1.0509999999999999</v>
      </c>
      <c r="J55">
        <v>52</v>
      </c>
      <c r="O55" t="s">
        <v>75</v>
      </c>
      <c r="P55">
        <v>2.2639999999999998</v>
      </c>
      <c r="Q55">
        <v>1.2330000000000001</v>
      </c>
      <c r="R55">
        <v>0.11600000000000001</v>
      </c>
      <c r="S55">
        <v>1.3260000000000001</v>
      </c>
      <c r="T55">
        <v>2.2719999999999998</v>
      </c>
      <c r="U55">
        <v>3.1760000000000002</v>
      </c>
      <c r="V55">
        <v>4.633</v>
      </c>
      <c r="W55">
        <v>1.0029999999999999</v>
      </c>
      <c r="X55">
        <v>2400</v>
      </c>
      <c r="AC55" t="s">
        <v>75</v>
      </c>
      <c r="AD55">
        <v>3.5779999999999998</v>
      </c>
      <c r="AE55">
        <v>0.74399999999999999</v>
      </c>
      <c r="AF55">
        <v>2.0790000000000002</v>
      </c>
      <c r="AG55">
        <v>3.0840000000000001</v>
      </c>
      <c r="AH55">
        <v>3.589</v>
      </c>
      <c r="AI55">
        <v>4.07</v>
      </c>
      <c r="AJ55">
        <v>5.0149999999999997</v>
      </c>
      <c r="AK55">
        <v>1.002</v>
      </c>
      <c r="AL55">
        <v>1300</v>
      </c>
      <c r="AQ55" t="s">
        <v>75</v>
      </c>
      <c r="AR55">
        <v>3.67</v>
      </c>
      <c r="AS55">
        <v>0.747</v>
      </c>
      <c r="AT55">
        <v>2.2130000000000001</v>
      </c>
      <c r="AU55">
        <v>3.165</v>
      </c>
      <c r="AV55">
        <v>3.677</v>
      </c>
      <c r="AW55">
        <v>4.1859999999999999</v>
      </c>
      <c r="AX55">
        <v>5.117</v>
      </c>
      <c r="AY55">
        <v>1.0129999999999999</v>
      </c>
      <c r="AZ55">
        <v>160</v>
      </c>
      <c r="BE55" t="s">
        <v>75</v>
      </c>
      <c r="BF55">
        <v>4.2409999999999997</v>
      </c>
      <c r="BG55">
        <v>0.67100000000000004</v>
      </c>
      <c r="BH55">
        <v>2.9390000000000001</v>
      </c>
      <c r="BI55">
        <v>3.7970000000000002</v>
      </c>
      <c r="BJ55">
        <v>4.2229999999999999</v>
      </c>
      <c r="BK55">
        <v>4.6859999999999999</v>
      </c>
      <c r="BL55">
        <v>5.6130000000000004</v>
      </c>
      <c r="BM55">
        <v>1.0069999999999999</v>
      </c>
      <c r="BN55">
        <v>380</v>
      </c>
      <c r="BS55" t="s">
        <v>75</v>
      </c>
      <c r="BT55">
        <v>3.6520000000000001</v>
      </c>
      <c r="BU55">
        <v>0.73599999999999999</v>
      </c>
      <c r="BV55">
        <v>2.202</v>
      </c>
      <c r="BW55">
        <v>3.1560000000000001</v>
      </c>
      <c r="BX55">
        <v>3.6509999999999998</v>
      </c>
      <c r="BY55">
        <v>4.1449999999999996</v>
      </c>
      <c r="BZ55">
        <v>5.1059999999999999</v>
      </c>
      <c r="CA55">
        <v>1.034</v>
      </c>
      <c r="CB55">
        <v>81</v>
      </c>
      <c r="CG55" t="s">
        <v>75</v>
      </c>
      <c r="CH55">
        <v>4.2830000000000004</v>
      </c>
      <c r="CI55">
        <v>0.68799999999999994</v>
      </c>
      <c r="CJ55">
        <v>2.9550000000000001</v>
      </c>
      <c r="CK55">
        <v>3.823</v>
      </c>
      <c r="CL55">
        <v>4.2709999999999999</v>
      </c>
      <c r="CM55">
        <v>4.7320000000000002</v>
      </c>
      <c r="CN55">
        <v>5.6639999999999997</v>
      </c>
      <c r="CO55">
        <v>1.0149999999999999</v>
      </c>
      <c r="CP55">
        <v>140</v>
      </c>
      <c r="CU55" t="s">
        <v>75</v>
      </c>
      <c r="CV55">
        <v>3.74</v>
      </c>
      <c r="CW55">
        <v>0.752</v>
      </c>
      <c r="CX55">
        <v>2.2530000000000001</v>
      </c>
      <c r="CY55">
        <v>3.2829999999999999</v>
      </c>
      <c r="CZ55">
        <v>3.7360000000000002</v>
      </c>
      <c r="DA55">
        <v>4.2080000000000002</v>
      </c>
      <c r="DB55">
        <v>5.234</v>
      </c>
      <c r="DC55">
        <v>1.004</v>
      </c>
      <c r="DD55">
        <v>590</v>
      </c>
      <c r="DI55" t="s">
        <v>75</v>
      </c>
      <c r="DJ55">
        <v>3.6749999999999998</v>
      </c>
      <c r="DK55">
        <v>0.76800000000000002</v>
      </c>
      <c r="DL55">
        <v>2.161</v>
      </c>
      <c r="DM55">
        <v>3.1789999999999998</v>
      </c>
      <c r="DN55">
        <v>3.6909999999999998</v>
      </c>
      <c r="DO55">
        <v>4.1879999999999997</v>
      </c>
      <c r="DP55">
        <v>5.1669999999999998</v>
      </c>
      <c r="DQ55">
        <v>1.0029999999999999</v>
      </c>
      <c r="DR55">
        <v>3000</v>
      </c>
      <c r="DY55" t="s">
        <v>75</v>
      </c>
      <c r="DZ55">
        <v>3.7120000000000002</v>
      </c>
      <c r="EA55">
        <v>0.77300000000000002</v>
      </c>
      <c r="EB55">
        <v>2.21</v>
      </c>
      <c r="EC55">
        <v>3.1760000000000002</v>
      </c>
      <c r="ED55">
        <v>3.7130000000000001</v>
      </c>
      <c r="EE55">
        <v>4.2309999999999999</v>
      </c>
      <c r="EF55">
        <v>5.22</v>
      </c>
      <c r="EG55">
        <v>1.01</v>
      </c>
      <c r="EH55">
        <v>210</v>
      </c>
      <c r="EK55" t="s">
        <v>75</v>
      </c>
      <c r="EL55">
        <v>3.5609999999999999</v>
      </c>
      <c r="EM55">
        <v>0.72299999999999998</v>
      </c>
      <c r="EN55">
        <v>2.1779999999999999</v>
      </c>
      <c r="EO55">
        <v>3.0710000000000002</v>
      </c>
      <c r="EP55">
        <v>3.57</v>
      </c>
      <c r="EQ55">
        <v>4.0679999999999996</v>
      </c>
      <c r="ER55">
        <v>4.9029999999999996</v>
      </c>
      <c r="ES55">
        <v>1.0129999999999999</v>
      </c>
      <c r="ET55">
        <v>200</v>
      </c>
      <c r="EY55" t="s">
        <v>75</v>
      </c>
      <c r="EZ55">
        <v>3.3090000000000002</v>
      </c>
      <c r="FA55">
        <v>0.83599999999999997</v>
      </c>
      <c r="FB55">
        <v>1.6240000000000001</v>
      </c>
      <c r="FC55">
        <v>2.738</v>
      </c>
      <c r="FD55">
        <v>3.3090000000000002</v>
      </c>
      <c r="FE55">
        <v>3.8780000000000001</v>
      </c>
      <c r="FF55">
        <v>4.859</v>
      </c>
      <c r="FG55">
        <v>1.002</v>
      </c>
      <c r="FH55">
        <v>1000</v>
      </c>
      <c r="GA55" t="s">
        <v>75</v>
      </c>
      <c r="GB55">
        <v>4.5380000000000003</v>
      </c>
      <c r="GC55">
        <v>0.70299999999999996</v>
      </c>
      <c r="GD55">
        <v>3.1549999999999998</v>
      </c>
      <c r="GE55">
        <v>4.0599999999999996</v>
      </c>
      <c r="GF55">
        <v>4.5389999999999997</v>
      </c>
      <c r="GG55">
        <v>5.0110000000000001</v>
      </c>
      <c r="GH55">
        <v>5.93</v>
      </c>
      <c r="GI55">
        <v>1.006</v>
      </c>
      <c r="GJ55">
        <v>340</v>
      </c>
      <c r="GO55" t="s">
        <v>75</v>
      </c>
      <c r="GP55">
        <v>3.4889999999999999</v>
      </c>
      <c r="GQ55">
        <v>0.84499999999999997</v>
      </c>
      <c r="GR55">
        <v>1.8149999999999999</v>
      </c>
      <c r="GS55">
        <v>2.923</v>
      </c>
      <c r="GT55">
        <v>3.5249999999999999</v>
      </c>
      <c r="GU55">
        <v>4.056</v>
      </c>
      <c r="GV55">
        <v>5.0869999999999997</v>
      </c>
      <c r="GW55">
        <v>1.0089999999999999</v>
      </c>
      <c r="GX55">
        <v>300</v>
      </c>
      <c r="HC55" t="s">
        <v>75</v>
      </c>
      <c r="HD55">
        <v>3.4289999999999998</v>
      </c>
      <c r="HE55">
        <v>0.81</v>
      </c>
      <c r="HF55">
        <v>1.8149999999999999</v>
      </c>
      <c r="HG55">
        <v>2.9039999999999999</v>
      </c>
      <c r="HH55">
        <v>3.43</v>
      </c>
      <c r="HI55">
        <v>3.976</v>
      </c>
      <c r="HJ55">
        <v>4.9569999999999999</v>
      </c>
      <c r="HK55">
        <v>1.008</v>
      </c>
      <c r="HL55">
        <v>370</v>
      </c>
      <c r="HP55" s="7"/>
      <c r="HQ55" s="7" t="s">
        <v>75</v>
      </c>
      <c r="HR55" s="7">
        <v>3.512</v>
      </c>
      <c r="HS55" s="7">
        <v>0.72799999999999998</v>
      </c>
      <c r="HT55" s="7">
        <v>2.0990000000000002</v>
      </c>
      <c r="HU55" s="7">
        <v>3.0139999999999998</v>
      </c>
      <c r="HV55" s="7">
        <v>3.51</v>
      </c>
      <c r="HW55" s="7">
        <v>3.9769999999999999</v>
      </c>
      <c r="HX55" s="7">
        <v>5.0060000000000002</v>
      </c>
      <c r="HY55" s="7">
        <v>1.0049999999999999</v>
      </c>
      <c r="HZ55" s="7">
        <v>480</v>
      </c>
      <c r="IA55" s="7"/>
      <c r="IE55" t="s">
        <v>75</v>
      </c>
      <c r="IF55">
        <v>3.766</v>
      </c>
      <c r="IG55">
        <v>0.64</v>
      </c>
      <c r="IH55">
        <v>2.5110000000000001</v>
      </c>
      <c r="II55">
        <v>3.3319999999999999</v>
      </c>
      <c r="IJ55">
        <v>3.7810000000000001</v>
      </c>
      <c r="IK55">
        <v>4.1980000000000004</v>
      </c>
      <c r="IL55">
        <v>4.9720000000000004</v>
      </c>
      <c r="IM55">
        <v>1.008</v>
      </c>
      <c r="IN55">
        <v>300</v>
      </c>
      <c r="IS55" t="s">
        <v>75</v>
      </c>
      <c r="IT55">
        <v>3.7250000000000001</v>
      </c>
      <c r="IU55">
        <v>0.66400000000000003</v>
      </c>
      <c r="IV55">
        <v>2.4569999999999999</v>
      </c>
      <c r="IW55">
        <v>3.262</v>
      </c>
      <c r="IX55">
        <v>3.7269999999999999</v>
      </c>
      <c r="IY55">
        <v>4.1909999999999998</v>
      </c>
      <c r="IZ55">
        <v>4.9829999999999997</v>
      </c>
      <c r="JA55">
        <v>1.044</v>
      </c>
      <c r="JB55">
        <v>53</v>
      </c>
      <c r="JF55" t="s">
        <v>75</v>
      </c>
      <c r="JG55">
        <v>3.7970000000000002</v>
      </c>
      <c r="JH55">
        <v>0.67600000000000005</v>
      </c>
      <c r="JI55">
        <v>2.484</v>
      </c>
      <c r="JJ55">
        <v>3.3450000000000002</v>
      </c>
      <c r="JK55">
        <v>3.8029999999999999</v>
      </c>
      <c r="JL55">
        <v>4.2450000000000001</v>
      </c>
      <c r="JM55">
        <v>5.0960000000000001</v>
      </c>
      <c r="JN55">
        <v>1.0069999999999999</v>
      </c>
      <c r="JO55">
        <v>320</v>
      </c>
      <c r="JT55" t="s">
        <v>75</v>
      </c>
      <c r="JU55">
        <v>3.8069999999999999</v>
      </c>
      <c r="JV55">
        <v>0.68600000000000005</v>
      </c>
      <c r="JW55">
        <v>2.4860000000000002</v>
      </c>
      <c r="JX55">
        <v>3.355</v>
      </c>
      <c r="JY55">
        <v>3.798</v>
      </c>
      <c r="JZ55">
        <v>4.28</v>
      </c>
      <c r="KA55">
        <v>5.1660000000000004</v>
      </c>
      <c r="KB55">
        <v>1.0029999999999999</v>
      </c>
      <c r="KC55">
        <v>1200</v>
      </c>
      <c r="KH55" t="s">
        <v>75</v>
      </c>
      <c r="KI55">
        <v>3.7360000000000002</v>
      </c>
      <c r="KJ55">
        <v>0.69099999999999995</v>
      </c>
      <c r="KK55">
        <v>2.3660000000000001</v>
      </c>
      <c r="KL55">
        <v>3.2719999999999998</v>
      </c>
      <c r="KM55">
        <v>3.7290000000000001</v>
      </c>
      <c r="KN55">
        <v>4.2089999999999996</v>
      </c>
      <c r="KO55">
        <v>5.0750000000000002</v>
      </c>
      <c r="KP55">
        <v>1.0009999999999999</v>
      </c>
      <c r="KQ55">
        <v>3000</v>
      </c>
      <c r="KR55">
        <f t="shared" si="0"/>
        <v>41.929934539661701</v>
      </c>
      <c r="KV55" t="s">
        <v>75</v>
      </c>
      <c r="KW55">
        <v>3.97</v>
      </c>
      <c r="KX55">
        <v>0.626</v>
      </c>
      <c r="KY55">
        <v>2.6920000000000002</v>
      </c>
      <c r="KZ55">
        <v>3.5409999999999999</v>
      </c>
      <c r="LA55">
        <v>3.9940000000000002</v>
      </c>
      <c r="LB55">
        <v>4.4009999999999998</v>
      </c>
      <c r="LC55">
        <v>5.1580000000000004</v>
      </c>
      <c r="LD55">
        <v>1.018</v>
      </c>
      <c r="LE55">
        <v>120</v>
      </c>
      <c r="LJ55" t="s">
        <v>75</v>
      </c>
      <c r="LK55">
        <v>2.927</v>
      </c>
      <c r="LL55">
        <v>0.39</v>
      </c>
      <c r="LM55">
        <v>2.1640000000000001</v>
      </c>
      <c r="LN55">
        <v>2.6619999999999999</v>
      </c>
      <c r="LO55">
        <v>2.9350000000000001</v>
      </c>
      <c r="LP55">
        <v>3.1930000000000001</v>
      </c>
      <c r="LQ55">
        <v>3.6829999999999998</v>
      </c>
      <c r="LR55">
        <v>1.002</v>
      </c>
      <c r="LS55">
        <v>1100</v>
      </c>
      <c r="LX55" t="s">
        <v>75</v>
      </c>
      <c r="LY55">
        <v>3.5750000000000002</v>
      </c>
      <c r="LZ55">
        <v>0.67500000000000004</v>
      </c>
      <c r="MA55">
        <v>2.081</v>
      </c>
      <c r="MB55">
        <v>3.165</v>
      </c>
      <c r="MC55">
        <v>3.6019999999999999</v>
      </c>
      <c r="MD55">
        <v>4.0330000000000004</v>
      </c>
      <c r="ME55">
        <v>4.7969999999999997</v>
      </c>
      <c r="MF55">
        <v>1.0589999999999999</v>
      </c>
      <c r="MG55">
        <v>77</v>
      </c>
      <c r="ML55" t="s">
        <v>75</v>
      </c>
      <c r="MM55">
        <v>3.0710000000000002</v>
      </c>
      <c r="MN55">
        <v>1.0189999999999999</v>
      </c>
      <c r="MO55">
        <v>0.84699999999999998</v>
      </c>
      <c r="MP55">
        <v>2.4329999999999998</v>
      </c>
      <c r="MQ55">
        <v>3.1480000000000001</v>
      </c>
      <c r="MR55">
        <v>3.7869999999999999</v>
      </c>
      <c r="MS55">
        <v>4.8520000000000003</v>
      </c>
      <c r="MT55">
        <v>1.0149999999999999</v>
      </c>
      <c r="MU55">
        <v>250</v>
      </c>
      <c r="MZ55" t="s">
        <v>75</v>
      </c>
      <c r="NA55">
        <v>3.0430000000000001</v>
      </c>
      <c r="NB55">
        <v>0.82799999999999996</v>
      </c>
      <c r="NC55">
        <v>1.4930000000000001</v>
      </c>
      <c r="ND55">
        <v>2.468</v>
      </c>
      <c r="NE55">
        <v>3.0350000000000001</v>
      </c>
      <c r="NF55">
        <v>3.5939999999999999</v>
      </c>
      <c r="NG55">
        <v>4.6680000000000001</v>
      </c>
      <c r="NH55">
        <v>1.357</v>
      </c>
      <c r="NI55">
        <v>10</v>
      </c>
      <c r="NM55" t="s">
        <v>75</v>
      </c>
      <c r="NN55">
        <v>1.5189999999999999</v>
      </c>
      <c r="NO55">
        <v>0.89500000000000002</v>
      </c>
      <c r="NP55">
        <v>-0.49399999999999999</v>
      </c>
      <c r="NQ55">
        <v>0.98</v>
      </c>
      <c r="NR55">
        <v>1.615</v>
      </c>
      <c r="NS55">
        <v>2.137</v>
      </c>
      <c r="NT55">
        <v>3.044</v>
      </c>
      <c r="NU55">
        <v>1.034</v>
      </c>
      <c r="NV55">
        <v>68</v>
      </c>
      <c r="NY55" t="s">
        <v>75</v>
      </c>
      <c r="NZ55">
        <v>1.075</v>
      </c>
      <c r="OA55">
        <v>1.0920000000000001</v>
      </c>
      <c r="OB55">
        <v>-1.091</v>
      </c>
      <c r="OC55">
        <v>0.29799999999999999</v>
      </c>
      <c r="OD55">
        <v>1.109</v>
      </c>
      <c r="OE55">
        <v>1.8680000000000001</v>
      </c>
      <c r="OF55">
        <v>3.0049999999999999</v>
      </c>
      <c r="OG55">
        <v>1.07</v>
      </c>
      <c r="OH55">
        <v>39</v>
      </c>
      <c r="OP55" t="s">
        <v>75</v>
      </c>
      <c r="OQ55">
        <v>1.9019999999999999</v>
      </c>
      <c r="OR55">
        <v>0.91900000000000004</v>
      </c>
      <c r="OS55">
        <v>-0.17699999999999999</v>
      </c>
      <c r="OT55">
        <v>1.3480000000000001</v>
      </c>
      <c r="OU55">
        <v>2.0880000000000001</v>
      </c>
      <c r="OV55">
        <v>2.6389999999999998</v>
      </c>
      <c r="OW55">
        <v>3.18</v>
      </c>
      <c r="OX55">
        <v>1.169</v>
      </c>
      <c r="OY55">
        <v>18</v>
      </c>
      <c r="PB55" t="s">
        <v>75</v>
      </c>
      <c r="PC55">
        <v>2.0990000000000002</v>
      </c>
      <c r="PD55">
        <v>0.92700000000000005</v>
      </c>
      <c r="PE55">
        <v>0.13400000000000001</v>
      </c>
      <c r="PF55">
        <v>1.526</v>
      </c>
      <c r="PG55">
        <v>2.165</v>
      </c>
      <c r="PH55">
        <v>2.7759999999999998</v>
      </c>
      <c r="PI55">
        <v>3.7010000000000001</v>
      </c>
      <c r="PJ55">
        <v>1.0860000000000001</v>
      </c>
      <c r="PK55">
        <v>30</v>
      </c>
      <c r="PN55" t="s">
        <v>75</v>
      </c>
      <c r="PO55">
        <v>3.056</v>
      </c>
      <c r="PP55">
        <v>0.752</v>
      </c>
      <c r="PQ55">
        <v>1.4890000000000001</v>
      </c>
      <c r="PR55">
        <v>2.5790000000000002</v>
      </c>
      <c r="PS55">
        <v>3.1</v>
      </c>
      <c r="PT55">
        <v>3.5830000000000002</v>
      </c>
      <c r="PU55">
        <v>4.4249999999999998</v>
      </c>
      <c r="PV55">
        <v>1.054</v>
      </c>
      <c r="PW55">
        <v>49</v>
      </c>
      <c r="QA55" t="s">
        <v>75</v>
      </c>
      <c r="QB55">
        <v>-2.3820000000000001</v>
      </c>
      <c r="QC55">
        <v>0.68100000000000005</v>
      </c>
      <c r="QD55">
        <v>-3.5449999999999999</v>
      </c>
      <c r="QE55">
        <v>-2.8849999999999998</v>
      </c>
      <c r="QF55">
        <v>-2.4460000000000002</v>
      </c>
      <c r="QG55">
        <v>-1.9259999999999999</v>
      </c>
      <c r="QH55">
        <v>-0.89700000000000002</v>
      </c>
      <c r="QI55">
        <v>1.137</v>
      </c>
      <c r="QJ55">
        <v>24</v>
      </c>
      <c r="QL55">
        <f t="shared" si="2"/>
        <v>5.4380000000000006</v>
      </c>
    </row>
    <row r="56" spans="1:454">
      <c r="A56" t="s">
        <v>76</v>
      </c>
      <c r="B56">
        <v>5.6989999999999998</v>
      </c>
      <c r="C56">
        <v>0.97799999999999998</v>
      </c>
      <c r="D56">
        <v>3.6019999999999999</v>
      </c>
      <c r="E56">
        <v>5.1159999999999997</v>
      </c>
      <c r="F56">
        <v>5.7359999999999998</v>
      </c>
      <c r="G56">
        <v>6.3550000000000004</v>
      </c>
      <c r="H56">
        <v>7.4450000000000003</v>
      </c>
      <c r="I56">
        <v>1.034</v>
      </c>
      <c r="J56">
        <v>150</v>
      </c>
      <c r="O56" t="s">
        <v>76</v>
      </c>
      <c r="P56">
        <v>6.2450000000000001</v>
      </c>
      <c r="Q56">
        <v>0.85799999999999998</v>
      </c>
      <c r="R56">
        <v>4.1959999999999997</v>
      </c>
      <c r="S56">
        <v>5.734</v>
      </c>
      <c r="T56">
        <v>6.4109999999999996</v>
      </c>
      <c r="U56">
        <v>6.944</v>
      </c>
      <c r="V56">
        <v>7.3230000000000004</v>
      </c>
      <c r="W56">
        <v>1.002</v>
      </c>
      <c r="X56">
        <v>1900</v>
      </c>
      <c r="AC56" t="s">
        <v>76</v>
      </c>
      <c r="AD56">
        <v>6.3789999999999996</v>
      </c>
      <c r="AE56">
        <v>0.63</v>
      </c>
      <c r="AF56">
        <v>5.0359999999999996</v>
      </c>
      <c r="AG56">
        <v>5.9649999999999999</v>
      </c>
      <c r="AH56">
        <v>6.4569999999999999</v>
      </c>
      <c r="AI56">
        <v>6.8739999999999997</v>
      </c>
      <c r="AJ56">
        <v>7.3289999999999997</v>
      </c>
      <c r="AK56">
        <v>1.0009999999999999</v>
      </c>
      <c r="AL56">
        <v>3000</v>
      </c>
      <c r="AQ56" t="s">
        <v>76</v>
      </c>
      <c r="AR56">
        <v>6.3949999999999996</v>
      </c>
      <c r="AS56">
        <v>0.63500000000000001</v>
      </c>
      <c r="AT56">
        <v>5.01</v>
      </c>
      <c r="AU56">
        <v>5.97</v>
      </c>
      <c r="AV56">
        <v>6.4649999999999999</v>
      </c>
      <c r="AW56">
        <v>6.9080000000000004</v>
      </c>
      <c r="AX56">
        <v>7.33</v>
      </c>
      <c r="AY56">
        <v>1.018</v>
      </c>
      <c r="AZ56">
        <v>180</v>
      </c>
      <c r="BE56" t="s">
        <v>76</v>
      </c>
      <c r="BF56">
        <v>6.7469999999999999</v>
      </c>
      <c r="BG56">
        <v>0.48899999999999999</v>
      </c>
      <c r="BH56">
        <v>5.5739999999999998</v>
      </c>
      <c r="BI56">
        <v>6.4660000000000002</v>
      </c>
      <c r="BJ56">
        <v>6.8460000000000001</v>
      </c>
      <c r="BK56">
        <v>7.1349999999999998</v>
      </c>
      <c r="BL56">
        <v>7.3550000000000004</v>
      </c>
      <c r="BM56">
        <v>1.0049999999999999</v>
      </c>
      <c r="BN56">
        <v>700</v>
      </c>
      <c r="BS56" t="s">
        <v>76</v>
      </c>
      <c r="BT56">
        <v>6.4260000000000002</v>
      </c>
      <c r="BU56">
        <v>0.621</v>
      </c>
      <c r="BV56">
        <v>5.0490000000000004</v>
      </c>
      <c r="BW56">
        <v>6.0140000000000002</v>
      </c>
      <c r="BX56">
        <v>6.4989999999999997</v>
      </c>
      <c r="BY56">
        <v>6.9340000000000002</v>
      </c>
      <c r="BZ56">
        <v>7.3239999999999998</v>
      </c>
      <c r="CA56">
        <v>1.012</v>
      </c>
      <c r="CB56">
        <v>190</v>
      </c>
      <c r="CG56" t="s">
        <v>76</v>
      </c>
      <c r="CH56">
        <v>6.7649999999999997</v>
      </c>
      <c r="CI56">
        <v>0.47699999999999998</v>
      </c>
      <c r="CJ56">
        <v>5.6079999999999997</v>
      </c>
      <c r="CK56">
        <v>6.48</v>
      </c>
      <c r="CL56">
        <v>6.8639999999999999</v>
      </c>
      <c r="CM56">
        <v>7.1420000000000003</v>
      </c>
      <c r="CN56">
        <v>7.3579999999999997</v>
      </c>
      <c r="CO56">
        <v>1.002</v>
      </c>
      <c r="CP56">
        <v>1600</v>
      </c>
      <c r="CU56" t="s">
        <v>76</v>
      </c>
      <c r="CV56">
        <v>6.7370000000000001</v>
      </c>
      <c r="CW56">
        <v>0.501</v>
      </c>
      <c r="CX56">
        <v>5.4649999999999999</v>
      </c>
      <c r="CY56">
        <v>6.4649999999999999</v>
      </c>
      <c r="CZ56">
        <v>6.8559999999999999</v>
      </c>
      <c r="DA56">
        <v>7.1260000000000003</v>
      </c>
      <c r="DB56">
        <v>7.3570000000000002</v>
      </c>
      <c r="DC56">
        <v>1.0029999999999999</v>
      </c>
      <c r="DD56">
        <v>980</v>
      </c>
      <c r="DI56" t="s">
        <v>76</v>
      </c>
      <c r="DJ56">
        <v>6.4050000000000002</v>
      </c>
      <c r="DK56">
        <v>0.63600000000000001</v>
      </c>
      <c r="DL56">
        <v>4.9980000000000002</v>
      </c>
      <c r="DM56">
        <v>5.9829999999999997</v>
      </c>
      <c r="DN56">
        <v>6.49</v>
      </c>
      <c r="DO56">
        <v>6.9089999999999998</v>
      </c>
      <c r="DP56">
        <v>7.3280000000000003</v>
      </c>
      <c r="DQ56">
        <v>1.0009999999999999</v>
      </c>
      <c r="DR56">
        <v>2100</v>
      </c>
      <c r="DY56" t="s">
        <v>76</v>
      </c>
      <c r="DZ56">
        <v>6.4459999999999997</v>
      </c>
      <c r="EA56">
        <v>0.61599999999999999</v>
      </c>
      <c r="EB56">
        <v>5.0750000000000002</v>
      </c>
      <c r="EC56">
        <v>6.0389999999999997</v>
      </c>
      <c r="ED56">
        <v>6.5350000000000001</v>
      </c>
      <c r="EE56">
        <v>6.9329999999999998</v>
      </c>
      <c r="EF56">
        <v>7.3319999999999999</v>
      </c>
      <c r="EG56">
        <v>1.0089999999999999</v>
      </c>
      <c r="EH56">
        <v>270</v>
      </c>
      <c r="EK56" t="s">
        <v>76</v>
      </c>
      <c r="EL56">
        <v>6.3739999999999997</v>
      </c>
      <c r="EM56">
        <v>0.67100000000000004</v>
      </c>
      <c r="EN56">
        <v>4.8689999999999998</v>
      </c>
      <c r="EO56">
        <v>5.9390000000000001</v>
      </c>
      <c r="EP56">
        <v>6.4480000000000004</v>
      </c>
      <c r="EQ56">
        <v>6.9169999999999998</v>
      </c>
      <c r="ER56">
        <v>7.3280000000000003</v>
      </c>
      <c r="ES56">
        <v>1.0049999999999999</v>
      </c>
      <c r="ET56">
        <v>410</v>
      </c>
      <c r="EY56" t="s">
        <v>76</v>
      </c>
      <c r="EZ56">
        <v>6.3239999999999998</v>
      </c>
      <c r="FA56">
        <v>0.70099999999999996</v>
      </c>
      <c r="FB56">
        <v>4.8230000000000004</v>
      </c>
      <c r="FC56">
        <v>5.8650000000000002</v>
      </c>
      <c r="FD56">
        <v>6.4189999999999996</v>
      </c>
      <c r="FE56">
        <v>6.8929999999999998</v>
      </c>
      <c r="FF56">
        <v>7.3280000000000003</v>
      </c>
      <c r="FG56">
        <v>1.0009999999999999</v>
      </c>
      <c r="FH56">
        <v>2000</v>
      </c>
      <c r="GA56" t="s">
        <v>76</v>
      </c>
      <c r="GB56">
        <v>6.1550000000000002</v>
      </c>
      <c r="GC56">
        <v>0.65300000000000002</v>
      </c>
      <c r="GD56">
        <v>4.8339999999999996</v>
      </c>
      <c r="GE56">
        <v>5.7119999999999997</v>
      </c>
      <c r="GF56">
        <v>6.181</v>
      </c>
      <c r="GG56">
        <v>6.64</v>
      </c>
      <c r="GH56">
        <v>7.274</v>
      </c>
      <c r="GI56">
        <v>1.006</v>
      </c>
      <c r="GJ56">
        <v>350</v>
      </c>
      <c r="GO56" t="s">
        <v>76</v>
      </c>
      <c r="GP56">
        <v>6.3630000000000004</v>
      </c>
      <c r="GQ56">
        <v>0.67900000000000005</v>
      </c>
      <c r="GR56">
        <v>4.8419999999999996</v>
      </c>
      <c r="GS56">
        <v>5.9420000000000002</v>
      </c>
      <c r="GT56">
        <v>6.4580000000000002</v>
      </c>
      <c r="GU56">
        <v>6.8970000000000002</v>
      </c>
      <c r="GV56">
        <v>7.3330000000000002</v>
      </c>
      <c r="GW56">
        <v>1.0009999999999999</v>
      </c>
      <c r="GX56">
        <v>2900</v>
      </c>
      <c r="HC56" t="s">
        <v>76</v>
      </c>
      <c r="HD56">
        <v>6.3639999999999999</v>
      </c>
      <c r="HE56">
        <v>0.67200000000000004</v>
      </c>
      <c r="HF56">
        <v>4.8899999999999997</v>
      </c>
      <c r="HG56">
        <v>5.9320000000000004</v>
      </c>
      <c r="HH56">
        <v>6.4740000000000002</v>
      </c>
      <c r="HI56">
        <v>6.9029999999999996</v>
      </c>
      <c r="HJ56">
        <v>7.3280000000000003</v>
      </c>
      <c r="HK56">
        <v>1.002</v>
      </c>
      <c r="HL56">
        <v>1300</v>
      </c>
      <c r="HP56" s="7"/>
      <c r="HQ56" s="7" t="s">
        <v>76</v>
      </c>
      <c r="HR56" s="7">
        <v>6.36</v>
      </c>
      <c r="HS56" s="7">
        <v>0.67200000000000004</v>
      </c>
      <c r="HT56" s="7">
        <v>4.8689999999999998</v>
      </c>
      <c r="HU56" s="7">
        <v>5.9189999999999996</v>
      </c>
      <c r="HV56" s="7">
        <v>6.4489999999999998</v>
      </c>
      <c r="HW56" s="7">
        <v>6.8979999999999997</v>
      </c>
      <c r="HX56" s="7">
        <v>7.3280000000000003</v>
      </c>
      <c r="HY56" s="7">
        <v>1.0049999999999999</v>
      </c>
      <c r="HZ56" s="7">
        <v>650</v>
      </c>
      <c r="IA56" s="7"/>
      <c r="IE56" t="s">
        <v>76</v>
      </c>
      <c r="IF56">
        <v>6.4640000000000004</v>
      </c>
      <c r="IG56">
        <v>0.57499999999999996</v>
      </c>
      <c r="IH56">
        <v>5.2539999999999996</v>
      </c>
      <c r="II56">
        <v>6.0739999999999998</v>
      </c>
      <c r="IJ56">
        <v>6.5259999999999998</v>
      </c>
      <c r="IK56">
        <v>6.9320000000000004</v>
      </c>
      <c r="IL56">
        <v>7.3310000000000004</v>
      </c>
      <c r="IM56">
        <v>1.0049999999999999</v>
      </c>
      <c r="IN56">
        <v>470</v>
      </c>
      <c r="IS56" t="s">
        <v>76</v>
      </c>
      <c r="IT56">
        <v>6.3620000000000001</v>
      </c>
      <c r="IU56">
        <v>0.64200000000000002</v>
      </c>
      <c r="IV56">
        <v>4.9770000000000003</v>
      </c>
      <c r="IW56">
        <v>5.9420000000000002</v>
      </c>
      <c r="IX56">
        <v>6.4290000000000003</v>
      </c>
      <c r="IY56">
        <v>6.8680000000000003</v>
      </c>
      <c r="IZ56">
        <v>7.3339999999999996</v>
      </c>
      <c r="JA56">
        <v>1.0109999999999999</v>
      </c>
      <c r="JB56">
        <v>210</v>
      </c>
      <c r="JF56" t="s">
        <v>76</v>
      </c>
      <c r="JG56">
        <v>6.5119999999999996</v>
      </c>
      <c r="JH56">
        <v>0.58899999999999997</v>
      </c>
      <c r="JI56">
        <v>5.1929999999999996</v>
      </c>
      <c r="JJ56">
        <v>6.1219999999999999</v>
      </c>
      <c r="JK56">
        <v>6.5869999999999997</v>
      </c>
      <c r="JL56">
        <v>7.0010000000000003</v>
      </c>
      <c r="JM56">
        <v>7.34</v>
      </c>
      <c r="JN56">
        <v>1.0009999999999999</v>
      </c>
      <c r="JO56">
        <v>3000</v>
      </c>
      <c r="JT56" t="s">
        <v>76</v>
      </c>
      <c r="JU56">
        <v>6.4989999999999997</v>
      </c>
      <c r="JV56">
        <v>0.58699999999999997</v>
      </c>
      <c r="JW56">
        <v>5.1840000000000002</v>
      </c>
      <c r="JX56">
        <v>6.12</v>
      </c>
      <c r="JY56">
        <v>6.5789999999999997</v>
      </c>
      <c r="JZ56">
        <v>6.9710000000000001</v>
      </c>
      <c r="KA56">
        <v>7.3380000000000001</v>
      </c>
      <c r="KB56">
        <v>1.002</v>
      </c>
      <c r="KC56">
        <v>1600</v>
      </c>
      <c r="KH56" t="s">
        <v>76</v>
      </c>
      <c r="KI56">
        <v>6.4630000000000001</v>
      </c>
      <c r="KJ56">
        <v>0.60199999999999998</v>
      </c>
      <c r="KK56">
        <v>5.1619999999999999</v>
      </c>
      <c r="KL56">
        <v>6.0629999999999997</v>
      </c>
      <c r="KM56">
        <v>6.53</v>
      </c>
      <c r="KN56">
        <v>6.9550000000000001</v>
      </c>
      <c r="KO56">
        <v>7.3339999999999996</v>
      </c>
      <c r="KP56">
        <v>1.0009999999999999</v>
      </c>
      <c r="KQ56">
        <v>3000</v>
      </c>
      <c r="KR56">
        <f t="shared" si="0"/>
        <v>640.98111839194894</v>
      </c>
      <c r="KV56" t="s">
        <v>76</v>
      </c>
      <c r="KW56">
        <v>6.8250000000000002</v>
      </c>
      <c r="KX56">
        <v>0.53600000000000003</v>
      </c>
      <c r="KY56">
        <v>5.7670000000000003</v>
      </c>
      <c r="KZ56">
        <v>6.4450000000000003</v>
      </c>
      <c r="LA56">
        <v>6.8360000000000003</v>
      </c>
      <c r="LB56">
        <v>7.242</v>
      </c>
      <c r="LC56">
        <v>7.758</v>
      </c>
      <c r="LD56">
        <v>1.016</v>
      </c>
      <c r="LE56">
        <v>130</v>
      </c>
      <c r="LJ56" t="s">
        <v>76</v>
      </c>
      <c r="LK56">
        <v>4.55</v>
      </c>
      <c r="LL56">
        <v>0.27800000000000002</v>
      </c>
      <c r="LM56">
        <v>3.9889999999999999</v>
      </c>
      <c r="LN56">
        <v>4.3609999999999998</v>
      </c>
      <c r="LO56">
        <v>4.5510000000000002</v>
      </c>
      <c r="LP56">
        <v>4.7359999999999998</v>
      </c>
      <c r="LQ56">
        <v>5.1070000000000002</v>
      </c>
      <c r="LR56">
        <v>1.022</v>
      </c>
      <c r="LS56">
        <v>99</v>
      </c>
      <c r="LX56" t="s">
        <v>76</v>
      </c>
      <c r="LY56">
        <v>6.8090000000000002</v>
      </c>
      <c r="LZ56">
        <v>0.59299999999999997</v>
      </c>
      <c r="MA56">
        <v>5.6180000000000003</v>
      </c>
      <c r="MB56">
        <v>6.3840000000000003</v>
      </c>
      <c r="MC56">
        <v>6.8410000000000002</v>
      </c>
      <c r="MD56">
        <v>7.2430000000000003</v>
      </c>
      <c r="ME56">
        <v>7.8490000000000002</v>
      </c>
      <c r="MF56">
        <v>1.169</v>
      </c>
      <c r="MG56">
        <v>17</v>
      </c>
      <c r="ML56" t="s">
        <v>76</v>
      </c>
      <c r="MM56">
        <v>5.6109999999999998</v>
      </c>
      <c r="MN56">
        <v>1.036</v>
      </c>
      <c r="MO56">
        <v>3.371</v>
      </c>
      <c r="MP56">
        <v>4.95</v>
      </c>
      <c r="MQ56">
        <v>5.6689999999999996</v>
      </c>
      <c r="MR56">
        <v>6.343</v>
      </c>
      <c r="MS56">
        <v>7.46</v>
      </c>
      <c r="MT56">
        <v>1.014</v>
      </c>
      <c r="MU56">
        <v>330</v>
      </c>
      <c r="MZ56" t="s">
        <v>76</v>
      </c>
      <c r="NA56">
        <v>5.5389999999999997</v>
      </c>
      <c r="NB56">
        <v>0.83699999999999997</v>
      </c>
      <c r="NC56">
        <v>3.992</v>
      </c>
      <c r="ND56">
        <v>4.9020000000000001</v>
      </c>
      <c r="NE56">
        <v>5.5010000000000003</v>
      </c>
      <c r="NF56">
        <v>6.1890000000000001</v>
      </c>
      <c r="NG56">
        <v>7.101</v>
      </c>
      <c r="NH56">
        <v>1.631</v>
      </c>
      <c r="NI56">
        <v>6</v>
      </c>
      <c r="NM56" t="s">
        <v>76</v>
      </c>
      <c r="NN56">
        <v>5.2939999999999996</v>
      </c>
      <c r="NO56">
        <v>1.004</v>
      </c>
      <c r="NP56">
        <v>3.218</v>
      </c>
      <c r="NQ56">
        <v>4.6310000000000002</v>
      </c>
      <c r="NR56">
        <v>5.298</v>
      </c>
      <c r="NS56">
        <v>6.0049999999999999</v>
      </c>
      <c r="NT56">
        <v>7.1479999999999997</v>
      </c>
      <c r="NU56">
        <v>1.028</v>
      </c>
      <c r="NV56">
        <v>170</v>
      </c>
      <c r="NY56" t="s">
        <v>76</v>
      </c>
      <c r="NZ56">
        <v>6.0469999999999997</v>
      </c>
      <c r="OA56">
        <v>1.1100000000000001</v>
      </c>
      <c r="OB56">
        <v>3.8370000000000002</v>
      </c>
      <c r="OC56">
        <v>5.29</v>
      </c>
      <c r="OD56">
        <v>6.0620000000000003</v>
      </c>
      <c r="OE56">
        <v>6.8449999999999998</v>
      </c>
      <c r="OF56">
        <v>7.9909999999999997</v>
      </c>
      <c r="OG56">
        <v>1.03</v>
      </c>
      <c r="OH56">
        <v>190</v>
      </c>
      <c r="OP56" t="s">
        <v>76</v>
      </c>
      <c r="OQ56">
        <v>6.5640000000000001</v>
      </c>
      <c r="OR56">
        <v>0.93100000000000005</v>
      </c>
      <c r="OS56">
        <v>4.4020000000000001</v>
      </c>
      <c r="OT56">
        <v>5.9669999999999996</v>
      </c>
      <c r="OU56">
        <v>6.7169999999999996</v>
      </c>
      <c r="OV56">
        <v>7.2910000000000004</v>
      </c>
      <c r="OW56">
        <v>7.9420000000000002</v>
      </c>
      <c r="OX56">
        <v>1.1279999999999999</v>
      </c>
      <c r="OY56">
        <v>26</v>
      </c>
      <c r="PB56" t="s">
        <v>76</v>
      </c>
      <c r="PC56">
        <v>3.8620000000000001</v>
      </c>
      <c r="PD56">
        <v>0.88</v>
      </c>
      <c r="PE56">
        <v>1.978</v>
      </c>
      <c r="PF56">
        <v>3.3180000000000001</v>
      </c>
      <c r="PG56">
        <v>3.9359999999999999</v>
      </c>
      <c r="PH56">
        <v>4.5</v>
      </c>
      <c r="PI56">
        <v>5.3620000000000001</v>
      </c>
      <c r="PJ56">
        <v>1.089</v>
      </c>
      <c r="PK56">
        <v>33</v>
      </c>
      <c r="PN56" t="s">
        <v>76</v>
      </c>
      <c r="PO56">
        <v>4.6180000000000003</v>
      </c>
      <c r="PP56">
        <v>0.76400000000000001</v>
      </c>
      <c r="PQ56">
        <v>3.0859999999999999</v>
      </c>
      <c r="PR56">
        <v>4.1120000000000001</v>
      </c>
      <c r="PS56">
        <v>4.67</v>
      </c>
      <c r="PT56">
        <v>5.1559999999999997</v>
      </c>
      <c r="PU56">
        <v>6.032</v>
      </c>
      <c r="PV56">
        <v>1.0549999999999999</v>
      </c>
      <c r="PW56">
        <v>45</v>
      </c>
      <c r="QA56" t="s">
        <v>76</v>
      </c>
      <c r="QB56">
        <v>2.8260000000000001</v>
      </c>
      <c r="QC56">
        <v>0.40200000000000002</v>
      </c>
      <c r="QD56">
        <v>2.117</v>
      </c>
      <c r="QE56">
        <v>2.5289999999999999</v>
      </c>
      <c r="QF56">
        <v>2.82</v>
      </c>
      <c r="QG56">
        <v>3.1070000000000002</v>
      </c>
      <c r="QH56">
        <v>3.64</v>
      </c>
      <c r="QI56">
        <v>1.026</v>
      </c>
      <c r="QJ56">
        <v>92</v>
      </c>
      <c r="QL56">
        <f t="shared" si="2"/>
        <v>1.7920000000000003</v>
      </c>
    </row>
    <row r="57" spans="1:454">
      <c r="A57" t="s">
        <v>77</v>
      </c>
      <c r="B57">
        <v>4.1449999999999996</v>
      </c>
      <c r="C57">
        <v>1.0049999999999999</v>
      </c>
      <c r="D57">
        <v>1.929</v>
      </c>
      <c r="E57">
        <v>3.5150000000000001</v>
      </c>
      <c r="F57">
        <v>4.2249999999999996</v>
      </c>
      <c r="G57">
        <v>4.8150000000000004</v>
      </c>
      <c r="H57">
        <v>5.9829999999999997</v>
      </c>
      <c r="I57">
        <v>1.0189999999999999</v>
      </c>
      <c r="J57">
        <v>500</v>
      </c>
      <c r="O57" t="s">
        <v>77</v>
      </c>
      <c r="P57">
        <v>2.5099999999999998</v>
      </c>
      <c r="Q57">
        <v>1.1339999999999999</v>
      </c>
      <c r="R57">
        <v>0.46</v>
      </c>
      <c r="S57">
        <v>1.6839999999999999</v>
      </c>
      <c r="T57">
        <v>2.4780000000000002</v>
      </c>
      <c r="U57">
        <v>3.3090000000000002</v>
      </c>
      <c r="V57">
        <v>4.7089999999999996</v>
      </c>
      <c r="W57">
        <v>1.0009999999999999</v>
      </c>
      <c r="X57">
        <v>3000</v>
      </c>
      <c r="AC57" t="s">
        <v>77</v>
      </c>
      <c r="AD57">
        <v>3.9830000000000001</v>
      </c>
      <c r="AE57">
        <v>0.76800000000000002</v>
      </c>
      <c r="AF57">
        <v>2.4950000000000001</v>
      </c>
      <c r="AG57">
        <v>3.4849999999999999</v>
      </c>
      <c r="AH57">
        <v>3.964</v>
      </c>
      <c r="AI57">
        <v>4.5039999999999996</v>
      </c>
      <c r="AJ57">
        <v>5.5119999999999996</v>
      </c>
      <c r="AK57">
        <v>1.0069999999999999</v>
      </c>
      <c r="AL57">
        <v>290</v>
      </c>
      <c r="AQ57" t="s">
        <v>77</v>
      </c>
      <c r="AR57">
        <v>4.016</v>
      </c>
      <c r="AS57">
        <v>0.73199999999999998</v>
      </c>
      <c r="AT57">
        <v>2.6080000000000001</v>
      </c>
      <c r="AU57">
        <v>3.524</v>
      </c>
      <c r="AV57">
        <v>3.996</v>
      </c>
      <c r="AW57">
        <v>4.4909999999999997</v>
      </c>
      <c r="AX57">
        <v>5.48</v>
      </c>
      <c r="AY57">
        <v>1.012</v>
      </c>
      <c r="AZ57">
        <v>170</v>
      </c>
      <c r="BE57" t="s">
        <v>77</v>
      </c>
      <c r="BF57">
        <v>4.5810000000000004</v>
      </c>
      <c r="BG57">
        <v>0.69399999999999995</v>
      </c>
      <c r="BH57">
        <v>3.2250000000000001</v>
      </c>
      <c r="BI57">
        <v>4.1189999999999998</v>
      </c>
      <c r="BJ57">
        <v>4.5860000000000003</v>
      </c>
      <c r="BK57">
        <v>5.0419999999999998</v>
      </c>
      <c r="BL57">
        <v>5.9649999999999999</v>
      </c>
      <c r="BM57">
        <v>1.0309999999999999</v>
      </c>
      <c r="BN57">
        <v>80</v>
      </c>
      <c r="BS57" t="s">
        <v>77</v>
      </c>
      <c r="BT57">
        <v>3.8849999999999998</v>
      </c>
      <c r="BU57">
        <v>0.72</v>
      </c>
      <c r="BV57">
        <v>2.4929999999999999</v>
      </c>
      <c r="BW57">
        <v>3.3889999999999998</v>
      </c>
      <c r="BX57">
        <v>3.8530000000000002</v>
      </c>
      <c r="BY57">
        <v>4.367</v>
      </c>
      <c r="BZ57">
        <v>5.2990000000000004</v>
      </c>
      <c r="CA57">
        <v>1.026</v>
      </c>
      <c r="CB57">
        <v>100</v>
      </c>
      <c r="CG57" t="s">
        <v>77</v>
      </c>
      <c r="CH57">
        <v>4.6909999999999998</v>
      </c>
      <c r="CI57">
        <v>0.68500000000000005</v>
      </c>
      <c r="CJ57">
        <v>3.2730000000000001</v>
      </c>
      <c r="CK57">
        <v>4.2409999999999997</v>
      </c>
      <c r="CL57">
        <v>4.6989999999999998</v>
      </c>
      <c r="CM57">
        <v>5.157</v>
      </c>
      <c r="CN57">
        <v>6.02</v>
      </c>
      <c r="CO57">
        <v>1.0209999999999999</v>
      </c>
      <c r="CP57">
        <v>100</v>
      </c>
      <c r="CU57" t="s">
        <v>77</v>
      </c>
      <c r="CV57">
        <v>4.6840000000000002</v>
      </c>
      <c r="CW57">
        <v>0.80200000000000005</v>
      </c>
      <c r="CX57">
        <v>3.0329999999999999</v>
      </c>
      <c r="CY57">
        <v>4.1219999999999999</v>
      </c>
      <c r="CZ57">
        <v>4.726</v>
      </c>
      <c r="DA57">
        <v>5.3220000000000001</v>
      </c>
      <c r="DB57">
        <v>6.0289999999999999</v>
      </c>
      <c r="DC57">
        <v>1.012</v>
      </c>
      <c r="DD57">
        <v>250</v>
      </c>
      <c r="DI57" t="s">
        <v>77</v>
      </c>
      <c r="DJ57">
        <v>4.0960000000000001</v>
      </c>
      <c r="DK57">
        <v>0.78100000000000003</v>
      </c>
      <c r="DL57">
        <v>2.5569999999999999</v>
      </c>
      <c r="DM57">
        <v>3.5640000000000001</v>
      </c>
      <c r="DN57">
        <v>4.0970000000000004</v>
      </c>
      <c r="DO57">
        <v>4.6349999999999998</v>
      </c>
      <c r="DP57">
        <v>5.5910000000000002</v>
      </c>
      <c r="DQ57">
        <v>1.004</v>
      </c>
      <c r="DR57">
        <v>3000</v>
      </c>
      <c r="DY57" t="s">
        <v>77</v>
      </c>
      <c r="DZ57">
        <v>4.1589999999999998</v>
      </c>
      <c r="EA57">
        <v>0.77500000000000002</v>
      </c>
      <c r="EB57">
        <v>2.6230000000000002</v>
      </c>
      <c r="EC57">
        <v>3.6579999999999999</v>
      </c>
      <c r="ED57">
        <v>4.1420000000000003</v>
      </c>
      <c r="EE57">
        <v>4.6870000000000003</v>
      </c>
      <c r="EF57">
        <v>5.6219999999999999</v>
      </c>
      <c r="EG57">
        <v>1.0109999999999999</v>
      </c>
      <c r="EH57">
        <v>200</v>
      </c>
      <c r="EK57" t="s">
        <v>77</v>
      </c>
      <c r="EL57">
        <v>3.6440000000000001</v>
      </c>
      <c r="EM57">
        <v>0.68899999999999995</v>
      </c>
      <c r="EN57">
        <v>2.2909999999999999</v>
      </c>
      <c r="EO57">
        <v>3.1619999999999999</v>
      </c>
      <c r="EP57">
        <v>3.645</v>
      </c>
      <c r="EQ57">
        <v>4.117</v>
      </c>
      <c r="ER57">
        <v>5.0010000000000003</v>
      </c>
      <c r="ES57">
        <v>1.016</v>
      </c>
      <c r="ET57">
        <v>170</v>
      </c>
      <c r="EY57" t="s">
        <v>77</v>
      </c>
      <c r="EZ57">
        <v>3.57</v>
      </c>
      <c r="FA57">
        <v>0.78500000000000003</v>
      </c>
      <c r="FB57">
        <v>2.0590000000000002</v>
      </c>
      <c r="FC57">
        <v>3.0230000000000001</v>
      </c>
      <c r="FD57">
        <v>3.556</v>
      </c>
      <c r="FE57">
        <v>4.1109999999999998</v>
      </c>
      <c r="FF57">
        <v>5.0949999999999998</v>
      </c>
      <c r="FG57">
        <v>1.0029999999999999</v>
      </c>
      <c r="FH57">
        <v>880</v>
      </c>
      <c r="GA57" t="s">
        <v>77</v>
      </c>
      <c r="GB57">
        <v>4.2089999999999996</v>
      </c>
      <c r="GC57">
        <v>0.66300000000000003</v>
      </c>
      <c r="GD57">
        <v>2.9449999999999998</v>
      </c>
      <c r="GE57">
        <v>3.7610000000000001</v>
      </c>
      <c r="GF57">
        <v>4.2039999999999997</v>
      </c>
      <c r="GG57">
        <v>4.6710000000000003</v>
      </c>
      <c r="GH57">
        <v>5.4969999999999999</v>
      </c>
      <c r="GI57">
        <v>1.0049999999999999</v>
      </c>
      <c r="GJ57">
        <v>420</v>
      </c>
      <c r="GO57" t="s">
        <v>77</v>
      </c>
      <c r="GP57">
        <v>3.6779999999999999</v>
      </c>
      <c r="GQ57">
        <v>0.81</v>
      </c>
      <c r="GR57">
        <v>2.1120000000000001</v>
      </c>
      <c r="GS57">
        <v>3.1429999999999998</v>
      </c>
      <c r="GT57">
        <v>3.6949999999999998</v>
      </c>
      <c r="GU57">
        <v>4.2050000000000001</v>
      </c>
      <c r="GV57">
        <v>5.2759999999999998</v>
      </c>
      <c r="GW57">
        <v>1.006</v>
      </c>
      <c r="GX57">
        <v>360</v>
      </c>
      <c r="HC57" t="s">
        <v>77</v>
      </c>
      <c r="HD57">
        <v>3.6920000000000002</v>
      </c>
      <c r="HE57">
        <v>0.77700000000000002</v>
      </c>
      <c r="HF57">
        <v>2.2280000000000002</v>
      </c>
      <c r="HG57">
        <v>3.1459999999999999</v>
      </c>
      <c r="HH57">
        <v>3.681</v>
      </c>
      <c r="HI57">
        <v>4.226</v>
      </c>
      <c r="HJ57">
        <v>5.2</v>
      </c>
      <c r="HK57">
        <v>1.01</v>
      </c>
      <c r="HL57">
        <v>270</v>
      </c>
      <c r="HP57" s="7"/>
      <c r="HQ57" s="7" t="s">
        <v>77</v>
      </c>
      <c r="HR57" s="7">
        <v>3.883</v>
      </c>
      <c r="HS57" s="7">
        <v>0.70599999999999996</v>
      </c>
      <c r="HT57" s="7">
        <v>2.512</v>
      </c>
      <c r="HU57" s="7">
        <v>3.4079999999999999</v>
      </c>
      <c r="HV57" s="7">
        <v>3.8479999999999999</v>
      </c>
      <c r="HW57" s="7">
        <v>4.367</v>
      </c>
      <c r="HX57" s="7">
        <v>5.2729999999999997</v>
      </c>
      <c r="HY57" s="7">
        <v>1.0029999999999999</v>
      </c>
      <c r="HZ57" s="7">
        <v>810</v>
      </c>
      <c r="IA57" s="7"/>
      <c r="IE57" t="s">
        <v>77</v>
      </c>
      <c r="IF57">
        <v>4.1189999999999998</v>
      </c>
      <c r="IG57">
        <v>0.622</v>
      </c>
      <c r="IH57">
        <v>2.9249999999999998</v>
      </c>
      <c r="II57">
        <v>3.6960000000000002</v>
      </c>
      <c r="IJ57">
        <v>4.117</v>
      </c>
      <c r="IK57">
        <v>4.5279999999999996</v>
      </c>
      <c r="IL57">
        <v>5.3179999999999996</v>
      </c>
      <c r="IM57">
        <v>1.014</v>
      </c>
      <c r="IN57">
        <v>160</v>
      </c>
      <c r="IS57" t="s">
        <v>77</v>
      </c>
      <c r="IT57">
        <v>4.1150000000000002</v>
      </c>
      <c r="IU57">
        <v>0.66200000000000003</v>
      </c>
      <c r="IV57">
        <v>2.8450000000000002</v>
      </c>
      <c r="IW57">
        <v>3.65</v>
      </c>
      <c r="IX57">
        <v>4.1150000000000002</v>
      </c>
      <c r="IY57">
        <v>4.5720000000000001</v>
      </c>
      <c r="IZ57">
        <v>5.44</v>
      </c>
      <c r="JA57">
        <v>1.0309999999999999</v>
      </c>
      <c r="JB57">
        <v>80</v>
      </c>
      <c r="JF57" t="s">
        <v>77</v>
      </c>
      <c r="JG57">
        <v>4.22</v>
      </c>
      <c r="JH57">
        <v>0.68200000000000005</v>
      </c>
      <c r="JI57">
        <v>2.8340000000000001</v>
      </c>
      <c r="JJ57">
        <v>3.7730000000000001</v>
      </c>
      <c r="JK57">
        <v>4.234</v>
      </c>
      <c r="JL57">
        <v>4.6790000000000003</v>
      </c>
      <c r="JM57">
        <v>5.5629999999999997</v>
      </c>
      <c r="JN57">
        <v>1.004</v>
      </c>
      <c r="JO57">
        <v>540</v>
      </c>
      <c r="JT57" t="s">
        <v>77</v>
      </c>
      <c r="JU57">
        <v>4.1529999999999996</v>
      </c>
      <c r="JV57">
        <v>0.69599999999999995</v>
      </c>
      <c r="JW57">
        <v>2.8260000000000001</v>
      </c>
      <c r="JX57">
        <v>3.6749999999999998</v>
      </c>
      <c r="JY57">
        <v>4.133</v>
      </c>
      <c r="JZ57">
        <v>4.625</v>
      </c>
      <c r="KA57">
        <v>5.5730000000000004</v>
      </c>
      <c r="KB57">
        <v>1.0009999999999999</v>
      </c>
      <c r="KC57">
        <v>2100</v>
      </c>
      <c r="KH57" t="s">
        <v>77</v>
      </c>
      <c r="KI57">
        <v>4.1280000000000001</v>
      </c>
      <c r="KJ57">
        <v>0.69699999999999995</v>
      </c>
      <c r="KK57">
        <v>2.7440000000000002</v>
      </c>
      <c r="KL57">
        <v>3.6629999999999998</v>
      </c>
      <c r="KM57">
        <v>4.1219999999999999</v>
      </c>
      <c r="KN57">
        <v>4.5999999999999996</v>
      </c>
      <c r="KO57">
        <v>5.5</v>
      </c>
      <c r="KP57">
        <v>1.0029999999999999</v>
      </c>
      <c r="KQ57">
        <v>960</v>
      </c>
      <c r="KR57">
        <f t="shared" si="0"/>
        <v>62.053691361874698</v>
      </c>
      <c r="KV57" t="s">
        <v>77</v>
      </c>
      <c r="KW57">
        <v>5.5640000000000001</v>
      </c>
      <c r="KX57">
        <v>0.48099999999999998</v>
      </c>
      <c r="KY57">
        <v>4.6449999999999996</v>
      </c>
      <c r="KZ57">
        <v>5.2149999999999999</v>
      </c>
      <c r="LA57">
        <v>5.5709999999999997</v>
      </c>
      <c r="LB57">
        <v>5.9160000000000004</v>
      </c>
      <c r="LC57">
        <v>6.4260000000000002</v>
      </c>
      <c r="LD57">
        <v>1.022</v>
      </c>
      <c r="LE57">
        <v>98</v>
      </c>
      <c r="LJ57" t="s">
        <v>77</v>
      </c>
      <c r="LK57">
        <v>3.8330000000000002</v>
      </c>
      <c r="LL57">
        <v>0.29399999999999998</v>
      </c>
      <c r="LM57">
        <v>3.2589999999999999</v>
      </c>
      <c r="LN57">
        <v>3.6379999999999999</v>
      </c>
      <c r="LO57">
        <v>3.8340000000000001</v>
      </c>
      <c r="LP57">
        <v>4.0309999999999997</v>
      </c>
      <c r="LQ57">
        <v>4.4139999999999997</v>
      </c>
      <c r="LR57">
        <v>1.0109999999999999</v>
      </c>
      <c r="LS57">
        <v>200</v>
      </c>
      <c r="LX57" t="s">
        <v>77</v>
      </c>
      <c r="LY57">
        <v>5.3810000000000002</v>
      </c>
      <c r="LZ57">
        <v>0.48299999999999998</v>
      </c>
      <c r="MA57">
        <v>4.4420000000000002</v>
      </c>
      <c r="MB57">
        <v>5.0469999999999997</v>
      </c>
      <c r="MC57">
        <v>5.3940000000000001</v>
      </c>
      <c r="MD57">
        <v>5.7249999999999996</v>
      </c>
      <c r="ME57">
        <v>6.274</v>
      </c>
      <c r="MF57">
        <v>1.044</v>
      </c>
      <c r="MG57">
        <v>50</v>
      </c>
      <c r="ML57" t="s">
        <v>77</v>
      </c>
      <c r="MM57">
        <v>4.4889999999999999</v>
      </c>
      <c r="MN57">
        <v>0.996</v>
      </c>
      <c r="MO57">
        <v>2.3090000000000002</v>
      </c>
      <c r="MP57">
        <v>3.86</v>
      </c>
      <c r="MQ57">
        <v>4.5640000000000001</v>
      </c>
      <c r="MR57">
        <v>5.1929999999999996</v>
      </c>
      <c r="MS57">
        <v>6.218</v>
      </c>
      <c r="MT57">
        <v>1.0169999999999999</v>
      </c>
      <c r="MU57">
        <v>350</v>
      </c>
      <c r="MZ57" t="s">
        <v>77</v>
      </c>
      <c r="NA57">
        <v>4.4370000000000003</v>
      </c>
      <c r="NB57">
        <v>0.79200000000000004</v>
      </c>
      <c r="NC57">
        <v>3.0030000000000001</v>
      </c>
      <c r="ND57">
        <v>3.8450000000000002</v>
      </c>
      <c r="NE57">
        <v>4.3940000000000001</v>
      </c>
      <c r="NF57">
        <v>5.0270000000000001</v>
      </c>
      <c r="NG57">
        <v>5.9359999999999999</v>
      </c>
      <c r="NH57">
        <v>1.5780000000000001</v>
      </c>
      <c r="NI57">
        <v>7</v>
      </c>
      <c r="NM57" t="s">
        <v>77</v>
      </c>
      <c r="NN57">
        <v>3.6269999999999998</v>
      </c>
      <c r="NO57">
        <v>0.90400000000000003</v>
      </c>
      <c r="NP57">
        <v>1.623</v>
      </c>
      <c r="NQ57">
        <v>3.05</v>
      </c>
      <c r="NR57">
        <v>3.6930000000000001</v>
      </c>
      <c r="NS57">
        <v>4.274</v>
      </c>
      <c r="NT57">
        <v>5.22</v>
      </c>
      <c r="NU57">
        <v>1.0289999999999999</v>
      </c>
      <c r="NV57">
        <v>190</v>
      </c>
      <c r="NY57" t="s">
        <v>77</v>
      </c>
      <c r="NZ57">
        <v>3.851</v>
      </c>
      <c r="OA57">
        <v>1.002</v>
      </c>
      <c r="OB57">
        <v>1.865</v>
      </c>
      <c r="OC57">
        <v>3.1829999999999998</v>
      </c>
      <c r="OD57">
        <v>3.8420000000000001</v>
      </c>
      <c r="OE57">
        <v>4.556</v>
      </c>
      <c r="OF57">
        <v>5.6929999999999996</v>
      </c>
      <c r="OG57">
        <v>1.0169999999999999</v>
      </c>
      <c r="OH57">
        <v>270</v>
      </c>
      <c r="OP57" t="s">
        <v>77</v>
      </c>
      <c r="OQ57">
        <v>4.5049999999999999</v>
      </c>
      <c r="OR57">
        <v>0.89800000000000002</v>
      </c>
      <c r="OS57">
        <v>2.4430000000000001</v>
      </c>
      <c r="OT57">
        <v>3.9380000000000002</v>
      </c>
      <c r="OU57">
        <v>4.6820000000000004</v>
      </c>
      <c r="OV57">
        <v>5.2060000000000004</v>
      </c>
      <c r="OW57">
        <v>5.766</v>
      </c>
      <c r="OX57">
        <v>1.1619999999999999</v>
      </c>
      <c r="OY57">
        <v>21</v>
      </c>
      <c r="PB57" t="s">
        <v>77</v>
      </c>
      <c r="PC57">
        <v>3.0830000000000002</v>
      </c>
      <c r="PD57">
        <v>0.89400000000000002</v>
      </c>
      <c r="PE57">
        <v>1.153</v>
      </c>
      <c r="PF57">
        <v>2.524</v>
      </c>
      <c r="PG57">
        <v>3.1589999999999998</v>
      </c>
      <c r="PH57">
        <v>3.7320000000000002</v>
      </c>
      <c r="PI57">
        <v>4.6180000000000003</v>
      </c>
      <c r="PJ57">
        <v>1.1040000000000001</v>
      </c>
      <c r="PK57">
        <v>32</v>
      </c>
      <c r="PN57" t="s">
        <v>77</v>
      </c>
      <c r="PO57">
        <v>4.71</v>
      </c>
      <c r="PP57">
        <v>0.76800000000000002</v>
      </c>
      <c r="PQ57">
        <v>3.1749999999999998</v>
      </c>
      <c r="PR57">
        <v>4.2050000000000001</v>
      </c>
      <c r="PS57">
        <v>4.7590000000000003</v>
      </c>
      <c r="PT57">
        <v>5.2510000000000003</v>
      </c>
      <c r="PU57">
        <v>6.1310000000000002</v>
      </c>
      <c r="PV57">
        <v>1.054</v>
      </c>
      <c r="PW57">
        <v>45</v>
      </c>
      <c r="QA57" t="s">
        <v>77</v>
      </c>
      <c r="QB57">
        <v>3.1320000000000001</v>
      </c>
      <c r="QC57">
        <v>0.4</v>
      </c>
      <c r="QD57">
        <v>2.4039999999999999</v>
      </c>
      <c r="QE57">
        <v>2.8380000000000001</v>
      </c>
      <c r="QF57">
        <v>3.133</v>
      </c>
      <c r="QG57">
        <v>3.41</v>
      </c>
      <c r="QH57">
        <v>3.9409999999999998</v>
      </c>
      <c r="QI57">
        <v>1.022</v>
      </c>
      <c r="QJ57">
        <v>120</v>
      </c>
      <c r="QL57">
        <f t="shared" si="2"/>
        <v>1.5779999999999998</v>
      </c>
    </row>
    <row r="58" spans="1:454">
      <c r="A58" t="s">
        <v>78</v>
      </c>
      <c r="B58">
        <v>6.6310000000000002</v>
      </c>
      <c r="C58">
        <v>1.08</v>
      </c>
      <c r="D58">
        <v>4.4119999999999999</v>
      </c>
      <c r="E58">
        <v>5.9290000000000003</v>
      </c>
      <c r="F58">
        <v>6.6639999999999997</v>
      </c>
      <c r="G58">
        <v>7.4320000000000004</v>
      </c>
      <c r="H58">
        <v>8.5630000000000006</v>
      </c>
      <c r="I58">
        <v>1.0189999999999999</v>
      </c>
      <c r="J58">
        <v>620</v>
      </c>
      <c r="O58" t="s">
        <v>78</v>
      </c>
      <c r="P58">
        <v>6.5119999999999996</v>
      </c>
      <c r="Q58">
        <v>0.754</v>
      </c>
      <c r="R58">
        <v>4.6159999999999997</v>
      </c>
      <c r="S58">
        <v>6.1159999999999997</v>
      </c>
      <c r="T58">
        <v>6.718</v>
      </c>
      <c r="U58">
        <v>7.0860000000000003</v>
      </c>
      <c r="V58">
        <v>7.3570000000000002</v>
      </c>
      <c r="W58">
        <v>1.002</v>
      </c>
      <c r="X58">
        <v>3000</v>
      </c>
      <c r="AC58" t="s">
        <v>78</v>
      </c>
      <c r="AD58">
        <v>6.6760000000000002</v>
      </c>
      <c r="AE58">
        <v>0.57799999999999996</v>
      </c>
      <c r="AF58">
        <v>5.3109999999999999</v>
      </c>
      <c r="AG58">
        <v>6.3440000000000003</v>
      </c>
      <c r="AH58">
        <v>6.8070000000000004</v>
      </c>
      <c r="AI58">
        <v>7.141</v>
      </c>
      <c r="AJ58">
        <v>7.3680000000000003</v>
      </c>
      <c r="AK58">
        <v>1.0009999999999999</v>
      </c>
      <c r="AL58">
        <v>3000</v>
      </c>
      <c r="AQ58" t="s">
        <v>78</v>
      </c>
      <c r="AR58">
        <v>6.6909999999999998</v>
      </c>
      <c r="AS58">
        <v>0.56399999999999995</v>
      </c>
      <c r="AT58">
        <v>5.29</v>
      </c>
      <c r="AU58">
        <v>6.3639999999999999</v>
      </c>
      <c r="AV58">
        <v>6.8250000000000002</v>
      </c>
      <c r="AW58">
        <v>7.149</v>
      </c>
      <c r="AX58">
        <v>7.3620000000000001</v>
      </c>
      <c r="AY58">
        <v>1.0069999999999999</v>
      </c>
      <c r="AZ58">
        <v>470</v>
      </c>
      <c r="BE58" t="s">
        <v>78</v>
      </c>
      <c r="BF58">
        <v>6.9119999999999999</v>
      </c>
      <c r="BG58">
        <v>0.40699999999999997</v>
      </c>
      <c r="BH58">
        <v>5.9039999999999999</v>
      </c>
      <c r="BI58">
        <v>6.6909999999999998</v>
      </c>
      <c r="BJ58">
        <v>7.0270000000000001</v>
      </c>
      <c r="BK58">
        <v>7.2270000000000003</v>
      </c>
      <c r="BL58">
        <v>7.3680000000000003</v>
      </c>
      <c r="BM58">
        <v>1.0049999999999999</v>
      </c>
      <c r="BN58">
        <v>410</v>
      </c>
      <c r="BS58" t="s">
        <v>78</v>
      </c>
      <c r="BT58">
        <v>6.6580000000000004</v>
      </c>
      <c r="BU58">
        <v>0.57099999999999995</v>
      </c>
      <c r="BV58">
        <v>5.2779999999999996</v>
      </c>
      <c r="BW58">
        <v>6.327</v>
      </c>
      <c r="BX58">
        <v>6.7850000000000001</v>
      </c>
      <c r="BY58">
        <v>7.1230000000000002</v>
      </c>
      <c r="BZ58">
        <v>7.3529999999999998</v>
      </c>
      <c r="CA58">
        <v>1.008</v>
      </c>
      <c r="CB58">
        <v>360</v>
      </c>
      <c r="CG58" t="s">
        <v>78</v>
      </c>
      <c r="CH58">
        <v>6.931</v>
      </c>
      <c r="CI58">
        <v>0.41</v>
      </c>
      <c r="CJ58">
        <v>5.8959999999999999</v>
      </c>
      <c r="CK58">
        <v>6.7489999999999997</v>
      </c>
      <c r="CL58">
        <v>7.05</v>
      </c>
      <c r="CM58">
        <v>7.2389999999999999</v>
      </c>
      <c r="CN58">
        <v>7.3680000000000003</v>
      </c>
      <c r="CO58">
        <v>1.0069999999999999</v>
      </c>
      <c r="CP58">
        <v>530</v>
      </c>
      <c r="CU58" t="s">
        <v>78</v>
      </c>
      <c r="CV58">
        <v>7.03</v>
      </c>
      <c r="CW58">
        <v>0.39300000000000002</v>
      </c>
      <c r="CX58">
        <v>5.9160000000000004</v>
      </c>
      <c r="CY58">
        <v>6.8659999999999997</v>
      </c>
      <c r="CZ58">
        <v>7.1619999999999999</v>
      </c>
      <c r="DA58">
        <v>7.3230000000000004</v>
      </c>
      <c r="DB58">
        <v>7.38</v>
      </c>
      <c r="DC58">
        <v>1.0069999999999999</v>
      </c>
      <c r="DD58">
        <v>300</v>
      </c>
      <c r="DI58" t="s">
        <v>78</v>
      </c>
      <c r="DJ58">
        <v>6.7329999999999997</v>
      </c>
      <c r="DK58">
        <v>0.55200000000000005</v>
      </c>
      <c r="DL58">
        <v>5.3929999999999998</v>
      </c>
      <c r="DM58">
        <v>6.4329999999999998</v>
      </c>
      <c r="DN58">
        <v>6.875</v>
      </c>
      <c r="DO58">
        <v>7.1760000000000002</v>
      </c>
      <c r="DP58">
        <v>7.3659999999999997</v>
      </c>
      <c r="DQ58">
        <v>1.002</v>
      </c>
      <c r="DR58">
        <v>1300</v>
      </c>
      <c r="DY58" t="s">
        <v>78</v>
      </c>
      <c r="DZ58">
        <v>6.7539999999999996</v>
      </c>
      <c r="EA58">
        <v>0.53800000000000003</v>
      </c>
      <c r="EB58">
        <v>5.43</v>
      </c>
      <c r="EC58">
        <v>6.452</v>
      </c>
      <c r="ED58">
        <v>6.9029999999999996</v>
      </c>
      <c r="EE58">
        <v>7.1769999999999996</v>
      </c>
      <c r="EF58">
        <v>7.3609999999999998</v>
      </c>
      <c r="EG58">
        <v>1.002</v>
      </c>
      <c r="EH58">
        <v>1400</v>
      </c>
      <c r="EK58" t="s">
        <v>78</v>
      </c>
      <c r="EL58">
        <v>6.63</v>
      </c>
      <c r="EM58">
        <v>0.58299999999999996</v>
      </c>
      <c r="EN58">
        <v>5.266</v>
      </c>
      <c r="EO58">
        <v>6.3090000000000002</v>
      </c>
      <c r="EP58">
        <v>6.7549999999999999</v>
      </c>
      <c r="EQ58">
        <v>7.0919999999999996</v>
      </c>
      <c r="ER58">
        <v>7.3570000000000002</v>
      </c>
      <c r="ES58">
        <v>1.0029999999999999</v>
      </c>
      <c r="ET58">
        <v>990</v>
      </c>
      <c r="EY58" t="s">
        <v>78</v>
      </c>
      <c r="EZ58">
        <v>6.6340000000000003</v>
      </c>
      <c r="FA58">
        <v>0.59499999999999997</v>
      </c>
      <c r="FB58">
        <v>5.1390000000000002</v>
      </c>
      <c r="FC58">
        <v>6.2889999999999997</v>
      </c>
      <c r="FD58">
        <v>6.782</v>
      </c>
      <c r="FE58">
        <v>7.101</v>
      </c>
      <c r="FF58">
        <v>7.35</v>
      </c>
      <c r="FG58">
        <v>1.002</v>
      </c>
      <c r="FH58">
        <v>2500</v>
      </c>
      <c r="GA58" t="s">
        <v>78</v>
      </c>
      <c r="GB58">
        <v>5.99</v>
      </c>
      <c r="GC58">
        <v>0.69499999999999995</v>
      </c>
      <c r="GD58">
        <v>4.5830000000000002</v>
      </c>
      <c r="GE58">
        <v>5.5170000000000003</v>
      </c>
      <c r="GF58">
        <v>6.02</v>
      </c>
      <c r="GG58">
        <v>6.4909999999999997</v>
      </c>
      <c r="GH58">
        <v>7.226</v>
      </c>
      <c r="GI58">
        <v>1.004</v>
      </c>
      <c r="GJ58">
        <v>650</v>
      </c>
      <c r="GO58" t="s">
        <v>78</v>
      </c>
      <c r="GP58">
        <v>6.5949999999999998</v>
      </c>
      <c r="GQ58">
        <v>0.63200000000000001</v>
      </c>
      <c r="GR58">
        <v>5.056</v>
      </c>
      <c r="GS58">
        <v>6.2380000000000004</v>
      </c>
      <c r="GT58">
        <v>6.74</v>
      </c>
      <c r="GU58">
        <v>7.093</v>
      </c>
      <c r="GV58">
        <v>7.359</v>
      </c>
      <c r="GW58">
        <v>1.002</v>
      </c>
      <c r="GX58">
        <v>1500</v>
      </c>
      <c r="HC58" t="s">
        <v>78</v>
      </c>
      <c r="HD58">
        <v>6.6</v>
      </c>
      <c r="HE58">
        <v>0.623</v>
      </c>
      <c r="HF58">
        <v>5.0410000000000004</v>
      </c>
      <c r="HG58">
        <v>6.2519999999999998</v>
      </c>
      <c r="HH58">
        <v>6.7359999999999998</v>
      </c>
      <c r="HI58">
        <v>7.093</v>
      </c>
      <c r="HJ58">
        <v>7.3559999999999999</v>
      </c>
      <c r="HK58">
        <v>1.0029999999999999</v>
      </c>
      <c r="HL58">
        <v>790</v>
      </c>
      <c r="HP58" s="7"/>
      <c r="HQ58" s="7" t="s">
        <v>78</v>
      </c>
      <c r="HR58" s="7">
        <v>6.6189999999999998</v>
      </c>
      <c r="HS58" s="7">
        <v>0.60699999999999998</v>
      </c>
      <c r="HT58" s="7">
        <v>5.1820000000000004</v>
      </c>
      <c r="HU58" s="7">
        <v>6.2629999999999999</v>
      </c>
      <c r="HV58" s="7">
        <v>6.76</v>
      </c>
      <c r="HW58" s="7">
        <v>7.093</v>
      </c>
      <c r="HX58" s="7">
        <v>7.3570000000000002</v>
      </c>
      <c r="HY58" s="7">
        <v>1.0049999999999999</v>
      </c>
      <c r="HZ58" s="7">
        <v>490</v>
      </c>
      <c r="IA58" s="7"/>
      <c r="IE58" t="s">
        <v>78</v>
      </c>
      <c r="IF58">
        <v>6.6340000000000003</v>
      </c>
      <c r="IG58">
        <v>0.56000000000000005</v>
      </c>
      <c r="IH58">
        <v>5.2859999999999996</v>
      </c>
      <c r="II58">
        <v>6.2990000000000004</v>
      </c>
      <c r="IJ58">
        <v>6.7610000000000001</v>
      </c>
      <c r="IK58">
        <v>7.08</v>
      </c>
      <c r="IL58">
        <v>7.351</v>
      </c>
      <c r="IM58">
        <v>1.002</v>
      </c>
      <c r="IN58">
        <v>1100</v>
      </c>
      <c r="IS58" t="s">
        <v>78</v>
      </c>
      <c r="IT58">
        <v>6.6180000000000003</v>
      </c>
      <c r="IU58">
        <v>0.59</v>
      </c>
      <c r="IV58">
        <v>5.173</v>
      </c>
      <c r="IW58">
        <v>6.2779999999999996</v>
      </c>
      <c r="IX58">
        <v>6.7530000000000001</v>
      </c>
      <c r="IY58">
        <v>7.0919999999999996</v>
      </c>
      <c r="IZ58">
        <v>7.3490000000000002</v>
      </c>
      <c r="JA58">
        <v>1.01</v>
      </c>
      <c r="JB58">
        <v>310</v>
      </c>
      <c r="JF58" t="s">
        <v>78</v>
      </c>
      <c r="JG58">
        <v>6.7130000000000001</v>
      </c>
      <c r="JH58">
        <v>0.53300000000000003</v>
      </c>
      <c r="JI58">
        <v>5.4089999999999998</v>
      </c>
      <c r="JJ58">
        <v>6.4020000000000001</v>
      </c>
      <c r="JK58">
        <v>6.84</v>
      </c>
      <c r="JL58">
        <v>7.1360000000000001</v>
      </c>
      <c r="JM58">
        <v>7.36</v>
      </c>
      <c r="JN58">
        <v>1.0009999999999999</v>
      </c>
      <c r="JO58">
        <v>3000</v>
      </c>
      <c r="JT58" t="s">
        <v>78</v>
      </c>
      <c r="JU58">
        <v>6.71</v>
      </c>
      <c r="JV58">
        <v>0.53700000000000003</v>
      </c>
      <c r="JW58">
        <v>5.3979999999999997</v>
      </c>
      <c r="JX58">
        <v>6.4050000000000002</v>
      </c>
      <c r="JY58">
        <v>6.8280000000000003</v>
      </c>
      <c r="JZ58">
        <v>7.1420000000000003</v>
      </c>
      <c r="KA58">
        <v>7.3579999999999997</v>
      </c>
      <c r="KB58">
        <v>1.0029999999999999</v>
      </c>
      <c r="KC58">
        <v>1100</v>
      </c>
      <c r="KH58" t="s">
        <v>78</v>
      </c>
      <c r="KI58">
        <v>6.6959999999999997</v>
      </c>
      <c r="KJ58">
        <v>0.53800000000000003</v>
      </c>
      <c r="KK58">
        <v>5.4329999999999998</v>
      </c>
      <c r="KL58">
        <v>6.3719999999999999</v>
      </c>
      <c r="KM58">
        <v>6.81</v>
      </c>
      <c r="KN58">
        <v>7.1340000000000003</v>
      </c>
      <c r="KO58">
        <v>7.3529999999999998</v>
      </c>
      <c r="KP58">
        <v>1.0009999999999999</v>
      </c>
      <c r="KQ58">
        <v>3000</v>
      </c>
      <c r="KR58">
        <f t="shared" si="0"/>
        <v>809.16269245647061</v>
      </c>
      <c r="KV58" t="s">
        <v>78</v>
      </c>
      <c r="KW58">
        <v>7.9509999999999996</v>
      </c>
      <c r="KX58">
        <v>0.68700000000000006</v>
      </c>
      <c r="KY58">
        <v>6.5810000000000004</v>
      </c>
      <c r="KZ58">
        <v>7.4660000000000002</v>
      </c>
      <c r="LA58">
        <v>7.9550000000000001</v>
      </c>
      <c r="LB58">
        <v>8.4580000000000002</v>
      </c>
      <c r="LC58">
        <v>9.1999999999999993</v>
      </c>
      <c r="LD58">
        <v>1.0109999999999999</v>
      </c>
      <c r="LE58">
        <v>200</v>
      </c>
      <c r="LJ58" t="s">
        <v>78</v>
      </c>
      <c r="LK58">
        <v>5.19</v>
      </c>
      <c r="LL58">
        <v>0.31900000000000001</v>
      </c>
      <c r="LM58">
        <v>4.5650000000000004</v>
      </c>
      <c r="LN58">
        <v>4.976</v>
      </c>
      <c r="LO58">
        <v>5.1879999999999997</v>
      </c>
      <c r="LP58">
        <v>5.4009999999999998</v>
      </c>
      <c r="LQ58">
        <v>5.8120000000000003</v>
      </c>
      <c r="LR58">
        <v>1.0249999999999999</v>
      </c>
      <c r="LS58">
        <v>85</v>
      </c>
      <c r="LX58" t="s">
        <v>78</v>
      </c>
      <c r="LY58">
        <v>8.0850000000000009</v>
      </c>
      <c r="LZ58">
        <v>0.82299999999999995</v>
      </c>
      <c r="MA58">
        <v>6.5039999999999996</v>
      </c>
      <c r="MB58">
        <v>7.508</v>
      </c>
      <c r="MC58">
        <v>8.0920000000000005</v>
      </c>
      <c r="MD58">
        <v>8.6579999999999995</v>
      </c>
      <c r="ME58">
        <v>9.6189999999999998</v>
      </c>
      <c r="MF58">
        <v>1.208</v>
      </c>
      <c r="MG58">
        <v>14</v>
      </c>
      <c r="ML58" t="s">
        <v>78</v>
      </c>
      <c r="MM58">
        <v>6.6130000000000004</v>
      </c>
      <c r="MN58">
        <v>1.1100000000000001</v>
      </c>
      <c r="MO58">
        <v>4.2690000000000001</v>
      </c>
      <c r="MP58">
        <v>5.8949999999999996</v>
      </c>
      <c r="MQ58">
        <v>6.6529999999999996</v>
      </c>
      <c r="MR58">
        <v>7.391</v>
      </c>
      <c r="MS58">
        <v>8.6440000000000001</v>
      </c>
      <c r="MT58">
        <v>1.012</v>
      </c>
      <c r="MU58">
        <v>340</v>
      </c>
      <c r="MZ58" t="s">
        <v>78</v>
      </c>
      <c r="NA58">
        <v>6.524</v>
      </c>
      <c r="NB58">
        <v>0.92500000000000004</v>
      </c>
      <c r="NC58">
        <v>4.8449999999999998</v>
      </c>
      <c r="ND58">
        <v>5.827</v>
      </c>
      <c r="NE58">
        <v>6.4889999999999999</v>
      </c>
      <c r="NF58">
        <v>7.218</v>
      </c>
      <c r="NG58">
        <v>8.3219999999999992</v>
      </c>
      <c r="NH58">
        <v>1.583</v>
      </c>
      <c r="NI58">
        <v>7</v>
      </c>
      <c r="NM58" t="s">
        <v>78</v>
      </c>
      <c r="NN58">
        <v>6.7830000000000004</v>
      </c>
      <c r="NO58">
        <v>1.145</v>
      </c>
      <c r="NP58">
        <v>4.5259999999999998</v>
      </c>
      <c r="NQ58">
        <v>5.9989999999999997</v>
      </c>
      <c r="NR58">
        <v>6.7480000000000002</v>
      </c>
      <c r="NS58">
        <v>7.5810000000000004</v>
      </c>
      <c r="NT58">
        <v>8.9489999999999998</v>
      </c>
      <c r="NU58">
        <v>1.028</v>
      </c>
      <c r="NV58">
        <v>140</v>
      </c>
      <c r="NY58" t="s">
        <v>78</v>
      </c>
      <c r="NZ58">
        <v>8.0090000000000003</v>
      </c>
      <c r="OA58">
        <v>1.3120000000000001</v>
      </c>
      <c r="OB58">
        <v>5.3680000000000003</v>
      </c>
      <c r="OC58">
        <v>7.0720000000000001</v>
      </c>
      <c r="OD58">
        <v>8.08</v>
      </c>
      <c r="OE58">
        <v>8.9809999999999999</v>
      </c>
      <c r="OF58">
        <v>10.282</v>
      </c>
      <c r="OG58">
        <v>1.0429999999999999</v>
      </c>
      <c r="OH58">
        <v>64</v>
      </c>
      <c r="OP58" t="s">
        <v>78</v>
      </c>
      <c r="OQ58">
        <v>8.4030000000000005</v>
      </c>
      <c r="OR58">
        <v>0.99299999999999999</v>
      </c>
      <c r="OS58">
        <v>6.1210000000000004</v>
      </c>
      <c r="OT58">
        <v>7.7460000000000004</v>
      </c>
      <c r="OU58">
        <v>8.5519999999999996</v>
      </c>
      <c r="OV58">
        <v>9.157</v>
      </c>
      <c r="OW58">
        <v>9.9540000000000006</v>
      </c>
      <c r="OX58">
        <v>1.0980000000000001</v>
      </c>
      <c r="OY58">
        <v>35</v>
      </c>
      <c r="PB58" t="s">
        <v>78</v>
      </c>
      <c r="PC58">
        <v>4.5579999999999998</v>
      </c>
      <c r="PD58">
        <v>0.877</v>
      </c>
      <c r="PE58">
        <v>2.67</v>
      </c>
      <c r="PF58">
        <v>4.0149999999999997</v>
      </c>
      <c r="PG58">
        <v>4.6340000000000003</v>
      </c>
      <c r="PH58">
        <v>5.1879999999999997</v>
      </c>
      <c r="PI58">
        <v>6.0490000000000004</v>
      </c>
      <c r="PJ58">
        <v>1.081</v>
      </c>
      <c r="PK58">
        <v>35</v>
      </c>
      <c r="PN58" t="s">
        <v>78</v>
      </c>
      <c r="PO58">
        <v>4.6180000000000003</v>
      </c>
      <c r="PP58">
        <v>0.76400000000000001</v>
      </c>
      <c r="PQ58">
        <v>3.0859999999999999</v>
      </c>
      <c r="PR58">
        <v>4.1120000000000001</v>
      </c>
      <c r="PS58">
        <v>4.67</v>
      </c>
      <c r="PT58">
        <v>5.1559999999999997</v>
      </c>
      <c r="PU58">
        <v>6.032</v>
      </c>
      <c r="PV58">
        <v>1.0549999999999999</v>
      </c>
      <c r="PW58">
        <v>45</v>
      </c>
      <c r="QA58" t="s">
        <v>78</v>
      </c>
      <c r="QB58">
        <v>2.8260000000000001</v>
      </c>
      <c r="QC58">
        <v>0.40200000000000002</v>
      </c>
      <c r="QD58">
        <v>2.117</v>
      </c>
      <c r="QE58">
        <v>2.5289999999999999</v>
      </c>
      <c r="QF58">
        <v>2.82</v>
      </c>
      <c r="QG58">
        <v>3.1070000000000002</v>
      </c>
      <c r="QH58">
        <v>3.64</v>
      </c>
      <c r="QI58">
        <v>1.026</v>
      </c>
      <c r="QJ58">
        <v>92</v>
      </c>
      <c r="QL58">
        <f t="shared" si="2"/>
        <v>1.7920000000000003</v>
      </c>
    </row>
    <row r="59" spans="1:454">
      <c r="A59" t="s">
        <v>79</v>
      </c>
      <c r="B59">
        <v>6.8559999999999999</v>
      </c>
      <c r="C59">
        <v>1.1599999999999999</v>
      </c>
      <c r="D59">
        <v>4.4850000000000003</v>
      </c>
      <c r="E59">
        <v>6.1109999999999998</v>
      </c>
      <c r="F59">
        <v>6.8869999999999996</v>
      </c>
      <c r="G59">
        <v>7.6660000000000004</v>
      </c>
      <c r="H59">
        <v>8.98</v>
      </c>
      <c r="I59">
        <v>1.0109999999999999</v>
      </c>
      <c r="J59">
        <v>3000</v>
      </c>
      <c r="O59" t="s">
        <v>79</v>
      </c>
      <c r="P59">
        <v>6.35</v>
      </c>
      <c r="Q59">
        <v>0.85099999999999998</v>
      </c>
      <c r="R59">
        <v>4.3380000000000001</v>
      </c>
      <c r="S59">
        <v>5.8810000000000002</v>
      </c>
      <c r="T59">
        <v>6.5529999999999999</v>
      </c>
      <c r="U59">
        <v>7.03</v>
      </c>
      <c r="V59">
        <v>7.3449999999999998</v>
      </c>
      <c r="W59">
        <v>1.0029999999999999</v>
      </c>
      <c r="X59">
        <v>1300</v>
      </c>
      <c r="AC59" t="s">
        <v>79</v>
      </c>
      <c r="AD59">
        <v>6.61</v>
      </c>
      <c r="AE59">
        <v>0.65</v>
      </c>
      <c r="AF59">
        <v>5.0670000000000002</v>
      </c>
      <c r="AG59">
        <v>6.2220000000000004</v>
      </c>
      <c r="AH59">
        <v>6.7720000000000002</v>
      </c>
      <c r="AI59">
        <v>7.141</v>
      </c>
      <c r="AJ59">
        <v>7.3710000000000004</v>
      </c>
      <c r="AK59">
        <v>1.0029999999999999</v>
      </c>
      <c r="AL59">
        <v>880</v>
      </c>
      <c r="AQ59" t="s">
        <v>79</v>
      </c>
      <c r="AR59">
        <v>6.61</v>
      </c>
      <c r="AS59">
        <v>0.625</v>
      </c>
      <c r="AT59">
        <v>5.0960000000000001</v>
      </c>
      <c r="AU59">
        <v>6.24</v>
      </c>
      <c r="AV59">
        <v>6.7489999999999997</v>
      </c>
      <c r="AW59">
        <v>7.1230000000000002</v>
      </c>
      <c r="AX59">
        <v>7.3559999999999999</v>
      </c>
      <c r="AY59">
        <v>1.004</v>
      </c>
      <c r="AZ59">
        <v>600</v>
      </c>
      <c r="BE59" t="s">
        <v>79</v>
      </c>
      <c r="BF59">
        <v>6.899</v>
      </c>
      <c r="BG59">
        <v>0.438</v>
      </c>
      <c r="BH59">
        <v>5.7720000000000002</v>
      </c>
      <c r="BI59">
        <v>6.68</v>
      </c>
      <c r="BJ59">
        <v>7.0270000000000001</v>
      </c>
      <c r="BK59">
        <v>7.234</v>
      </c>
      <c r="BL59">
        <v>7.37</v>
      </c>
      <c r="BM59">
        <v>1.012</v>
      </c>
      <c r="BN59">
        <v>180</v>
      </c>
      <c r="BS59" t="s">
        <v>79</v>
      </c>
      <c r="BT59">
        <v>6.5430000000000001</v>
      </c>
      <c r="BU59">
        <v>0.63800000000000001</v>
      </c>
      <c r="BV59">
        <v>5.0730000000000004</v>
      </c>
      <c r="BW59">
        <v>6.141</v>
      </c>
      <c r="BX59">
        <v>6.6609999999999996</v>
      </c>
      <c r="BY59">
        <v>7.0759999999999996</v>
      </c>
      <c r="BZ59">
        <v>7.3550000000000004</v>
      </c>
      <c r="CA59">
        <v>1.004</v>
      </c>
      <c r="CB59">
        <v>640</v>
      </c>
      <c r="CG59" t="s">
        <v>79</v>
      </c>
      <c r="CH59">
        <v>6.9020000000000001</v>
      </c>
      <c r="CI59">
        <v>0.436</v>
      </c>
      <c r="CJ59">
        <v>5.7560000000000002</v>
      </c>
      <c r="CK59">
        <v>6.6970000000000001</v>
      </c>
      <c r="CL59">
        <v>7.0220000000000002</v>
      </c>
      <c r="CM59">
        <v>7.2359999999999998</v>
      </c>
      <c r="CN59">
        <v>7.3680000000000003</v>
      </c>
      <c r="CO59">
        <v>1.0049999999999999</v>
      </c>
      <c r="CP59">
        <v>580</v>
      </c>
      <c r="CU59" t="s">
        <v>79</v>
      </c>
      <c r="CV59">
        <v>7.0170000000000003</v>
      </c>
      <c r="CW59">
        <v>0.42099999999999999</v>
      </c>
      <c r="CX59">
        <v>5.88</v>
      </c>
      <c r="CY59">
        <v>6.8550000000000004</v>
      </c>
      <c r="CZ59">
        <v>7.1760000000000002</v>
      </c>
      <c r="DA59">
        <v>7.3310000000000004</v>
      </c>
      <c r="DB59">
        <v>7.38</v>
      </c>
      <c r="DC59">
        <v>1.0049999999999999</v>
      </c>
      <c r="DD59">
        <v>460</v>
      </c>
      <c r="DI59" t="s">
        <v>79</v>
      </c>
      <c r="DJ59">
        <v>6.6609999999999996</v>
      </c>
      <c r="DK59">
        <v>0.61799999999999999</v>
      </c>
      <c r="DL59">
        <v>5.1029999999999998</v>
      </c>
      <c r="DM59">
        <v>6.3</v>
      </c>
      <c r="DN59">
        <v>6.8330000000000002</v>
      </c>
      <c r="DO59">
        <v>7.157</v>
      </c>
      <c r="DP59">
        <v>7.367</v>
      </c>
      <c r="DQ59">
        <v>1.004</v>
      </c>
      <c r="DR59">
        <v>2100</v>
      </c>
      <c r="DY59" t="s">
        <v>79</v>
      </c>
      <c r="DZ59">
        <v>6.7220000000000004</v>
      </c>
      <c r="EA59">
        <v>0.57699999999999996</v>
      </c>
      <c r="EB59">
        <v>5.26</v>
      </c>
      <c r="EC59">
        <v>6.415</v>
      </c>
      <c r="ED59">
        <v>6.8840000000000003</v>
      </c>
      <c r="EE59">
        <v>7.19</v>
      </c>
      <c r="EF59">
        <v>7.3650000000000002</v>
      </c>
      <c r="EG59">
        <v>1.0069999999999999</v>
      </c>
      <c r="EH59">
        <v>340</v>
      </c>
      <c r="EK59" t="s">
        <v>79</v>
      </c>
      <c r="EL59">
        <v>6.2910000000000004</v>
      </c>
      <c r="EM59">
        <v>0.73899999999999999</v>
      </c>
      <c r="EN59">
        <v>4.6820000000000004</v>
      </c>
      <c r="EO59">
        <v>5.8</v>
      </c>
      <c r="EP59">
        <v>6.3979999999999997</v>
      </c>
      <c r="EQ59">
        <v>6.8920000000000003</v>
      </c>
      <c r="ER59">
        <v>7.3390000000000004</v>
      </c>
      <c r="ES59">
        <v>1.0069999999999999</v>
      </c>
      <c r="ET59">
        <v>590</v>
      </c>
      <c r="EY59" t="s">
        <v>79</v>
      </c>
      <c r="EZ59">
        <v>6.4930000000000003</v>
      </c>
      <c r="FA59">
        <v>0.69199999999999995</v>
      </c>
      <c r="FB59">
        <v>4.87</v>
      </c>
      <c r="FC59">
        <v>6.0970000000000004</v>
      </c>
      <c r="FD59">
        <v>6.6520000000000001</v>
      </c>
      <c r="FE59">
        <v>7.05</v>
      </c>
      <c r="FF59">
        <v>7.351</v>
      </c>
      <c r="FG59">
        <v>1.0009999999999999</v>
      </c>
      <c r="FH59">
        <v>3000</v>
      </c>
      <c r="GA59" t="s">
        <v>79</v>
      </c>
      <c r="GB59">
        <v>5.7629999999999999</v>
      </c>
      <c r="GC59">
        <v>0.67100000000000004</v>
      </c>
      <c r="GD59">
        <v>4.4790000000000001</v>
      </c>
      <c r="GE59">
        <v>5.3049999999999997</v>
      </c>
      <c r="GF59">
        <v>5.7759999999999998</v>
      </c>
      <c r="GG59">
        <v>6.2469999999999999</v>
      </c>
      <c r="GH59">
        <v>7.0609999999999999</v>
      </c>
      <c r="GI59">
        <v>1.002</v>
      </c>
      <c r="GJ59">
        <v>1000</v>
      </c>
      <c r="GO59" t="s">
        <v>79</v>
      </c>
      <c r="GP59">
        <v>6.4630000000000001</v>
      </c>
      <c r="GQ59">
        <v>0.70699999999999996</v>
      </c>
      <c r="GR59">
        <v>4.7759999999999998</v>
      </c>
      <c r="GS59">
        <v>6.0220000000000002</v>
      </c>
      <c r="GT59">
        <v>6.6219999999999999</v>
      </c>
      <c r="GU59">
        <v>7.0339999999999998</v>
      </c>
      <c r="GV59">
        <v>7.351</v>
      </c>
      <c r="GW59">
        <v>1.0029999999999999</v>
      </c>
      <c r="GX59">
        <v>1400</v>
      </c>
      <c r="HC59" t="s">
        <v>79</v>
      </c>
      <c r="HD59">
        <v>6.4640000000000004</v>
      </c>
      <c r="HE59">
        <v>0.69599999999999995</v>
      </c>
      <c r="HF59">
        <v>4.843</v>
      </c>
      <c r="HG59">
        <v>6.0359999999999996</v>
      </c>
      <c r="HH59">
        <v>6.6059999999999999</v>
      </c>
      <c r="HI59">
        <v>7.0270000000000001</v>
      </c>
      <c r="HJ59">
        <v>7.351</v>
      </c>
      <c r="HK59">
        <v>1.004</v>
      </c>
      <c r="HL59">
        <v>710</v>
      </c>
      <c r="HP59" s="7"/>
      <c r="HQ59" s="7" t="s">
        <v>79</v>
      </c>
      <c r="HR59" s="7">
        <v>6.6</v>
      </c>
      <c r="HS59" s="7">
        <v>0.60699999999999998</v>
      </c>
      <c r="HT59" s="7">
        <v>5.1589999999999998</v>
      </c>
      <c r="HU59" s="7">
        <v>6.242</v>
      </c>
      <c r="HV59" s="7">
        <v>6.734</v>
      </c>
      <c r="HW59" s="7">
        <v>7.0869999999999997</v>
      </c>
      <c r="HX59" s="7">
        <v>7.3550000000000004</v>
      </c>
      <c r="HY59" s="7">
        <v>1.008</v>
      </c>
      <c r="HZ59" s="7">
        <v>300</v>
      </c>
      <c r="IA59" s="7"/>
      <c r="IE59" t="s">
        <v>79</v>
      </c>
      <c r="IF59">
        <v>6.5910000000000002</v>
      </c>
      <c r="IG59">
        <v>0.58099999999999996</v>
      </c>
      <c r="IH59">
        <v>5.2430000000000003</v>
      </c>
      <c r="II59">
        <v>6.2110000000000003</v>
      </c>
      <c r="IJ59">
        <v>6.69</v>
      </c>
      <c r="IK59">
        <v>7.0679999999999996</v>
      </c>
      <c r="IL59">
        <v>7.3520000000000003</v>
      </c>
      <c r="IM59">
        <v>1.004</v>
      </c>
      <c r="IN59">
        <v>740</v>
      </c>
      <c r="IS59" t="s">
        <v>79</v>
      </c>
      <c r="IT59">
        <v>6.5839999999999996</v>
      </c>
      <c r="IU59">
        <v>0.622</v>
      </c>
      <c r="IV59">
        <v>5.1379999999999999</v>
      </c>
      <c r="IW59">
        <v>6.2069999999999999</v>
      </c>
      <c r="IX59">
        <v>6.7229999999999999</v>
      </c>
      <c r="IY59">
        <v>7.093</v>
      </c>
      <c r="IZ59">
        <v>7.3529999999999998</v>
      </c>
      <c r="JA59">
        <v>1.0089999999999999</v>
      </c>
      <c r="JB59">
        <v>350</v>
      </c>
      <c r="JF59" t="s">
        <v>79</v>
      </c>
      <c r="JG59">
        <v>6.68</v>
      </c>
      <c r="JH59">
        <v>0.54900000000000004</v>
      </c>
      <c r="JI59">
        <v>5.4</v>
      </c>
      <c r="JJ59">
        <v>6.359</v>
      </c>
      <c r="JK59">
        <v>6.7990000000000004</v>
      </c>
      <c r="JL59">
        <v>7.1260000000000003</v>
      </c>
      <c r="JM59">
        <v>7.3559999999999999</v>
      </c>
      <c r="JN59">
        <v>1.0009999999999999</v>
      </c>
      <c r="JO59">
        <v>3000</v>
      </c>
      <c r="JT59" t="s">
        <v>79</v>
      </c>
      <c r="JU59">
        <v>6.6790000000000003</v>
      </c>
      <c r="JV59">
        <v>0.55800000000000005</v>
      </c>
      <c r="JW59">
        <v>5.335</v>
      </c>
      <c r="JX59">
        <v>6.3470000000000004</v>
      </c>
      <c r="JY59">
        <v>6.819</v>
      </c>
      <c r="JZ59">
        <v>7.1280000000000001</v>
      </c>
      <c r="KA59">
        <v>7.3490000000000002</v>
      </c>
      <c r="KB59">
        <v>1.0009999999999999</v>
      </c>
      <c r="KC59">
        <v>3000</v>
      </c>
      <c r="KH59" t="s">
        <v>79</v>
      </c>
      <c r="KI59">
        <v>6.6630000000000003</v>
      </c>
      <c r="KJ59">
        <v>0.56299999999999994</v>
      </c>
      <c r="KK59">
        <v>5.3019999999999996</v>
      </c>
      <c r="KL59">
        <v>6.3419999999999996</v>
      </c>
      <c r="KM59">
        <v>6.7949999999999999</v>
      </c>
      <c r="KN59">
        <v>7.1070000000000002</v>
      </c>
      <c r="KO59">
        <v>7.3540000000000001</v>
      </c>
      <c r="KP59">
        <v>1.002</v>
      </c>
      <c r="KQ59">
        <v>1500</v>
      </c>
      <c r="KR59">
        <f t="shared" si="0"/>
        <v>782.89610593251689</v>
      </c>
      <c r="KV59" t="s">
        <v>79</v>
      </c>
      <c r="KW59">
        <v>8.3130000000000006</v>
      </c>
      <c r="KX59">
        <v>0.747</v>
      </c>
      <c r="KY59">
        <v>6.8280000000000003</v>
      </c>
      <c r="KZ59">
        <v>7.79</v>
      </c>
      <c r="LA59">
        <v>8.3190000000000008</v>
      </c>
      <c r="LB59">
        <v>8.8480000000000008</v>
      </c>
      <c r="LC59">
        <v>9.6850000000000005</v>
      </c>
      <c r="LD59">
        <v>1.01</v>
      </c>
      <c r="LE59">
        <v>220</v>
      </c>
      <c r="LJ59" t="s">
        <v>79</v>
      </c>
      <c r="LK59">
        <v>5.3959999999999999</v>
      </c>
      <c r="LL59">
        <v>0.34</v>
      </c>
      <c r="LM59">
        <v>4.7229999999999999</v>
      </c>
      <c r="LN59">
        <v>5.1630000000000003</v>
      </c>
      <c r="LO59">
        <v>5.3929999999999998</v>
      </c>
      <c r="LP59">
        <v>5.625</v>
      </c>
      <c r="LQ59">
        <v>6.0620000000000003</v>
      </c>
      <c r="LR59">
        <v>1.0249999999999999</v>
      </c>
      <c r="LS59">
        <v>86</v>
      </c>
      <c r="LX59" t="s">
        <v>79</v>
      </c>
      <c r="LY59">
        <v>8.4939999999999998</v>
      </c>
      <c r="LZ59">
        <v>0.90800000000000003</v>
      </c>
      <c r="MA59">
        <v>6.77</v>
      </c>
      <c r="MB59">
        <v>7.8479999999999999</v>
      </c>
      <c r="MC59">
        <v>8.4979999999999993</v>
      </c>
      <c r="MD59">
        <v>9.1159999999999997</v>
      </c>
      <c r="ME59">
        <v>10.241</v>
      </c>
      <c r="MF59">
        <v>1.2110000000000001</v>
      </c>
      <c r="MG59">
        <v>14</v>
      </c>
      <c r="ML59" t="s">
        <v>79</v>
      </c>
      <c r="MM59">
        <v>6.9349999999999996</v>
      </c>
      <c r="MN59">
        <v>1.141</v>
      </c>
      <c r="MO59">
        <v>4.5490000000000004</v>
      </c>
      <c r="MP59">
        <v>6.1929999999999996</v>
      </c>
      <c r="MQ59">
        <v>6.968</v>
      </c>
      <c r="MR59">
        <v>7.7309999999999999</v>
      </c>
      <c r="MS59">
        <v>9.0399999999999991</v>
      </c>
      <c r="MT59">
        <v>1.0109999999999999</v>
      </c>
      <c r="MU59">
        <v>350</v>
      </c>
      <c r="MZ59" t="s">
        <v>79</v>
      </c>
      <c r="NA59">
        <v>6.84</v>
      </c>
      <c r="NB59">
        <v>0.96</v>
      </c>
      <c r="NC59">
        <v>5.0739999999999998</v>
      </c>
      <c r="ND59">
        <v>6.1139999999999999</v>
      </c>
      <c r="NE59">
        <v>6.7969999999999997</v>
      </c>
      <c r="NF59">
        <v>7.5490000000000004</v>
      </c>
      <c r="NG59">
        <v>8.6769999999999996</v>
      </c>
      <c r="NH59">
        <v>1.5580000000000001</v>
      </c>
      <c r="NI59">
        <v>7</v>
      </c>
      <c r="NM59" t="s">
        <v>79</v>
      </c>
      <c r="NN59">
        <v>7.2610000000000001</v>
      </c>
      <c r="NO59">
        <v>1.198</v>
      </c>
      <c r="NP59">
        <v>4.9089999999999998</v>
      </c>
      <c r="NQ59">
        <v>6.4370000000000003</v>
      </c>
      <c r="NR59">
        <v>7.218</v>
      </c>
      <c r="NS59">
        <v>8.0909999999999993</v>
      </c>
      <c r="NT59">
        <v>9.5459999999999994</v>
      </c>
      <c r="NU59">
        <v>1.028</v>
      </c>
      <c r="NV59">
        <v>130</v>
      </c>
      <c r="NY59" t="s">
        <v>79</v>
      </c>
      <c r="NZ59">
        <v>8.6379999999999999</v>
      </c>
      <c r="OA59">
        <v>1.391</v>
      </c>
      <c r="OB59">
        <v>5.8410000000000002</v>
      </c>
      <c r="OC59">
        <v>7.64</v>
      </c>
      <c r="OD59">
        <v>8.7189999999999994</v>
      </c>
      <c r="OE59">
        <v>9.6679999999999993</v>
      </c>
      <c r="OF59">
        <v>11.084</v>
      </c>
      <c r="OG59">
        <v>1.05</v>
      </c>
      <c r="OH59">
        <v>52</v>
      </c>
      <c r="OP59" t="s">
        <v>79</v>
      </c>
      <c r="OQ59">
        <v>8.9930000000000003</v>
      </c>
      <c r="OR59">
        <v>1.018</v>
      </c>
      <c r="OS59">
        <v>6.6609999999999996</v>
      </c>
      <c r="OT59">
        <v>8.31</v>
      </c>
      <c r="OU59">
        <v>9.14</v>
      </c>
      <c r="OV59">
        <v>9.76</v>
      </c>
      <c r="OW59">
        <v>10.597</v>
      </c>
      <c r="OX59">
        <v>1.089</v>
      </c>
      <c r="OY59">
        <v>39</v>
      </c>
      <c r="PB59" t="s">
        <v>79</v>
      </c>
      <c r="PC59">
        <v>4.7809999999999997</v>
      </c>
      <c r="PD59">
        <v>0.878</v>
      </c>
      <c r="PE59">
        <v>2.887</v>
      </c>
      <c r="PF59">
        <v>4.2300000000000004</v>
      </c>
      <c r="PG59">
        <v>4.8559999999999999</v>
      </c>
      <c r="PH59">
        <v>5.4160000000000004</v>
      </c>
      <c r="PI59">
        <v>6.2850000000000001</v>
      </c>
      <c r="PJ59">
        <v>1.0780000000000001</v>
      </c>
      <c r="PK59">
        <v>35</v>
      </c>
      <c r="PN59" t="s">
        <v>79</v>
      </c>
      <c r="PO59">
        <v>4.8470000000000004</v>
      </c>
      <c r="PP59">
        <v>0.77400000000000002</v>
      </c>
      <c r="PQ59">
        <v>3.2930000000000001</v>
      </c>
      <c r="PR59">
        <v>4.3319999999999999</v>
      </c>
      <c r="PS59">
        <v>4.8920000000000003</v>
      </c>
      <c r="PT59">
        <v>5.3890000000000002</v>
      </c>
      <c r="PU59">
        <v>6.2789999999999999</v>
      </c>
      <c r="PV59">
        <v>1.054</v>
      </c>
      <c r="PW59">
        <v>46</v>
      </c>
      <c r="QA59" t="s">
        <v>79</v>
      </c>
      <c r="QB59">
        <v>3.5920000000000001</v>
      </c>
      <c r="QC59">
        <v>0.4</v>
      </c>
      <c r="QD59">
        <v>2.839</v>
      </c>
      <c r="QE59">
        <v>3.3010000000000002</v>
      </c>
      <c r="QF59">
        <v>3.601</v>
      </c>
      <c r="QG59">
        <v>3.8679999999999999</v>
      </c>
      <c r="QH59">
        <v>4.3869999999999996</v>
      </c>
      <c r="QI59">
        <v>1.0169999999999999</v>
      </c>
      <c r="QJ59">
        <v>180</v>
      </c>
      <c r="QL59">
        <f t="shared" si="2"/>
        <v>1.2550000000000003</v>
      </c>
    </row>
    <row r="60" spans="1:454">
      <c r="A60" t="s">
        <v>80</v>
      </c>
      <c r="B60">
        <v>3.04</v>
      </c>
      <c r="C60">
        <v>1.0940000000000001</v>
      </c>
      <c r="D60">
        <v>0.68600000000000005</v>
      </c>
      <c r="E60">
        <v>2.3519999999999999</v>
      </c>
      <c r="F60">
        <v>3.145</v>
      </c>
      <c r="G60">
        <v>3.7349999999999999</v>
      </c>
      <c r="H60">
        <v>5.1550000000000002</v>
      </c>
      <c r="I60">
        <v>1.0069999999999999</v>
      </c>
      <c r="J60">
        <v>950</v>
      </c>
      <c r="O60" t="s">
        <v>80</v>
      </c>
      <c r="P60">
        <v>0.67700000000000005</v>
      </c>
      <c r="Q60">
        <v>0.66500000000000004</v>
      </c>
      <c r="R60">
        <v>1.7999999999999999E-2</v>
      </c>
      <c r="S60">
        <v>0.2</v>
      </c>
      <c r="T60">
        <v>0.46700000000000003</v>
      </c>
      <c r="U60">
        <v>0.95</v>
      </c>
      <c r="V60">
        <v>2.4430000000000001</v>
      </c>
      <c r="W60">
        <v>1.0009999999999999</v>
      </c>
      <c r="X60">
        <v>3000</v>
      </c>
      <c r="AC60" t="s">
        <v>80</v>
      </c>
      <c r="AD60">
        <v>2.1040000000000001</v>
      </c>
      <c r="AE60">
        <v>0.96399999999999997</v>
      </c>
      <c r="AF60">
        <v>0.32300000000000001</v>
      </c>
      <c r="AG60">
        <v>1.423</v>
      </c>
      <c r="AH60">
        <v>2.0550000000000002</v>
      </c>
      <c r="AI60">
        <v>2.74</v>
      </c>
      <c r="AJ60">
        <v>4.1150000000000002</v>
      </c>
      <c r="AK60">
        <v>1.014</v>
      </c>
      <c r="AL60">
        <v>190</v>
      </c>
      <c r="AQ60" t="s">
        <v>80</v>
      </c>
      <c r="AR60">
        <v>2.1240000000000001</v>
      </c>
      <c r="AS60">
        <v>0.93799999999999994</v>
      </c>
      <c r="AT60">
        <v>0.307</v>
      </c>
      <c r="AU60">
        <v>1.482</v>
      </c>
      <c r="AV60">
        <v>2.1360000000000001</v>
      </c>
      <c r="AW60">
        <v>2.79</v>
      </c>
      <c r="AX60">
        <v>3.9129999999999998</v>
      </c>
      <c r="AY60">
        <v>1.024</v>
      </c>
      <c r="AZ60">
        <v>170</v>
      </c>
      <c r="BE60" t="s">
        <v>80</v>
      </c>
      <c r="BF60">
        <v>2.9079999999999999</v>
      </c>
      <c r="BG60">
        <v>0.78300000000000003</v>
      </c>
      <c r="BH60">
        <v>1.3380000000000001</v>
      </c>
      <c r="BI60">
        <v>2.3839999999999999</v>
      </c>
      <c r="BJ60">
        <v>2.9049999999999998</v>
      </c>
      <c r="BK60">
        <v>3.403</v>
      </c>
      <c r="BL60">
        <v>4.53</v>
      </c>
      <c r="BM60">
        <v>1.0349999999999999</v>
      </c>
      <c r="BN60">
        <v>76</v>
      </c>
      <c r="BS60" t="s">
        <v>80</v>
      </c>
      <c r="BT60">
        <v>2.0030000000000001</v>
      </c>
      <c r="BU60">
        <v>0.88</v>
      </c>
      <c r="BV60">
        <v>0.32800000000000001</v>
      </c>
      <c r="BW60">
        <v>1.4</v>
      </c>
      <c r="BX60">
        <v>2.024</v>
      </c>
      <c r="BY60">
        <v>2.589</v>
      </c>
      <c r="BZ60">
        <v>3.7189999999999999</v>
      </c>
      <c r="CA60">
        <v>1.0940000000000001</v>
      </c>
      <c r="CB60">
        <v>55</v>
      </c>
      <c r="CG60" t="s">
        <v>80</v>
      </c>
      <c r="CH60">
        <v>3.032</v>
      </c>
      <c r="CI60">
        <v>0.79700000000000004</v>
      </c>
      <c r="CJ60">
        <v>1.343</v>
      </c>
      <c r="CK60">
        <v>2.512</v>
      </c>
      <c r="CL60">
        <v>3.0489999999999999</v>
      </c>
      <c r="CM60">
        <v>3.5779999999999998</v>
      </c>
      <c r="CN60">
        <v>4.5579999999999998</v>
      </c>
      <c r="CO60">
        <v>1.0640000000000001</v>
      </c>
      <c r="CP60">
        <v>44</v>
      </c>
      <c r="CU60" t="s">
        <v>80</v>
      </c>
      <c r="CV60">
        <v>2.9660000000000002</v>
      </c>
      <c r="CW60">
        <v>1.113</v>
      </c>
      <c r="CX60">
        <v>0.75800000000000001</v>
      </c>
      <c r="CY60">
        <v>2.194</v>
      </c>
      <c r="CZ60">
        <v>2.9870000000000001</v>
      </c>
      <c r="DA60">
        <v>3.802</v>
      </c>
      <c r="DB60">
        <v>4.9290000000000003</v>
      </c>
      <c r="DC60">
        <v>1.03</v>
      </c>
      <c r="DD60">
        <v>95</v>
      </c>
      <c r="DI60" t="s">
        <v>80</v>
      </c>
      <c r="DJ60">
        <v>2.234</v>
      </c>
      <c r="DK60">
        <v>1.0089999999999999</v>
      </c>
      <c r="DL60">
        <v>0.33</v>
      </c>
      <c r="DM60">
        <v>1.5429999999999999</v>
      </c>
      <c r="DN60">
        <v>2.2309999999999999</v>
      </c>
      <c r="DO60">
        <v>2.911</v>
      </c>
      <c r="DP60">
        <v>4.1790000000000003</v>
      </c>
      <c r="DQ60">
        <v>1.002</v>
      </c>
      <c r="DR60">
        <v>1500</v>
      </c>
      <c r="DY60" t="s">
        <v>80</v>
      </c>
      <c r="DZ60">
        <v>2.3980000000000001</v>
      </c>
      <c r="EA60">
        <v>0.94499999999999995</v>
      </c>
      <c r="EB60">
        <v>0.47299999999999998</v>
      </c>
      <c r="EC60">
        <v>1.7669999999999999</v>
      </c>
      <c r="ED60">
        <v>2.4369999999999998</v>
      </c>
      <c r="EE60">
        <v>3.0470000000000002</v>
      </c>
      <c r="EF60">
        <v>4.1779999999999999</v>
      </c>
      <c r="EG60">
        <v>1.022</v>
      </c>
      <c r="EH60">
        <v>170</v>
      </c>
      <c r="EK60" t="s">
        <v>80</v>
      </c>
      <c r="EL60">
        <v>1.46</v>
      </c>
      <c r="EM60">
        <v>0.85699999999999998</v>
      </c>
      <c r="EN60">
        <v>0.11</v>
      </c>
      <c r="EO60">
        <v>0.752</v>
      </c>
      <c r="EP60">
        <v>1.395</v>
      </c>
      <c r="EQ60">
        <v>2.0830000000000002</v>
      </c>
      <c r="ER60">
        <v>3.1779999999999999</v>
      </c>
      <c r="ES60">
        <v>1.0049999999999999</v>
      </c>
      <c r="ET60">
        <v>440</v>
      </c>
      <c r="EY60" t="s">
        <v>80</v>
      </c>
      <c r="EZ60">
        <v>1.331</v>
      </c>
      <c r="FA60">
        <v>0.84399999999999997</v>
      </c>
      <c r="FB60">
        <v>7.3999999999999996E-2</v>
      </c>
      <c r="FC60">
        <v>0.66800000000000004</v>
      </c>
      <c r="FD60">
        <v>1.2450000000000001</v>
      </c>
      <c r="FE60">
        <v>1.885</v>
      </c>
      <c r="FF60">
        <v>3.18</v>
      </c>
      <c r="FG60">
        <v>1.002</v>
      </c>
      <c r="FH60">
        <v>1300</v>
      </c>
      <c r="GA60" t="s">
        <v>80</v>
      </c>
      <c r="GB60">
        <v>2.7210000000000001</v>
      </c>
      <c r="GC60">
        <v>0.81599999999999995</v>
      </c>
      <c r="GD60">
        <v>1.0640000000000001</v>
      </c>
      <c r="GE60">
        <v>2.1840000000000002</v>
      </c>
      <c r="GF60">
        <v>2.72</v>
      </c>
      <c r="GG60">
        <v>3.2730000000000001</v>
      </c>
      <c r="GH60">
        <v>4.3</v>
      </c>
      <c r="GI60">
        <v>1.0069999999999999</v>
      </c>
      <c r="GJ60">
        <v>320</v>
      </c>
      <c r="GO60" t="s">
        <v>80</v>
      </c>
      <c r="GP60">
        <v>1.5669999999999999</v>
      </c>
      <c r="GQ60">
        <v>0.91800000000000004</v>
      </c>
      <c r="GR60">
        <v>0.11899999999999999</v>
      </c>
      <c r="GS60">
        <v>0.85699999999999998</v>
      </c>
      <c r="GT60">
        <v>1.4930000000000001</v>
      </c>
      <c r="GU60">
        <v>2.194</v>
      </c>
      <c r="GV60">
        <v>3.4540000000000002</v>
      </c>
      <c r="GW60">
        <v>1.018</v>
      </c>
      <c r="GX60">
        <v>140</v>
      </c>
      <c r="HC60" t="s">
        <v>80</v>
      </c>
      <c r="HD60">
        <v>1.5569999999999999</v>
      </c>
      <c r="HE60">
        <v>0.89600000000000002</v>
      </c>
      <c r="HF60">
        <v>0.123</v>
      </c>
      <c r="HG60">
        <v>0.85899999999999999</v>
      </c>
      <c r="HH60">
        <v>1.4870000000000001</v>
      </c>
      <c r="HI60">
        <v>2.157</v>
      </c>
      <c r="HJ60">
        <v>3.4980000000000002</v>
      </c>
      <c r="HK60">
        <v>1.0109999999999999</v>
      </c>
      <c r="HL60">
        <v>330</v>
      </c>
      <c r="HP60" s="7"/>
      <c r="HQ60" s="7" t="s">
        <v>80</v>
      </c>
      <c r="HR60" s="7">
        <v>1.625</v>
      </c>
      <c r="HS60" s="7">
        <v>0.83199999999999996</v>
      </c>
      <c r="HT60" s="7">
        <v>0.16</v>
      </c>
      <c r="HU60" s="7">
        <v>1.0109999999999999</v>
      </c>
      <c r="HV60" s="7">
        <v>1.6120000000000001</v>
      </c>
      <c r="HW60" s="7">
        <v>2.2040000000000002</v>
      </c>
      <c r="HX60" s="7">
        <v>3.2919999999999998</v>
      </c>
      <c r="HY60" s="7">
        <v>1.0089999999999999</v>
      </c>
      <c r="HZ60" s="7">
        <v>360</v>
      </c>
      <c r="IA60" s="7"/>
      <c r="IE60" t="s">
        <v>80</v>
      </c>
      <c r="IF60">
        <v>1.944</v>
      </c>
      <c r="IG60">
        <v>0.76200000000000001</v>
      </c>
      <c r="IH60">
        <v>0.38100000000000001</v>
      </c>
      <c r="II60">
        <v>1.44</v>
      </c>
      <c r="IJ60">
        <v>1.9670000000000001</v>
      </c>
      <c r="IK60">
        <v>2.4780000000000002</v>
      </c>
      <c r="IL60">
        <v>3.347</v>
      </c>
      <c r="IM60">
        <v>1.022</v>
      </c>
      <c r="IN60">
        <v>170</v>
      </c>
      <c r="IS60" t="s">
        <v>80</v>
      </c>
      <c r="IT60">
        <v>2.0049999999999999</v>
      </c>
      <c r="IU60">
        <v>0.82199999999999995</v>
      </c>
      <c r="IV60">
        <v>0.377</v>
      </c>
      <c r="IW60">
        <v>1.4530000000000001</v>
      </c>
      <c r="IX60">
        <v>2.0259999999999998</v>
      </c>
      <c r="IY60">
        <v>2.5819999999999999</v>
      </c>
      <c r="IZ60">
        <v>3.56</v>
      </c>
      <c r="JA60">
        <v>1.0429999999999999</v>
      </c>
      <c r="JB60">
        <v>80</v>
      </c>
      <c r="JF60" t="s">
        <v>80</v>
      </c>
      <c r="JG60">
        <v>1.952</v>
      </c>
      <c r="JH60">
        <v>0.85499999999999998</v>
      </c>
      <c r="JI60">
        <v>0.24</v>
      </c>
      <c r="JJ60">
        <v>1.3580000000000001</v>
      </c>
      <c r="JK60">
        <v>1.982</v>
      </c>
      <c r="JL60">
        <v>2.5649999999999999</v>
      </c>
      <c r="JM60">
        <v>3.5430000000000001</v>
      </c>
      <c r="JN60">
        <v>1.0169999999999999</v>
      </c>
      <c r="JO60">
        <v>210</v>
      </c>
      <c r="JT60" t="s">
        <v>80</v>
      </c>
      <c r="JU60">
        <v>1.907</v>
      </c>
      <c r="JV60">
        <v>0.86499999999999999</v>
      </c>
      <c r="JW60">
        <v>0.23200000000000001</v>
      </c>
      <c r="JX60">
        <v>1.288</v>
      </c>
      <c r="JY60">
        <v>1.9179999999999999</v>
      </c>
      <c r="JZ60">
        <v>2.5099999999999998</v>
      </c>
      <c r="KA60">
        <v>3.6110000000000002</v>
      </c>
      <c r="KB60">
        <v>1.002</v>
      </c>
      <c r="KC60">
        <v>2700</v>
      </c>
      <c r="KH60" t="s">
        <v>80</v>
      </c>
      <c r="KI60">
        <v>1.802</v>
      </c>
      <c r="KJ60">
        <v>0.85</v>
      </c>
      <c r="KK60">
        <v>0.20699999999999999</v>
      </c>
      <c r="KL60">
        <v>1.1890000000000001</v>
      </c>
      <c r="KM60">
        <v>1.804</v>
      </c>
      <c r="KN60">
        <v>2.403</v>
      </c>
      <c r="KO60">
        <v>3.448</v>
      </c>
      <c r="KP60">
        <v>1.002</v>
      </c>
      <c r="KQ60">
        <v>1700</v>
      </c>
      <c r="KR60">
        <f t="shared" si="0"/>
        <v>6.0617588667069322</v>
      </c>
      <c r="KV60" t="s">
        <v>80</v>
      </c>
      <c r="KW60">
        <v>4.5430000000000001</v>
      </c>
      <c r="KX60">
        <v>0.55200000000000005</v>
      </c>
      <c r="KY60">
        <v>3.4390000000000001</v>
      </c>
      <c r="KZ60">
        <v>4.1520000000000001</v>
      </c>
      <c r="LA60">
        <v>4.5510000000000002</v>
      </c>
      <c r="LB60">
        <v>4.9359999999999999</v>
      </c>
      <c r="LC60">
        <v>5.5910000000000002</v>
      </c>
      <c r="LD60">
        <v>1.02</v>
      </c>
      <c r="LE60">
        <v>110</v>
      </c>
      <c r="LJ60" t="s">
        <v>80</v>
      </c>
      <c r="LK60">
        <v>3.254</v>
      </c>
      <c r="LL60">
        <v>0.34899999999999998</v>
      </c>
      <c r="LM60">
        <v>2.5760000000000001</v>
      </c>
      <c r="LN60">
        <v>3.016</v>
      </c>
      <c r="LO60">
        <v>3.2570000000000001</v>
      </c>
      <c r="LP60">
        <v>3.4910000000000001</v>
      </c>
      <c r="LQ60">
        <v>3.919</v>
      </c>
      <c r="LR60">
        <v>1.004</v>
      </c>
      <c r="LS60">
        <v>530</v>
      </c>
      <c r="LX60" t="s">
        <v>80</v>
      </c>
      <c r="LY60">
        <v>4.2249999999999996</v>
      </c>
      <c r="LZ60">
        <v>0.57199999999999995</v>
      </c>
      <c r="MA60">
        <v>3.05</v>
      </c>
      <c r="MB60">
        <v>3.859</v>
      </c>
      <c r="MC60">
        <v>4.2370000000000001</v>
      </c>
      <c r="MD60">
        <v>4.6269999999999998</v>
      </c>
      <c r="ME60">
        <v>5.3</v>
      </c>
      <c r="MF60">
        <v>1.03</v>
      </c>
      <c r="MG60">
        <v>140</v>
      </c>
      <c r="ML60" t="s">
        <v>80</v>
      </c>
      <c r="MM60">
        <v>3.581</v>
      </c>
      <c r="MN60">
        <v>1.0009999999999999</v>
      </c>
      <c r="MO60">
        <v>1.385</v>
      </c>
      <c r="MP60">
        <v>2.9540000000000002</v>
      </c>
      <c r="MQ60">
        <v>3.66</v>
      </c>
      <c r="MR60">
        <v>4.2889999999999997</v>
      </c>
      <c r="MS60">
        <v>5.319</v>
      </c>
      <c r="MT60">
        <v>1.016</v>
      </c>
      <c r="MU60">
        <v>240</v>
      </c>
      <c r="MZ60" t="s">
        <v>80</v>
      </c>
      <c r="NA60">
        <v>3.5449999999999999</v>
      </c>
      <c r="NB60">
        <v>0.80300000000000005</v>
      </c>
      <c r="NC60">
        <v>2.0699999999999998</v>
      </c>
      <c r="ND60">
        <v>2.972</v>
      </c>
      <c r="NE60">
        <v>3.52</v>
      </c>
      <c r="NF60">
        <v>4.0970000000000004</v>
      </c>
      <c r="NG60">
        <v>5.0890000000000004</v>
      </c>
      <c r="NH60">
        <v>1.446</v>
      </c>
      <c r="NI60">
        <v>8</v>
      </c>
      <c r="NM60" t="s">
        <v>80</v>
      </c>
      <c r="NN60">
        <v>2.278</v>
      </c>
      <c r="NO60">
        <v>0.88200000000000001</v>
      </c>
      <c r="NP60">
        <v>0.28100000000000003</v>
      </c>
      <c r="NQ60">
        <v>1.73</v>
      </c>
      <c r="NR60">
        <v>2.3679999999999999</v>
      </c>
      <c r="NS60">
        <v>2.9049999999999998</v>
      </c>
      <c r="NT60">
        <v>3.7650000000000001</v>
      </c>
      <c r="NU60">
        <v>1.032</v>
      </c>
      <c r="NV60">
        <v>78</v>
      </c>
      <c r="NY60" t="s">
        <v>80</v>
      </c>
      <c r="NZ60">
        <v>2.0739999999999998</v>
      </c>
      <c r="OA60">
        <v>1.0309999999999999</v>
      </c>
      <c r="OB60">
        <v>3.3000000000000002E-2</v>
      </c>
      <c r="OC60">
        <v>1.3580000000000001</v>
      </c>
      <c r="OD60">
        <v>2.0920000000000001</v>
      </c>
      <c r="OE60">
        <v>2.7930000000000001</v>
      </c>
      <c r="OF60">
        <v>3.9489999999999998</v>
      </c>
      <c r="OG60">
        <v>1.0449999999999999</v>
      </c>
      <c r="OH60">
        <v>64</v>
      </c>
      <c r="OP60" t="s">
        <v>80</v>
      </c>
      <c r="OQ60">
        <v>2.839</v>
      </c>
      <c r="OR60">
        <v>0.90400000000000003</v>
      </c>
      <c r="OS60">
        <v>0.76500000000000001</v>
      </c>
      <c r="OT60">
        <v>2.2770000000000001</v>
      </c>
      <c r="OU60">
        <v>3.024</v>
      </c>
      <c r="OV60">
        <v>3.5640000000000001</v>
      </c>
      <c r="OW60">
        <v>4.0960000000000001</v>
      </c>
      <c r="OX60">
        <v>1.1839999999999999</v>
      </c>
      <c r="OY60">
        <v>20</v>
      </c>
      <c r="PB60" t="s">
        <v>80</v>
      </c>
      <c r="PC60">
        <v>2.4529999999999998</v>
      </c>
      <c r="PD60">
        <v>0.91300000000000003</v>
      </c>
      <c r="PE60">
        <v>0.496</v>
      </c>
      <c r="PF60">
        <v>1.8859999999999999</v>
      </c>
      <c r="PG60">
        <v>2.516</v>
      </c>
      <c r="PH60">
        <v>3.12</v>
      </c>
      <c r="PI60">
        <v>4.0199999999999996</v>
      </c>
      <c r="PJ60">
        <v>1.0860000000000001</v>
      </c>
      <c r="PK60">
        <v>30</v>
      </c>
      <c r="PN60" t="s">
        <v>80</v>
      </c>
      <c r="PO60">
        <v>3.47</v>
      </c>
      <c r="PP60">
        <v>0.746</v>
      </c>
      <c r="PQ60">
        <v>1.911</v>
      </c>
      <c r="PR60">
        <v>2.9929999999999999</v>
      </c>
      <c r="PS60">
        <v>3.52</v>
      </c>
      <c r="PT60">
        <v>3.9929999999999999</v>
      </c>
      <c r="PU60">
        <v>4.8209999999999997</v>
      </c>
      <c r="PV60">
        <v>1.0549999999999999</v>
      </c>
      <c r="PW60">
        <v>47</v>
      </c>
      <c r="QA60" t="s">
        <v>80</v>
      </c>
      <c r="QB60">
        <v>-1.004</v>
      </c>
      <c r="QC60">
        <v>0.57799999999999996</v>
      </c>
      <c r="QD60">
        <v>-1.9430000000000001</v>
      </c>
      <c r="QE60">
        <v>-1.4550000000000001</v>
      </c>
      <c r="QF60">
        <v>-1.056</v>
      </c>
      <c r="QG60">
        <v>-0.61</v>
      </c>
      <c r="QH60">
        <v>0.26400000000000001</v>
      </c>
      <c r="QI60">
        <v>1.1240000000000001</v>
      </c>
      <c r="QJ60">
        <v>26</v>
      </c>
      <c r="QL60">
        <f t="shared" si="2"/>
        <v>4.4740000000000002</v>
      </c>
    </row>
    <row r="61" spans="1:454">
      <c r="A61" t="s">
        <v>81</v>
      </c>
      <c r="B61">
        <v>7.6749999999999998</v>
      </c>
      <c r="C61">
        <v>1.2629999999999999</v>
      </c>
      <c r="D61">
        <v>5.2190000000000003</v>
      </c>
      <c r="E61">
        <v>6.83</v>
      </c>
      <c r="F61">
        <v>7.6909999999999998</v>
      </c>
      <c r="G61">
        <v>8.5939999999999994</v>
      </c>
      <c r="H61">
        <v>10.045</v>
      </c>
      <c r="I61">
        <v>1.0149999999999999</v>
      </c>
      <c r="J61">
        <v>3000</v>
      </c>
      <c r="O61" t="s">
        <v>81</v>
      </c>
      <c r="P61">
        <v>6.7140000000000004</v>
      </c>
      <c r="Q61">
        <v>0.66900000000000004</v>
      </c>
      <c r="R61">
        <v>4.819</v>
      </c>
      <c r="S61">
        <v>6.452</v>
      </c>
      <c r="T61">
        <v>6.9249999999999998</v>
      </c>
      <c r="U61">
        <v>7.1920000000000002</v>
      </c>
      <c r="V61">
        <v>7.3680000000000003</v>
      </c>
      <c r="W61">
        <v>1.008</v>
      </c>
      <c r="X61">
        <v>3000</v>
      </c>
      <c r="AC61" t="s">
        <v>81</v>
      </c>
      <c r="AD61">
        <v>6.9139999999999997</v>
      </c>
      <c r="AE61">
        <v>0.46400000000000002</v>
      </c>
      <c r="AF61">
        <v>5.7130000000000001</v>
      </c>
      <c r="AG61">
        <v>6.7080000000000002</v>
      </c>
      <c r="AH61">
        <v>7.0670000000000002</v>
      </c>
      <c r="AI61">
        <v>7.2610000000000001</v>
      </c>
      <c r="AJ61">
        <v>7.3760000000000003</v>
      </c>
      <c r="AK61">
        <v>1.0029999999999999</v>
      </c>
      <c r="AL61">
        <v>920</v>
      </c>
      <c r="AQ61" t="s">
        <v>81</v>
      </c>
      <c r="AR61">
        <v>6.923</v>
      </c>
      <c r="AS61">
        <v>0.44400000000000001</v>
      </c>
      <c r="AT61">
        <v>5.7160000000000002</v>
      </c>
      <c r="AU61">
        <v>6.7149999999999999</v>
      </c>
      <c r="AV61">
        <v>7.0629999999999997</v>
      </c>
      <c r="AW61">
        <v>7.2560000000000002</v>
      </c>
      <c r="AX61">
        <v>7.3710000000000004</v>
      </c>
      <c r="AY61">
        <v>1.0049999999999999</v>
      </c>
      <c r="AZ61">
        <v>520</v>
      </c>
      <c r="BE61" t="s">
        <v>81</v>
      </c>
      <c r="BF61">
        <v>7.0359999999999996</v>
      </c>
      <c r="BG61">
        <v>0.34100000000000003</v>
      </c>
      <c r="BH61">
        <v>6.1059999999999999</v>
      </c>
      <c r="BI61">
        <v>6.9039999999999999</v>
      </c>
      <c r="BJ61">
        <v>7.14</v>
      </c>
      <c r="BK61">
        <v>7.2839999999999998</v>
      </c>
      <c r="BL61">
        <v>7.37</v>
      </c>
      <c r="BM61">
        <v>1.0289999999999999</v>
      </c>
      <c r="BN61">
        <v>110</v>
      </c>
      <c r="BS61" t="s">
        <v>81</v>
      </c>
      <c r="BT61">
        <v>6.8630000000000004</v>
      </c>
      <c r="BU61">
        <v>0.47499999999999998</v>
      </c>
      <c r="BV61">
        <v>5.5739999999999998</v>
      </c>
      <c r="BW61">
        <v>6.6689999999999996</v>
      </c>
      <c r="BX61">
        <v>7.0019999999999998</v>
      </c>
      <c r="BY61">
        <v>7.2210000000000001</v>
      </c>
      <c r="BZ61">
        <v>7.367</v>
      </c>
      <c r="CA61">
        <v>1.006</v>
      </c>
      <c r="CB61">
        <v>620</v>
      </c>
      <c r="CG61" t="s">
        <v>81</v>
      </c>
      <c r="CH61">
        <v>7.069</v>
      </c>
      <c r="CI61">
        <v>0.311</v>
      </c>
      <c r="CJ61">
        <v>6.2439999999999998</v>
      </c>
      <c r="CK61">
        <v>6.9409999999999998</v>
      </c>
      <c r="CL61">
        <v>7.1680000000000001</v>
      </c>
      <c r="CM61">
        <v>7.2930000000000001</v>
      </c>
      <c r="CN61">
        <v>7.3710000000000004</v>
      </c>
      <c r="CO61">
        <v>1.0049999999999999</v>
      </c>
      <c r="CP61">
        <v>610</v>
      </c>
      <c r="CU61" t="s">
        <v>81</v>
      </c>
      <c r="CV61">
        <v>7.1520000000000001</v>
      </c>
      <c r="CW61">
        <v>0.29099999999999998</v>
      </c>
      <c r="CX61">
        <v>6.3120000000000003</v>
      </c>
      <c r="CY61">
        <v>7.0670000000000002</v>
      </c>
      <c r="CZ61">
        <v>7.258</v>
      </c>
      <c r="DA61">
        <v>7.351</v>
      </c>
      <c r="DB61">
        <v>7.38</v>
      </c>
      <c r="DC61">
        <v>1.0049999999999999</v>
      </c>
      <c r="DD61">
        <v>440</v>
      </c>
      <c r="DI61" t="s">
        <v>81</v>
      </c>
      <c r="DJ61">
        <v>6.9480000000000004</v>
      </c>
      <c r="DK61">
        <v>0.44500000000000001</v>
      </c>
      <c r="DL61">
        <v>5.7160000000000002</v>
      </c>
      <c r="DM61">
        <v>6.7610000000000001</v>
      </c>
      <c r="DN61">
        <v>7.0960000000000001</v>
      </c>
      <c r="DO61">
        <v>7.2709999999999999</v>
      </c>
      <c r="DP61">
        <v>7.3730000000000002</v>
      </c>
      <c r="DQ61">
        <v>1.0049999999999999</v>
      </c>
      <c r="DR61">
        <v>1500</v>
      </c>
      <c r="DY61" t="s">
        <v>81</v>
      </c>
      <c r="DZ61">
        <v>6.992</v>
      </c>
      <c r="EA61">
        <v>0.39</v>
      </c>
      <c r="EB61">
        <v>5.9550000000000001</v>
      </c>
      <c r="EC61">
        <v>6.8239999999999998</v>
      </c>
      <c r="ED61">
        <v>7.1189999999999998</v>
      </c>
      <c r="EE61">
        <v>7.2779999999999996</v>
      </c>
      <c r="EF61">
        <v>7.3730000000000002</v>
      </c>
      <c r="EG61">
        <v>1.0029999999999999</v>
      </c>
      <c r="EH61">
        <v>770</v>
      </c>
      <c r="EK61" t="s">
        <v>81</v>
      </c>
      <c r="EL61">
        <v>6.7590000000000003</v>
      </c>
      <c r="EM61">
        <v>0.55400000000000005</v>
      </c>
      <c r="EN61">
        <v>5.3929999999999998</v>
      </c>
      <c r="EO61">
        <v>6.4749999999999996</v>
      </c>
      <c r="EP61">
        <v>6.9109999999999996</v>
      </c>
      <c r="EQ61">
        <v>7.1890000000000001</v>
      </c>
      <c r="ER61">
        <v>7.3650000000000002</v>
      </c>
      <c r="ES61">
        <v>1</v>
      </c>
      <c r="ET61">
        <v>1500</v>
      </c>
      <c r="EY61" t="s">
        <v>81</v>
      </c>
      <c r="EZ61">
        <v>6.8239999999999998</v>
      </c>
      <c r="FA61">
        <v>0.51500000000000001</v>
      </c>
      <c r="FB61">
        <v>5.4470000000000001</v>
      </c>
      <c r="FC61">
        <v>6.5869999999999997</v>
      </c>
      <c r="FD61">
        <v>6.9729999999999999</v>
      </c>
      <c r="FE61">
        <v>7.2130000000000001</v>
      </c>
      <c r="FF61">
        <v>7.3630000000000004</v>
      </c>
      <c r="FG61">
        <v>1.0009999999999999</v>
      </c>
      <c r="FH61">
        <v>3000</v>
      </c>
      <c r="GA61" t="s">
        <v>81</v>
      </c>
      <c r="GB61">
        <v>5.9660000000000002</v>
      </c>
      <c r="GC61">
        <v>0.68100000000000005</v>
      </c>
      <c r="GD61">
        <v>4.5679999999999996</v>
      </c>
      <c r="GE61">
        <v>5.5030000000000001</v>
      </c>
      <c r="GF61">
        <v>5.9749999999999996</v>
      </c>
      <c r="GG61">
        <v>6.4710000000000001</v>
      </c>
      <c r="GH61">
        <v>7.1879999999999997</v>
      </c>
      <c r="GI61">
        <v>1.0049999999999999</v>
      </c>
      <c r="GJ61">
        <v>430</v>
      </c>
      <c r="GO61" t="s">
        <v>81</v>
      </c>
      <c r="GP61">
        <v>6.8019999999999996</v>
      </c>
      <c r="GQ61">
        <v>0.54300000000000004</v>
      </c>
      <c r="GR61">
        <v>5.3730000000000002</v>
      </c>
      <c r="GS61">
        <v>6.5469999999999997</v>
      </c>
      <c r="GT61">
        <v>6.9710000000000001</v>
      </c>
      <c r="GU61">
        <v>7.2140000000000004</v>
      </c>
      <c r="GV61">
        <v>7.3620000000000001</v>
      </c>
      <c r="GW61">
        <v>1.002</v>
      </c>
      <c r="GX61">
        <v>1600</v>
      </c>
      <c r="HC61" t="s">
        <v>81</v>
      </c>
      <c r="HD61">
        <v>6.8239999999999998</v>
      </c>
      <c r="HE61">
        <v>0.503</v>
      </c>
      <c r="HF61">
        <v>5.5359999999999996</v>
      </c>
      <c r="HG61">
        <v>6.5890000000000004</v>
      </c>
      <c r="HH61">
        <v>6.9530000000000003</v>
      </c>
      <c r="HI61">
        <v>7.21</v>
      </c>
      <c r="HJ61">
        <v>7.3659999999999997</v>
      </c>
      <c r="HK61">
        <v>1.0049999999999999</v>
      </c>
      <c r="HL61">
        <v>950</v>
      </c>
      <c r="HP61" s="7"/>
      <c r="HQ61" s="7" t="s">
        <v>81</v>
      </c>
      <c r="HR61" s="7">
        <v>6.8460000000000001</v>
      </c>
      <c r="HS61" s="7">
        <v>0.48499999999999999</v>
      </c>
      <c r="HT61" s="7">
        <v>5.5350000000000001</v>
      </c>
      <c r="HU61" s="7">
        <v>6.62</v>
      </c>
      <c r="HV61" s="7">
        <v>6.9859999999999998</v>
      </c>
      <c r="HW61" s="7">
        <v>7.2119999999999997</v>
      </c>
      <c r="HX61" s="7">
        <v>7.367</v>
      </c>
      <c r="HY61" s="7">
        <v>1.0009999999999999</v>
      </c>
      <c r="HZ61" s="7">
        <v>3000</v>
      </c>
      <c r="IA61" s="7"/>
      <c r="IE61" t="s">
        <v>81</v>
      </c>
      <c r="IF61">
        <v>6.8739999999999997</v>
      </c>
      <c r="IG61">
        <v>0.45</v>
      </c>
      <c r="IH61">
        <v>5.734</v>
      </c>
      <c r="II61">
        <v>6.6429999999999998</v>
      </c>
      <c r="IJ61">
        <v>6.9939999999999998</v>
      </c>
      <c r="IK61">
        <v>7.226</v>
      </c>
      <c r="IL61">
        <v>7.3650000000000002</v>
      </c>
      <c r="IM61">
        <v>1.0009999999999999</v>
      </c>
      <c r="IN61">
        <v>3000</v>
      </c>
      <c r="IS61" t="s">
        <v>81</v>
      </c>
      <c r="IT61">
        <v>6.8570000000000002</v>
      </c>
      <c r="IU61">
        <v>0.48199999999999998</v>
      </c>
      <c r="IV61">
        <v>5.6079999999999997</v>
      </c>
      <c r="IW61">
        <v>6.6139999999999999</v>
      </c>
      <c r="IX61">
        <v>7.0019999999999998</v>
      </c>
      <c r="IY61">
        <v>7.2279999999999998</v>
      </c>
      <c r="IZ61">
        <v>7.3659999999999997</v>
      </c>
      <c r="JA61">
        <v>1.01</v>
      </c>
      <c r="JB61">
        <v>360</v>
      </c>
      <c r="JF61" t="s">
        <v>81</v>
      </c>
      <c r="JG61">
        <v>6.9020000000000001</v>
      </c>
      <c r="JH61">
        <v>0.439</v>
      </c>
      <c r="JI61">
        <v>5.7560000000000002</v>
      </c>
      <c r="JJ61">
        <v>6.6929999999999996</v>
      </c>
      <c r="JK61">
        <v>7.0289999999999999</v>
      </c>
      <c r="JL61">
        <v>7.2380000000000004</v>
      </c>
      <c r="JM61">
        <v>7.367</v>
      </c>
      <c r="JN61">
        <v>1.0009999999999999</v>
      </c>
      <c r="JO61">
        <v>2700</v>
      </c>
      <c r="JT61" t="s">
        <v>81</v>
      </c>
      <c r="JU61">
        <v>6.8979999999999997</v>
      </c>
      <c r="JV61">
        <v>0.443</v>
      </c>
      <c r="JW61">
        <v>5.69</v>
      </c>
      <c r="JX61">
        <v>6.7060000000000004</v>
      </c>
      <c r="JY61">
        <v>7.0270000000000001</v>
      </c>
      <c r="JZ61">
        <v>7.226</v>
      </c>
      <c r="KA61">
        <v>7.3659999999999997</v>
      </c>
      <c r="KB61">
        <v>1.0009999999999999</v>
      </c>
      <c r="KC61">
        <v>3000</v>
      </c>
      <c r="KH61" t="s">
        <v>81</v>
      </c>
      <c r="KI61">
        <v>6.8879999999999999</v>
      </c>
      <c r="KJ61">
        <v>0.44800000000000001</v>
      </c>
      <c r="KK61">
        <v>5.7549999999999999</v>
      </c>
      <c r="KL61">
        <v>6.649</v>
      </c>
      <c r="KM61">
        <v>7.0270000000000001</v>
      </c>
      <c r="KN61">
        <v>7.2329999999999997</v>
      </c>
      <c r="KO61">
        <v>7.3689999999999998</v>
      </c>
      <c r="KP61">
        <v>1.002</v>
      </c>
      <c r="KQ61">
        <v>1100</v>
      </c>
      <c r="KR61">
        <f t="shared" si="0"/>
        <v>980.43857787744287</v>
      </c>
      <c r="KV61" t="s">
        <v>81</v>
      </c>
      <c r="KW61">
        <v>9.1349999999999998</v>
      </c>
      <c r="KX61">
        <v>0.89700000000000002</v>
      </c>
      <c r="KY61">
        <v>7.3979999999999997</v>
      </c>
      <c r="KZ61">
        <v>8.4979999999999993</v>
      </c>
      <c r="LA61">
        <v>9.1310000000000002</v>
      </c>
      <c r="LB61">
        <v>9.74</v>
      </c>
      <c r="LC61">
        <v>10.856</v>
      </c>
      <c r="LD61">
        <v>1.008</v>
      </c>
      <c r="LE61">
        <v>260</v>
      </c>
      <c r="LJ61" t="s">
        <v>81</v>
      </c>
      <c r="LK61">
        <v>5.8630000000000004</v>
      </c>
      <c r="LL61">
        <v>0.39900000000000002</v>
      </c>
      <c r="LM61">
        <v>5.0730000000000004</v>
      </c>
      <c r="LN61">
        <v>5.593</v>
      </c>
      <c r="LO61">
        <v>5.8639999999999999</v>
      </c>
      <c r="LP61">
        <v>6.13</v>
      </c>
      <c r="LQ61">
        <v>6.6529999999999996</v>
      </c>
      <c r="LR61">
        <v>1.0229999999999999</v>
      </c>
      <c r="LS61">
        <v>92</v>
      </c>
      <c r="LX61" t="s">
        <v>81</v>
      </c>
      <c r="LY61">
        <v>9.4250000000000007</v>
      </c>
      <c r="LZ61">
        <v>1.1140000000000001</v>
      </c>
      <c r="MA61">
        <v>7.3479999999999999</v>
      </c>
      <c r="MB61">
        <v>8.6379999999999999</v>
      </c>
      <c r="MC61">
        <v>9.4079999999999995</v>
      </c>
      <c r="MD61">
        <v>10.163</v>
      </c>
      <c r="ME61">
        <v>11.634</v>
      </c>
      <c r="MF61">
        <v>1.2110000000000001</v>
      </c>
      <c r="MG61">
        <v>14</v>
      </c>
      <c r="ML61" t="s">
        <v>81</v>
      </c>
      <c r="MM61">
        <v>7.6660000000000004</v>
      </c>
      <c r="MN61">
        <v>1.2210000000000001</v>
      </c>
      <c r="MO61">
        <v>5.1760000000000002</v>
      </c>
      <c r="MP61">
        <v>6.8620000000000001</v>
      </c>
      <c r="MQ61">
        <v>7.6859999999999999</v>
      </c>
      <c r="MR61">
        <v>8.5090000000000003</v>
      </c>
      <c r="MS61">
        <v>9.9649999999999999</v>
      </c>
      <c r="MT61">
        <v>1.0089999999999999</v>
      </c>
      <c r="MU61">
        <v>380</v>
      </c>
      <c r="MZ61" t="s">
        <v>81</v>
      </c>
      <c r="NA61">
        <v>7.5579999999999998</v>
      </c>
      <c r="NB61">
        <v>1.0529999999999999</v>
      </c>
      <c r="NC61">
        <v>5.6289999999999996</v>
      </c>
      <c r="ND61">
        <v>6.7779999999999996</v>
      </c>
      <c r="NE61">
        <v>7.5190000000000001</v>
      </c>
      <c r="NF61">
        <v>8.3140000000000001</v>
      </c>
      <c r="NG61">
        <v>9.577</v>
      </c>
      <c r="NH61">
        <v>1.496</v>
      </c>
      <c r="NI61">
        <v>8</v>
      </c>
      <c r="NM61" t="s">
        <v>81</v>
      </c>
      <c r="NN61">
        <v>8.3480000000000008</v>
      </c>
      <c r="NO61">
        <v>1.3280000000000001</v>
      </c>
      <c r="NP61">
        <v>5.782</v>
      </c>
      <c r="NQ61">
        <v>7.4359999999999999</v>
      </c>
      <c r="NR61">
        <v>8.2850000000000001</v>
      </c>
      <c r="NS61">
        <v>9.2530000000000001</v>
      </c>
      <c r="NT61">
        <v>10.885999999999999</v>
      </c>
      <c r="NU61">
        <v>1.0289999999999999</v>
      </c>
      <c r="NV61">
        <v>110</v>
      </c>
      <c r="NY61" t="s">
        <v>81</v>
      </c>
      <c r="NZ61">
        <v>10.069000000000001</v>
      </c>
      <c r="OA61">
        <v>1.589</v>
      </c>
      <c r="OB61">
        <v>6.8810000000000002</v>
      </c>
      <c r="OC61">
        <v>8.9369999999999994</v>
      </c>
      <c r="OD61">
        <v>10.157</v>
      </c>
      <c r="OE61">
        <v>11.231</v>
      </c>
      <c r="OF61">
        <v>12.965999999999999</v>
      </c>
      <c r="OG61">
        <v>1.0669999999999999</v>
      </c>
      <c r="OH61">
        <v>38</v>
      </c>
      <c r="OP61" t="s">
        <v>81</v>
      </c>
      <c r="OQ61">
        <v>10.334</v>
      </c>
      <c r="OR61">
        <v>1.085</v>
      </c>
      <c r="OS61">
        <v>7.9119999999999999</v>
      </c>
      <c r="OT61">
        <v>9.5980000000000008</v>
      </c>
      <c r="OU61">
        <v>10.475</v>
      </c>
      <c r="OV61">
        <v>11.145</v>
      </c>
      <c r="OW61">
        <v>12.109</v>
      </c>
      <c r="OX61">
        <v>1.071</v>
      </c>
      <c r="OY61">
        <v>50</v>
      </c>
      <c r="PB61" t="s">
        <v>81</v>
      </c>
      <c r="PC61">
        <v>5.2880000000000003</v>
      </c>
      <c r="PD61">
        <v>0.88300000000000001</v>
      </c>
      <c r="PE61">
        <v>3.3839999999999999</v>
      </c>
      <c r="PF61">
        <v>4.7300000000000004</v>
      </c>
      <c r="PG61">
        <v>5.3620000000000001</v>
      </c>
      <c r="PH61">
        <v>5.915</v>
      </c>
      <c r="PI61">
        <v>6.82</v>
      </c>
      <c r="PJ61">
        <v>1.0720000000000001</v>
      </c>
      <c r="PK61">
        <v>38</v>
      </c>
      <c r="PN61" t="s">
        <v>81</v>
      </c>
      <c r="PO61">
        <v>5.0309999999999997</v>
      </c>
      <c r="PP61">
        <v>0.78300000000000003</v>
      </c>
      <c r="PQ61">
        <v>3.4630000000000001</v>
      </c>
      <c r="PR61">
        <v>4.5039999999999996</v>
      </c>
      <c r="PS61">
        <v>5.0679999999999996</v>
      </c>
      <c r="PT61">
        <v>5.5789999999999997</v>
      </c>
      <c r="PU61">
        <v>6.4930000000000003</v>
      </c>
      <c r="PV61">
        <v>1.0529999999999999</v>
      </c>
      <c r="PW61">
        <v>46</v>
      </c>
      <c r="QA61" t="s">
        <v>81</v>
      </c>
      <c r="QB61">
        <v>4.2050000000000001</v>
      </c>
      <c r="QC61">
        <v>0.40899999999999997</v>
      </c>
      <c r="QD61">
        <v>3.41</v>
      </c>
      <c r="QE61">
        <v>3.9119999999999999</v>
      </c>
      <c r="QF61">
        <v>4.2290000000000001</v>
      </c>
      <c r="QG61">
        <v>4.4859999999999998</v>
      </c>
      <c r="QH61">
        <v>4.9989999999999997</v>
      </c>
      <c r="QI61">
        <v>1.014</v>
      </c>
      <c r="QJ61">
        <v>360</v>
      </c>
      <c r="QL61">
        <f t="shared" si="2"/>
        <v>0.82599999999999962</v>
      </c>
    </row>
    <row r="62" spans="1:454">
      <c r="A62" t="s">
        <v>82</v>
      </c>
      <c r="B62">
        <v>4.6539999999999999</v>
      </c>
      <c r="C62">
        <v>0.95</v>
      </c>
      <c r="D62">
        <v>2.605</v>
      </c>
      <c r="E62">
        <v>4.0949999999999998</v>
      </c>
      <c r="F62">
        <v>4.6890000000000001</v>
      </c>
      <c r="G62">
        <v>5.2859999999999996</v>
      </c>
      <c r="H62">
        <v>6.4210000000000003</v>
      </c>
      <c r="I62">
        <v>1.052</v>
      </c>
      <c r="J62">
        <v>71</v>
      </c>
      <c r="O62" t="s">
        <v>82</v>
      </c>
      <c r="P62">
        <v>5.1779999999999999</v>
      </c>
      <c r="Q62">
        <v>1.1419999999999999</v>
      </c>
      <c r="R62">
        <v>2.8069999999999999</v>
      </c>
      <c r="S62">
        <v>4.4119999999999999</v>
      </c>
      <c r="T62">
        <v>5.23</v>
      </c>
      <c r="U62">
        <v>6.0389999999999997</v>
      </c>
      <c r="V62">
        <v>7.1870000000000003</v>
      </c>
      <c r="W62">
        <v>1.0009999999999999</v>
      </c>
      <c r="X62">
        <v>3000</v>
      </c>
      <c r="AC62" t="s">
        <v>82</v>
      </c>
      <c r="AD62">
        <v>5.5810000000000004</v>
      </c>
      <c r="AE62">
        <v>0.71699999999999997</v>
      </c>
      <c r="AF62">
        <v>4.1989999999999998</v>
      </c>
      <c r="AG62">
        <v>5.0869999999999997</v>
      </c>
      <c r="AH62">
        <v>5.569</v>
      </c>
      <c r="AI62">
        <v>6.0869999999999997</v>
      </c>
      <c r="AJ62">
        <v>6.9740000000000002</v>
      </c>
      <c r="AK62">
        <v>1.0029999999999999</v>
      </c>
      <c r="AL62">
        <v>750</v>
      </c>
      <c r="AQ62" t="s">
        <v>82</v>
      </c>
      <c r="AR62">
        <v>5.6369999999999996</v>
      </c>
      <c r="AS62">
        <v>0.71599999999999997</v>
      </c>
      <c r="AT62">
        <v>4.2590000000000003</v>
      </c>
      <c r="AU62">
        <v>5.14</v>
      </c>
      <c r="AV62">
        <v>5.6120000000000001</v>
      </c>
      <c r="AW62">
        <v>6.1429999999999998</v>
      </c>
      <c r="AX62">
        <v>7.06</v>
      </c>
      <c r="AY62">
        <v>1.0109999999999999</v>
      </c>
      <c r="AZ62">
        <v>190</v>
      </c>
      <c r="BE62" t="s">
        <v>82</v>
      </c>
      <c r="BF62">
        <v>6.2050000000000001</v>
      </c>
      <c r="BG62">
        <v>0.63300000000000001</v>
      </c>
      <c r="BH62">
        <v>4.867</v>
      </c>
      <c r="BI62">
        <v>5.7770000000000001</v>
      </c>
      <c r="BJ62">
        <v>6.2409999999999997</v>
      </c>
      <c r="BK62">
        <v>6.6849999999999996</v>
      </c>
      <c r="BL62">
        <v>7.2880000000000003</v>
      </c>
      <c r="BM62">
        <v>1.002</v>
      </c>
      <c r="BN62">
        <v>1700</v>
      </c>
      <c r="BS62" t="s">
        <v>82</v>
      </c>
      <c r="BT62">
        <v>5.681</v>
      </c>
      <c r="BU62">
        <v>0.73799999999999999</v>
      </c>
      <c r="BV62">
        <v>4.2089999999999996</v>
      </c>
      <c r="BW62">
        <v>5.1749999999999998</v>
      </c>
      <c r="BX62">
        <v>5.6820000000000004</v>
      </c>
      <c r="BY62">
        <v>6.1890000000000001</v>
      </c>
      <c r="BZ62">
        <v>7.09</v>
      </c>
      <c r="CA62">
        <v>1.016</v>
      </c>
      <c r="CB62">
        <v>150</v>
      </c>
      <c r="CG62" t="s">
        <v>82</v>
      </c>
      <c r="CH62">
        <v>6.2460000000000004</v>
      </c>
      <c r="CI62">
        <v>0.61199999999999999</v>
      </c>
      <c r="CJ62">
        <v>4.9669999999999996</v>
      </c>
      <c r="CK62">
        <v>5.8440000000000003</v>
      </c>
      <c r="CL62">
        <v>6.2770000000000001</v>
      </c>
      <c r="CM62">
        <v>6.7009999999999996</v>
      </c>
      <c r="CN62">
        <v>7.28</v>
      </c>
      <c r="CO62">
        <v>1.0029999999999999</v>
      </c>
      <c r="CP62">
        <v>990</v>
      </c>
      <c r="CU62" t="s">
        <v>82</v>
      </c>
      <c r="CV62">
        <v>5.8410000000000002</v>
      </c>
      <c r="CW62">
        <v>0.63800000000000001</v>
      </c>
      <c r="CX62">
        <v>4.577</v>
      </c>
      <c r="CY62">
        <v>5.4279999999999999</v>
      </c>
      <c r="CZ62">
        <v>5.835</v>
      </c>
      <c r="DA62">
        <v>6.2560000000000002</v>
      </c>
      <c r="DB62">
        <v>7.1180000000000003</v>
      </c>
      <c r="DC62">
        <v>1.0049999999999999</v>
      </c>
      <c r="DD62">
        <v>430</v>
      </c>
      <c r="DI62" t="s">
        <v>82</v>
      </c>
      <c r="DJ62">
        <v>5.61</v>
      </c>
      <c r="DK62">
        <v>0.71599999999999997</v>
      </c>
      <c r="DL62">
        <v>4.2290000000000001</v>
      </c>
      <c r="DM62">
        <v>5.1269999999999998</v>
      </c>
      <c r="DN62">
        <v>5.5949999999999998</v>
      </c>
      <c r="DO62">
        <v>6.0880000000000001</v>
      </c>
      <c r="DP62">
        <v>7.0510000000000002</v>
      </c>
      <c r="DQ62">
        <v>1.0009999999999999</v>
      </c>
      <c r="DR62">
        <v>3000</v>
      </c>
      <c r="DY62" t="s">
        <v>82</v>
      </c>
      <c r="DZ62">
        <v>5.6779999999999999</v>
      </c>
      <c r="EA62">
        <v>0.72699999999999998</v>
      </c>
      <c r="EB62">
        <v>4.2789999999999999</v>
      </c>
      <c r="EC62">
        <v>5.1749999999999998</v>
      </c>
      <c r="ED62">
        <v>5.649</v>
      </c>
      <c r="EE62">
        <v>6.2069999999999999</v>
      </c>
      <c r="EF62">
        <v>7.0910000000000002</v>
      </c>
      <c r="EG62">
        <v>1.012</v>
      </c>
      <c r="EH62">
        <v>180</v>
      </c>
      <c r="EK62" t="s">
        <v>82</v>
      </c>
      <c r="EL62">
        <v>5.6749999999999998</v>
      </c>
      <c r="EM62">
        <v>0.73599999999999999</v>
      </c>
      <c r="EN62">
        <v>4.2850000000000001</v>
      </c>
      <c r="EO62">
        <v>5.1619999999999999</v>
      </c>
      <c r="EP62">
        <v>5.665</v>
      </c>
      <c r="EQ62">
        <v>6.2</v>
      </c>
      <c r="ER62">
        <v>7.0940000000000003</v>
      </c>
      <c r="ES62">
        <v>1.0049999999999999</v>
      </c>
      <c r="ET62">
        <v>390</v>
      </c>
      <c r="EY62" t="s">
        <v>82</v>
      </c>
      <c r="EZ62">
        <v>5.6040000000000001</v>
      </c>
      <c r="FA62">
        <v>0.79300000000000004</v>
      </c>
      <c r="FB62">
        <v>4.024</v>
      </c>
      <c r="FC62">
        <v>5.0629999999999997</v>
      </c>
      <c r="FD62">
        <v>5.6159999999999997</v>
      </c>
      <c r="FE62">
        <v>6.1580000000000004</v>
      </c>
      <c r="FF62">
        <v>7.117</v>
      </c>
      <c r="FG62">
        <v>1.002</v>
      </c>
      <c r="FH62">
        <v>1600</v>
      </c>
      <c r="GA62" t="s">
        <v>82</v>
      </c>
      <c r="GB62">
        <v>5.8680000000000003</v>
      </c>
      <c r="GC62">
        <v>0.68100000000000005</v>
      </c>
      <c r="GD62">
        <v>4.508</v>
      </c>
      <c r="GE62">
        <v>5.3920000000000003</v>
      </c>
      <c r="GF62">
        <v>5.89</v>
      </c>
      <c r="GG62">
        <v>6.3520000000000003</v>
      </c>
      <c r="GH62">
        <v>7.1429999999999998</v>
      </c>
      <c r="GI62">
        <v>1.0049999999999999</v>
      </c>
      <c r="GJ62">
        <v>490</v>
      </c>
      <c r="GO62" t="s">
        <v>82</v>
      </c>
      <c r="GP62">
        <v>5.5860000000000003</v>
      </c>
      <c r="GQ62">
        <v>0.79100000000000004</v>
      </c>
      <c r="GR62">
        <v>4.0640000000000001</v>
      </c>
      <c r="GS62">
        <v>5.032</v>
      </c>
      <c r="GT62">
        <v>5.6</v>
      </c>
      <c r="GU62">
        <v>6.149</v>
      </c>
      <c r="GV62">
        <v>7.0750000000000002</v>
      </c>
      <c r="GW62">
        <v>1.0049999999999999</v>
      </c>
      <c r="GX62">
        <v>430</v>
      </c>
      <c r="HC62" t="s">
        <v>82</v>
      </c>
      <c r="HD62">
        <v>5.5579999999999998</v>
      </c>
      <c r="HE62">
        <v>0.78200000000000003</v>
      </c>
      <c r="HF62">
        <v>4.0659999999999998</v>
      </c>
      <c r="HG62">
        <v>5.0119999999999996</v>
      </c>
      <c r="HH62">
        <v>5.5449999999999999</v>
      </c>
      <c r="HI62">
        <v>6.1109999999999998</v>
      </c>
      <c r="HJ62">
        <v>7.0910000000000002</v>
      </c>
      <c r="HK62">
        <v>1.0069999999999999</v>
      </c>
      <c r="HL62">
        <v>300</v>
      </c>
      <c r="HP62" s="7"/>
      <c r="HQ62" s="7" t="s">
        <v>82</v>
      </c>
      <c r="HR62" s="7">
        <v>5.6859999999999999</v>
      </c>
      <c r="HS62" s="7">
        <v>0.73199999999999998</v>
      </c>
      <c r="HT62" s="7">
        <v>4.2240000000000002</v>
      </c>
      <c r="HU62" s="7">
        <v>5.1879999999999997</v>
      </c>
      <c r="HV62" s="7">
        <v>5.6959999999999997</v>
      </c>
      <c r="HW62" s="7">
        <v>6.1959999999999997</v>
      </c>
      <c r="HX62" s="7">
        <v>7.0709999999999997</v>
      </c>
      <c r="HY62" s="7">
        <v>1.0009999999999999</v>
      </c>
      <c r="HZ62" s="7">
        <v>3000</v>
      </c>
      <c r="IA62" s="7"/>
      <c r="IE62" t="s">
        <v>82</v>
      </c>
      <c r="IF62">
        <v>5.8819999999999997</v>
      </c>
      <c r="IG62">
        <v>0.66600000000000004</v>
      </c>
      <c r="IH62">
        <v>4.5890000000000004</v>
      </c>
      <c r="II62">
        <v>5.4189999999999996</v>
      </c>
      <c r="IJ62">
        <v>5.8739999999999997</v>
      </c>
      <c r="IK62">
        <v>6.3559999999999999</v>
      </c>
      <c r="IL62">
        <v>7.1449999999999996</v>
      </c>
      <c r="IM62">
        <v>1.008</v>
      </c>
      <c r="IN62">
        <v>280</v>
      </c>
      <c r="IS62" t="s">
        <v>82</v>
      </c>
      <c r="IT62">
        <v>5.7859999999999996</v>
      </c>
      <c r="IU62">
        <v>0.68799999999999994</v>
      </c>
      <c r="IV62">
        <v>4.4660000000000002</v>
      </c>
      <c r="IW62">
        <v>5.3029999999999999</v>
      </c>
      <c r="IX62">
        <v>5.78</v>
      </c>
      <c r="IY62">
        <v>6.2610000000000001</v>
      </c>
      <c r="IZ62">
        <v>7.1319999999999997</v>
      </c>
      <c r="JA62">
        <v>1.03</v>
      </c>
      <c r="JB62">
        <v>72</v>
      </c>
      <c r="JF62" t="s">
        <v>82</v>
      </c>
      <c r="JG62">
        <v>5.9240000000000004</v>
      </c>
      <c r="JH62">
        <v>0.67200000000000004</v>
      </c>
      <c r="JI62">
        <v>4.6070000000000002</v>
      </c>
      <c r="JJ62">
        <v>5.4210000000000003</v>
      </c>
      <c r="JK62">
        <v>5.93</v>
      </c>
      <c r="JL62">
        <v>6.4169999999999998</v>
      </c>
      <c r="JM62">
        <v>7.1890000000000001</v>
      </c>
      <c r="JN62">
        <v>1.002</v>
      </c>
      <c r="JO62">
        <v>1600</v>
      </c>
      <c r="JT62" t="s">
        <v>82</v>
      </c>
      <c r="JU62">
        <v>5.9409999999999998</v>
      </c>
      <c r="JV62">
        <v>0.68700000000000006</v>
      </c>
      <c r="JW62">
        <v>4.58</v>
      </c>
      <c r="JX62">
        <v>5.4539999999999997</v>
      </c>
      <c r="JY62">
        <v>5.9539999999999997</v>
      </c>
      <c r="JZ62">
        <v>6.4349999999999996</v>
      </c>
      <c r="KA62">
        <v>7.1929999999999996</v>
      </c>
      <c r="KB62">
        <v>1.0009999999999999</v>
      </c>
      <c r="KC62">
        <v>3000</v>
      </c>
      <c r="KH62" t="s">
        <v>82</v>
      </c>
      <c r="KI62">
        <v>5.952</v>
      </c>
      <c r="KJ62">
        <v>0.69199999999999995</v>
      </c>
      <c r="KK62">
        <v>4.57</v>
      </c>
      <c r="KL62">
        <v>5.48</v>
      </c>
      <c r="KM62">
        <v>5.9550000000000001</v>
      </c>
      <c r="KN62">
        <v>6.4489999999999998</v>
      </c>
      <c r="KO62">
        <v>7.2119999999999997</v>
      </c>
      <c r="KP62">
        <v>1.0009999999999999</v>
      </c>
      <c r="KQ62">
        <v>3000</v>
      </c>
      <c r="KR62">
        <f t="shared" si="0"/>
        <v>384.52161375783919</v>
      </c>
      <c r="KV62" t="s">
        <v>82</v>
      </c>
      <c r="KW62">
        <v>5.6909999999999998</v>
      </c>
      <c r="KX62">
        <v>0.48</v>
      </c>
      <c r="KY62">
        <v>4.7729999999999997</v>
      </c>
      <c r="KZ62">
        <v>5.3419999999999996</v>
      </c>
      <c r="LA62">
        <v>5.7</v>
      </c>
      <c r="LB62">
        <v>6.05</v>
      </c>
      <c r="LC62">
        <v>6.5529999999999999</v>
      </c>
      <c r="LD62">
        <v>1.0209999999999999</v>
      </c>
      <c r="LE62">
        <v>99</v>
      </c>
      <c r="LJ62" t="s">
        <v>82</v>
      </c>
      <c r="LK62">
        <v>3.9060000000000001</v>
      </c>
      <c r="LL62">
        <v>0.28999999999999998</v>
      </c>
      <c r="LM62">
        <v>3.3450000000000002</v>
      </c>
      <c r="LN62">
        <v>3.714</v>
      </c>
      <c r="LO62">
        <v>3.907</v>
      </c>
      <c r="LP62">
        <v>4.101</v>
      </c>
      <c r="LQ62">
        <v>4.4850000000000003</v>
      </c>
      <c r="LR62">
        <v>1.012</v>
      </c>
      <c r="LS62">
        <v>180</v>
      </c>
      <c r="LX62" t="s">
        <v>82</v>
      </c>
      <c r="LY62">
        <v>5.5250000000000004</v>
      </c>
      <c r="LZ62">
        <v>0.48399999999999999</v>
      </c>
      <c r="MA62">
        <v>4.5789999999999997</v>
      </c>
      <c r="MB62">
        <v>5.1929999999999996</v>
      </c>
      <c r="MC62">
        <v>5.54</v>
      </c>
      <c r="MD62">
        <v>5.8760000000000003</v>
      </c>
      <c r="ME62">
        <v>6.4109999999999996</v>
      </c>
      <c r="MF62">
        <v>1.056</v>
      </c>
      <c r="MG62">
        <v>41</v>
      </c>
      <c r="ML62" t="s">
        <v>82</v>
      </c>
      <c r="MM62">
        <v>4.6020000000000003</v>
      </c>
      <c r="MN62">
        <v>0.997</v>
      </c>
      <c r="MO62">
        <v>2.42</v>
      </c>
      <c r="MP62">
        <v>3.972</v>
      </c>
      <c r="MQ62">
        <v>4.6760000000000002</v>
      </c>
      <c r="MR62">
        <v>5.3090000000000002</v>
      </c>
      <c r="MS62">
        <v>6.3390000000000004</v>
      </c>
      <c r="MT62">
        <v>1.0169999999999999</v>
      </c>
      <c r="MU62">
        <v>340</v>
      </c>
      <c r="MZ62" t="s">
        <v>82</v>
      </c>
      <c r="NA62">
        <v>4.548</v>
      </c>
      <c r="NB62">
        <v>0.79400000000000004</v>
      </c>
      <c r="NC62">
        <v>3.1</v>
      </c>
      <c r="ND62">
        <v>3.952</v>
      </c>
      <c r="NE62">
        <v>4.5060000000000002</v>
      </c>
      <c r="NF62">
        <v>5.1420000000000003</v>
      </c>
      <c r="NG62">
        <v>6.0449999999999999</v>
      </c>
      <c r="NH62">
        <v>1.589</v>
      </c>
      <c r="NI62">
        <v>7</v>
      </c>
      <c r="NM62" t="s">
        <v>82</v>
      </c>
      <c r="NN62">
        <v>3.7959999999999998</v>
      </c>
      <c r="NO62">
        <v>0.91100000000000003</v>
      </c>
      <c r="NP62">
        <v>1.784</v>
      </c>
      <c r="NQ62">
        <v>3.2109999999999999</v>
      </c>
      <c r="NR62">
        <v>3.8559999999999999</v>
      </c>
      <c r="NS62">
        <v>4.45</v>
      </c>
      <c r="NT62">
        <v>5.4050000000000002</v>
      </c>
      <c r="NU62">
        <v>1.0289999999999999</v>
      </c>
      <c r="NV62">
        <v>190</v>
      </c>
      <c r="NY62" t="s">
        <v>82</v>
      </c>
      <c r="NZ62">
        <v>4.0730000000000004</v>
      </c>
      <c r="OA62">
        <v>1.006</v>
      </c>
      <c r="OB62">
        <v>2.073</v>
      </c>
      <c r="OC62">
        <v>3.4</v>
      </c>
      <c r="OD62">
        <v>4.0650000000000004</v>
      </c>
      <c r="OE62">
        <v>4.7859999999999996</v>
      </c>
      <c r="OF62">
        <v>5.9139999999999997</v>
      </c>
      <c r="OG62">
        <v>1.016</v>
      </c>
      <c r="OH62">
        <v>330</v>
      </c>
      <c r="OP62" t="s">
        <v>82</v>
      </c>
      <c r="OQ62">
        <v>4.7130000000000001</v>
      </c>
      <c r="OR62">
        <v>0.9</v>
      </c>
      <c r="OS62">
        <v>2.6349999999999998</v>
      </c>
      <c r="OT62">
        <v>4.1340000000000003</v>
      </c>
      <c r="OU62">
        <v>4.8879999999999999</v>
      </c>
      <c r="OV62">
        <v>5.4130000000000003</v>
      </c>
      <c r="OW62">
        <v>5.9749999999999996</v>
      </c>
      <c r="OX62">
        <v>1.159</v>
      </c>
      <c r="OY62">
        <v>21</v>
      </c>
      <c r="PB62" t="s">
        <v>82</v>
      </c>
      <c r="PC62">
        <v>3.1619999999999999</v>
      </c>
      <c r="PD62">
        <v>0.89200000000000002</v>
      </c>
      <c r="PE62">
        <v>1.244</v>
      </c>
      <c r="PF62">
        <v>2.6059999999999999</v>
      </c>
      <c r="PG62">
        <v>3.238</v>
      </c>
      <c r="PH62">
        <v>3.8109999999999999</v>
      </c>
      <c r="PI62">
        <v>4.6879999999999997</v>
      </c>
      <c r="PJ62">
        <v>1.101</v>
      </c>
      <c r="PK62">
        <v>32</v>
      </c>
      <c r="PN62" t="s">
        <v>82</v>
      </c>
      <c r="PO62">
        <v>3.9289999999999998</v>
      </c>
      <c r="PP62">
        <v>0.748</v>
      </c>
      <c r="PQ62">
        <v>2.3919999999999999</v>
      </c>
      <c r="PR62">
        <v>3.4380000000000002</v>
      </c>
      <c r="PS62">
        <v>3.988</v>
      </c>
      <c r="PT62">
        <v>4.4530000000000003</v>
      </c>
      <c r="PU62">
        <v>5.2930000000000001</v>
      </c>
      <c r="PV62">
        <v>1.056</v>
      </c>
      <c r="PW62">
        <v>45</v>
      </c>
      <c r="QA62" t="s">
        <v>82</v>
      </c>
      <c r="QB62">
        <v>0.52800000000000002</v>
      </c>
      <c r="QC62">
        <v>0.48199999999999998</v>
      </c>
      <c r="QD62">
        <v>-0.22800000000000001</v>
      </c>
      <c r="QE62">
        <v>0.13200000000000001</v>
      </c>
      <c r="QF62">
        <v>0.495</v>
      </c>
      <c r="QG62">
        <v>0.86099999999999999</v>
      </c>
      <c r="QH62">
        <v>1.571</v>
      </c>
      <c r="QI62">
        <v>1.0940000000000001</v>
      </c>
      <c r="QJ62">
        <v>31</v>
      </c>
      <c r="QL62">
        <f t="shared" si="2"/>
        <v>3.4009999999999998</v>
      </c>
    </row>
    <row r="63" spans="1:454">
      <c r="A63" t="s">
        <v>83</v>
      </c>
      <c r="B63">
        <v>5.82</v>
      </c>
      <c r="C63">
        <v>1.0529999999999999</v>
      </c>
      <c r="D63">
        <v>3.617</v>
      </c>
      <c r="E63">
        <v>5.1539999999999999</v>
      </c>
      <c r="F63">
        <v>5.8739999999999997</v>
      </c>
      <c r="G63">
        <v>6.5609999999999999</v>
      </c>
      <c r="H63">
        <v>7.7320000000000002</v>
      </c>
      <c r="I63">
        <v>1.0189999999999999</v>
      </c>
      <c r="J63">
        <v>980</v>
      </c>
      <c r="O63" t="s">
        <v>83</v>
      </c>
      <c r="P63">
        <v>5.3410000000000002</v>
      </c>
      <c r="Q63">
        <v>1.153</v>
      </c>
      <c r="R63">
        <v>3.0219999999999998</v>
      </c>
      <c r="S63">
        <v>4.51</v>
      </c>
      <c r="T63">
        <v>5.3979999999999997</v>
      </c>
      <c r="U63">
        <v>6.25</v>
      </c>
      <c r="V63">
        <v>7.2320000000000002</v>
      </c>
      <c r="W63">
        <v>1.002</v>
      </c>
      <c r="X63">
        <v>1200</v>
      </c>
      <c r="AC63" t="s">
        <v>83</v>
      </c>
      <c r="AD63">
        <v>5.8259999999999996</v>
      </c>
      <c r="AE63">
        <v>0.83199999999999996</v>
      </c>
      <c r="AF63">
        <v>4.1189999999999998</v>
      </c>
      <c r="AG63">
        <v>5.2519999999999998</v>
      </c>
      <c r="AH63">
        <v>5.87</v>
      </c>
      <c r="AI63">
        <v>6.4459999999999997</v>
      </c>
      <c r="AJ63">
        <v>7.2759999999999998</v>
      </c>
      <c r="AK63">
        <v>1.0029999999999999</v>
      </c>
      <c r="AL63">
        <v>790</v>
      </c>
      <c r="AQ63" t="s">
        <v>83</v>
      </c>
      <c r="AR63">
        <v>5.8109999999999999</v>
      </c>
      <c r="AS63">
        <v>0.77500000000000002</v>
      </c>
      <c r="AT63">
        <v>4.3</v>
      </c>
      <c r="AU63">
        <v>5.2610000000000001</v>
      </c>
      <c r="AV63">
        <v>5.8170000000000002</v>
      </c>
      <c r="AW63">
        <v>6.3879999999999999</v>
      </c>
      <c r="AX63">
        <v>7.23</v>
      </c>
      <c r="AY63">
        <v>1.006</v>
      </c>
      <c r="AZ63">
        <v>360</v>
      </c>
      <c r="BE63" t="s">
        <v>83</v>
      </c>
      <c r="BF63">
        <v>6.3780000000000001</v>
      </c>
      <c r="BG63">
        <v>0.63900000000000001</v>
      </c>
      <c r="BH63">
        <v>5.032</v>
      </c>
      <c r="BI63">
        <v>5.9370000000000003</v>
      </c>
      <c r="BJ63">
        <v>6.4429999999999996</v>
      </c>
      <c r="BK63">
        <v>6.8940000000000001</v>
      </c>
      <c r="BL63">
        <v>7.3280000000000003</v>
      </c>
      <c r="BM63">
        <v>1.0189999999999999</v>
      </c>
      <c r="BN63">
        <v>120</v>
      </c>
      <c r="BS63" t="s">
        <v>83</v>
      </c>
      <c r="BT63">
        <v>5.7039999999999997</v>
      </c>
      <c r="BU63">
        <v>0.83099999999999996</v>
      </c>
      <c r="BV63">
        <v>4.0629999999999997</v>
      </c>
      <c r="BW63">
        <v>5.133</v>
      </c>
      <c r="BX63">
        <v>5.7220000000000004</v>
      </c>
      <c r="BY63">
        <v>6.3170000000000002</v>
      </c>
      <c r="BZ63">
        <v>7.2089999999999996</v>
      </c>
      <c r="CA63">
        <v>1.0089999999999999</v>
      </c>
      <c r="CB63">
        <v>290</v>
      </c>
      <c r="CG63" t="s">
        <v>83</v>
      </c>
      <c r="CH63">
        <v>6.4829999999999997</v>
      </c>
      <c r="CI63">
        <v>0.63500000000000001</v>
      </c>
      <c r="CJ63">
        <v>5.0529999999999999</v>
      </c>
      <c r="CK63">
        <v>6.0970000000000004</v>
      </c>
      <c r="CL63">
        <v>6.5890000000000004</v>
      </c>
      <c r="CM63">
        <v>6.9880000000000004</v>
      </c>
      <c r="CN63">
        <v>7.335</v>
      </c>
      <c r="CO63">
        <v>1.0049999999999999</v>
      </c>
      <c r="CP63">
        <v>470</v>
      </c>
      <c r="CU63" t="s">
        <v>83</v>
      </c>
      <c r="CV63">
        <v>6.5789999999999997</v>
      </c>
      <c r="CW63">
        <v>0.71099999999999997</v>
      </c>
      <c r="CX63">
        <v>4.9210000000000003</v>
      </c>
      <c r="CY63">
        <v>6.15</v>
      </c>
      <c r="CZ63">
        <v>6.7590000000000003</v>
      </c>
      <c r="DA63">
        <v>7.1710000000000003</v>
      </c>
      <c r="DB63">
        <v>7.3760000000000003</v>
      </c>
      <c r="DC63">
        <v>1.0049999999999999</v>
      </c>
      <c r="DD63">
        <v>460</v>
      </c>
      <c r="DI63" t="s">
        <v>83</v>
      </c>
      <c r="DJ63">
        <v>5.9039999999999999</v>
      </c>
      <c r="DK63">
        <v>0.82099999999999995</v>
      </c>
      <c r="DL63">
        <v>4.2140000000000004</v>
      </c>
      <c r="DM63">
        <v>5.3419999999999996</v>
      </c>
      <c r="DN63">
        <v>5.9560000000000004</v>
      </c>
      <c r="DO63">
        <v>6.5410000000000004</v>
      </c>
      <c r="DP63">
        <v>7.26</v>
      </c>
      <c r="DQ63">
        <v>1.002</v>
      </c>
      <c r="DR63">
        <v>2300</v>
      </c>
      <c r="DY63" t="s">
        <v>83</v>
      </c>
      <c r="DZ63">
        <v>6.0149999999999997</v>
      </c>
      <c r="EA63">
        <v>0.77900000000000003</v>
      </c>
      <c r="EB63">
        <v>4.3609999999999998</v>
      </c>
      <c r="EC63">
        <v>5.4969999999999999</v>
      </c>
      <c r="ED63">
        <v>6.0659999999999998</v>
      </c>
      <c r="EE63">
        <v>6.617</v>
      </c>
      <c r="EF63">
        <v>7.2830000000000004</v>
      </c>
      <c r="EG63">
        <v>1.006</v>
      </c>
      <c r="EH63">
        <v>370</v>
      </c>
      <c r="EK63" t="s">
        <v>83</v>
      </c>
      <c r="EL63">
        <v>5.5529999999999999</v>
      </c>
      <c r="EM63">
        <v>0.77900000000000003</v>
      </c>
      <c r="EN63">
        <v>4.0060000000000002</v>
      </c>
      <c r="EO63">
        <v>5.0090000000000003</v>
      </c>
      <c r="EP63">
        <v>5.5629999999999997</v>
      </c>
      <c r="EQ63">
        <v>6.0670000000000002</v>
      </c>
      <c r="ER63">
        <v>7.0179999999999998</v>
      </c>
      <c r="ES63">
        <v>1.0029999999999999</v>
      </c>
      <c r="ET63">
        <v>690</v>
      </c>
      <c r="EY63" t="s">
        <v>83</v>
      </c>
      <c r="EZ63">
        <v>5.5330000000000004</v>
      </c>
      <c r="FA63">
        <v>0.89500000000000002</v>
      </c>
      <c r="FB63">
        <v>3.7</v>
      </c>
      <c r="FC63">
        <v>4.92</v>
      </c>
      <c r="FD63">
        <v>5.5519999999999996</v>
      </c>
      <c r="FE63">
        <v>6.2030000000000003</v>
      </c>
      <c r="FF63">
        <v>7.1369999999999996</v>
      </c>
      <c r="FG63">
        <v>1.0009999999999999</v>
      </c>
      <c r="FH63">
        <v>3000</v>
      </c>
      <c r="GA63" t="s">
        <v>83</v>
      </c>
      <c r="GB63">
        <v>5.3689999999999998</v>
      </c>
      <c r="GC63">
        <v>0.67100000000000004</v>
      </c>
      <c r="GD63">
        <v>4.0529999999999999</v>
      </c>
      <c r="GE63">
        <v>4.9160000000000004</v>
      </c>
      <c r="GF63">
        <v>5.3650000000000002</v>
      </c>
      <c r="GG63">
        <v>5.8330000000000002</v>
      </c>
      <c r="GH63">
        <v>6.6660000000000004</v>
      </c>
      <c r="GI63">
        <v>1.0069999999999999</v>
      </c>
      <c r="GJ63">
        <v>320</v>
      </c>
      <c r="GO63" t="s">
        <v>83</v>
      </c>
      <c r="GP63">
        <v>5.6189999999999998</v>
      </c>
      <c r="GQ63">
        <v>0.88100000000000001</v>
      </c>
      <c r="GR63">
        <v>3.8839999999999999</v>
      </c>
      <c r="GS63">
        <v>4.9909999999999997</v>
      </c>
      <c r="GT63">
        <v>5.6340000000000003</v>
      </c>
      <c r="GU63">
        <v>6.2919999999999998</v>
      </c>
      <c r="GV63">
        <v>7.1790000000000003</v>
      </c>
      <c r="GW63">
        <v>1.0049999999999999</v>
      </c>
      <c r="GX63">
        <v>460</v>
      </c>
      <c r="HC63" t="s">
        <v>83</v>
      </c>
      <c r="HD63">
        <v>5.6310000000000002</v>
      </c>
      <c r="HE63">
        <v>0.80600000000000005</v>
      </c>
      <c r="HF63">
        <v>4.0510000000000002</v>
      </c>
      <c r="HG63">
        <v>5.085</v>
      </c>
      <c r="HH63">
        <v>5.6109999999999998</v>
      </c>
      <c r="HI63">
        <v>6.21</v>
      </c>
      <c r="HJ63">
        <v>7.1760000000000002</v>
      </c>
      <c r="HK63">
        <v>1.0149999999999999</v>
      </c>
      <c r="HL63">
        <v>150</v>
      </c>
      <c r="HP63" s="7"/>
      <c r="HQ63" s="7" t="s">
        <v>83</v>
      </c>
      <c r="HR63" s="7">
        <v>5.6680000000000001</v>
      </c>
      <c r="HS63" s="7">
        <v>0.76300000000000001</v>
      </c>
      <c r="HT63" s="7">
        <v>4.2030000000000003</v>
      </c>
      <c r="HU63" s="7">
        <v>5.1369999999999996</v>
      </c>
      <c r="HV63" s="7">
        <v>5.6550000000000002</v>
      </c>
      <c r="HW63" s="7">
        <v>6.22</v>
      </c>
      <c r="HX63" s="7">
        <v>7.1349999999999998</v>
      </c>
      <c r="HY63" s="7">
        <v>1.0049999999999999</v>
      </c>
      <c r="HZ63" s="7">
        <v>480</v>
      </c>
      <c r="IA63" s="7"/>
      <c r="IE63" t="s">
        <v>83</v>
      </c>
      <c r="IF63">
        <v>5.6829999999999998</v>
      </c>
      <c r="IG63">
        <v>0.68500000000000005</v>
      </c>
      <c r="IH63">
        <v>4.3550000000000004</v>
      </c>
      <c r="II63">
        <v>5.2050000000000001</v>
      </c>
      <c r="IJ63">
        <v>5.6630000000000003</v>
      </c>
      <c r="IK63">
        <v>6.1470000000000002</v>
      </c>
      <c r="IL63">
        <v>7.0869999999999997</v>
      </c>
      <c r="IM63">
        <v>1.006</v>
      </c>
      <c r="IN63">
        <v>340</v>
      </c>
      <c r="IS63" t="s">
        <v>83</v>
      </c>
      <c r="IT63">
        <v>5.7130000000000001</v>
      </c>
      <c r="IU63">
        <v>0.73799999999999999</v>
      </c>
      <c r="IV63">
        <v>4.3310000000000004</v>
      </c>
      <c r="IW63">
        <v>5.1779999999999999</v>
      </c>
      <c r="IX63">
        <v>5.702</v>
      </c>
      <c r="IY63">
        <v>6.2489999999999997</v>
      </c>
      <c r="IZ63">
        <v>7.14</v>
      </c>
      <c r="JA63">
        <v>1.0189999999999999</v>
      </c>
      <c r="JB63">
        <v>120</v>
      </c>
      <c r="JF63" t="s">
        <v>83</v>
      </c>
      <c r="JG63">
        <v>5.89</v>
      </c>
      <c r="JH63">
        <v>0.72699999999999998</v>
      </c>
      <c r="JI63">
        <v>4.4279999999999999</v>
      </c>
      <c r="JJ63">
        <v>5.399</v>
      </c>
      <c r="JK63">
        <v>5.8860000000000001</v>
      </c>
      <c r="JL63">
        <v>6.4260000000000002</v>
      </c>
      <c r="JM63">
        <v>7.2210000000000001</v>
      </c>
      <c r="JN63">
        <v>1.0029999999999999</v>
      </c>
      <c r="JO63">
        <v>1100</v>
      </c>
      <c r="JT63" t="s">
        <v>83</v>
      </c>
      <c r="JU63">
        <v>5.8650000000000002</v>
      </c>
      <c r="JV63">
        <v>0.73699999999999999</v>
      </c>
      <c r="JW63">
        <v>4.4249999999999998</v>
      </c>
      <c r="JX63">
        <v>5.3390000000000004</v>
      </c>
      <c r="JY63">
        <v>5.8710000000000004</v>
      </c>
      <c r="JZ63">
        <v>6.399</v>
      </c>
      <c r="KA63">
        <v>7.2130000000000001</v>
      </c>
      <c r="KB63">
        <v>1.004</v>
      </c>
      <c r="KC63">
        <v>560</v>
      </c>
      <c r="KH63" t="s">
        <v>83</v>
      </c>
      <c r="KI63">
        <v>5.8609999999999998</v>
      </c>
      <c r="KJ63">
        <v>0.75800000000000001</v>
      </c>
      <c r="KK63">
        <v>4.3620000000000001</v>
      </c>
      <c r="KL63">
        <v>5.3369999999999997</v>
      </c>
      <c r="KM63">
        <v>5.8529999999999998</v>
      </c>
      <c r="KN63">
        <v>6.4189999999999996</v>
      </c>
      <c r="KO63">
        <v>7.2430000000000003</v>
      </c>
      <c r="KP63">
        <v>1.0009999999999999</v>
      </c>
      <c r="KQ63">
        <v>3000</v>
      </c>
      <c r="KR63">
        <f t="shared" si="0"/>
        <v>351.07504358447392</v>
      </c>
      <c r="KV63" t="s">
        <v>83</v>
      </c>
      <c r="KW63">
        <v>7.25</v>
      </c>
      <c r="KX63">
        <v>0.58499999999999996</v>
      </c>
      <c r="KY63">
        <v>6.0960000000000001</v>
      </c>
      <c r="KZ63">
        <v>6.8339999999999996</v>
      </c>
      <c r="LA63">
        <v>7.2590000000000003</v>
      </c>
      <c r="LB63">
        <v>7.6989999999999998</v>
      </c>
      <c r="LC63">
        <v>8.2799999999999994</v>
      </c>
      <c r="LD63">
        <v>1.014</v>
      </c>
      <c r="LE63">
        <v>150</v>
      </c>
      <c r="LJ63" t="s">
        <v>83</v>
      </c>
      <c r="LK63">
        <v>4.7919999999999998</v>
      </c>
      <c r="LL63">
        <v>0.28799999999999998</v>
      </c>
      <c r="LM63">
        <v>4.2160000000000002</v>
      </c>
      <c r="LN63">
        <v>4.5979999999999999</v>
      </c>
      <c r="LO63">
        <v>4.7919999999999998</v>
      </c>
      <c r="LP63">
        <v>4.9809999999999999</v>
      </c>
      <c r="LQ63">
        <v>5.3680000000000003</v>
      </c>
      <c r="LR63">
        <v>1.024</v>
      </c>
      <c r="LS63">
        <v>89</v>
      </c>
      <c r="LX63" t="s">
        <v>83</v>
      </c>
      <c r="LY63">
        <v>7.2910000000000004</v>
      </c>
      <c r="LZ63">
        <v>0.67100000000000004</v>
      </c>
      <c r="MA63">
        <v>5.952</v>
      </c>
      <c r="MB63">
        <v>6.8129999999999997</v>
      </c>
      <c r="MC63">
        <v>7.3179999999999996</v>
      </c>
      <c r="MD63">
        <v>7.7770000000000001</v>
      </c>
      <c r="ME63">
        <v>8.4890000000000008</v>
      </c>
      <c r="MF63">
        <v>1.1919999999999999</v>
      </c>
      <c r="MG63">
        <v>15</v>
      </c>
      <c r="ML63" t="s">
        <v>83</v>
      </c>
      <c r="MM63">
        <v>5.9889999999999999</v>
      </c>
      <c r="MN63">
        <v>1.06</v>
      </c>
      <c r="MO63">
        <v>3.7170000000000001</v>
      </c>
      <c r="MP63">
        <v>5.3079999999999998</v>
      </c>
      <c r="MQ63">
        <v>6.0410000000000004</v>
      </c>
      <c r="MR63">
        <v>6.7359999999999998</v>
      </c>
      <c r="MS63">
        <v>7.8970000000000002</v>
      </c>
      <c r="MT63">
        <v>1.0129999999999999</v>
      </c>
      <c r="MU63">
        <v>330</v>
      </c>
      <c r="MZ63" t="s">
        <v>83</v>
      </c>
      <c r="NA63">
        <v>5.9109999999999996</v>
      </c>
      <c r="NB63">
        <v>0.86499999999999999</v>
      </c>
      <c r="NC63">
        <v>4.3479999999999999</v>
      </c>
      <c r="ND63">
        <v>5.2450000000000001</v>
      </c>
      <c r="NE63">
        <v>5.8780000000000001</v>
      </c>
      <c r="NF63">
        <v>6.57</v>
      </c>
      <c r="NG63">
        <v>7.5380000000000003</v>
      </c>
      <c r="NH63">
        <v>1.621</v>
      </c>
      <c r="NI63">
        <v>7</v>
      </c>
      <c r="NM63" t="s">
        <v>83</v>
      </c>
      <c r="NN63">
        <v>5.8559999999999999</v>
      </c>
      <c r="NO63">
        <v>1.052</v>
      </c>
      <c r="NP63">
        <v>3.7330000000000001</v>
      </c>
      <c r="NQ63">
        <v>5.1550000000000002</v>
      </c>
      <c r="NR63">
        <v>5.8410000000000002</v>
      </c>
      <c r="NS63">
        <v>6.5949999999999998</v>
      </c>
      <c r="NT63">
        <v>7.8179999999999996</v>
      </c>
      <c r="NU63">
        <v>1.028</v>
      </c>
      <c r="NV63">
        <v>160</v>
      </c>
      <c r="NY63" t="s">
        <v>83</v>
      </c>
      <c r="NZ63">
        <v>6.7869999999999999</v>
      </c>
      <c r="OA63">
        <v>1.177</v>
      </c>
      <c r="OB63">
        <v>4.4359999999999999</v>
      </c>
      <c r="OC63">
        <v>5.9720000000000004</v>
      </c>
      <c r="OD63">
        <v>6.8259999999999996</v>
      </c>
      <c r="OE63">
        <v>7.6459999999999999</v>
      </c>
      <c r="OF63">
        <v>8.81</v>
      </c>
      <c r="OG63">
        <v>1.032</v>
      </c>
      <c r="OH63">
        <v>110</v>
      </c>
      <c r="OP63" t="s">
        <v>83</v>
      </c>
      <c r="OQ63">
        <v>7.258</v>
      </c>
      <c r="OR63">
        <v>0.95099999999999996</v>
      </c>
      <c r="OS63">
        <v>5.0629999999999997</v>
      </c>
      <c r="OT63">
        <v>6.6390000000000002</v>
      </c>
      <c r="OU63">
        <v>7.4050000000000002</v>
      </c>
      <c r="OV63">
        <v>7.9859999999999998</v>
      </c>
      <c r="OW63">
        <v>8.6959999999999997</v>
      </c>
      <c r="OX63">
        <v>1.1160000000000001</v>
      </c>
      <c r="OY63">
        <v>29</v>
      </c>
      <c r="PB63" t="s">
        <v>83</v>
      </c>
      <c r="PC63">
        <v>4.1239999999999997</v>
      </c>
      <c r="PD63">
        <v>0.878</v>
      </c>
      <c r="PE63">
        <v>2.2410000000000001</v>
      </c>
      <c r="PF63">
        <v>3.58</v>
      </c>
      <c r="PG63">
        <v>4.2050000000000001</v>
      </c>
      <c r="PH63">
        <v>4.7649999999999997</v>
      </c>
      <c r="PI63">
        <v>5.617</v>
      </c>
      <c r="PJ63">
        <v>1.0860000000000001</v>
      </c>
      <c r="PK63">
        <v>33</v>
      </c>
      <c r="PN63" t="s">
        <v>83</v>
      </c>
      <c r="PO63">
        <v>4.1580000000000004</v>
      </c>
      <c r="PP63">
        <v>0.751</v>
      </c>
      <c r="PQ63">
        <v>2.6379999999999999</v>
      </c>
      <c r="PR63">
        <v>3.665</v>
      </c>
      <c r="PS63">
        <v>4.2130000000000001</v>
      </c>
      <c r="PT63">
        <v>4.6840000000000002</v>
      </c>
      <c r="PU63">
        <v>5.5469999999999997</v>
      </c>
      <c r="PV63">
        <v>1.056</v>
      </c>
      <c r="PW63">
        <v>45</v>
      </c>
      <c r="QA63" t="s">
        <v>83</v>
      </c>
      <c r="QB63">
        <v>1.294</v>
      </c>
      <c r="QC63">
        <v>0.44400000000000001</v>
      </c>
      <c r="QD63">
        <v>0.59</v>
      </c>
      <c r="QE63">
        <v>0.93700000000000006</v>
      </c>
      <c r="QF63">
        <v>1.2669999999999999</v>
      </c>
      <c r="QG63">
        <v>1.6040000000000001</v>
      </c>
      <c r="QH63">
        <v>2.2400000000000002</v>
      </c>
      <c r="QI63">
        <v>1.0580000000000001</v>
      </c>
      <c r="QJ63">
        <v>43</v>
      </c>
      <c r="QL63">
        <f t="shared" si="2"/>
        <v>2.8640000000000003</v>
      </c>
    </row>
    <row r="64" spans="1:454">
      <c r="A64" t="s">
        <v>84</v>
      </c>
      <c r="B64">
        <v>5.3789999999999996</v>
      </c>
      <c r="C64">
        <v>0.97899999999999998</v>
      </c>
      <c r="D64">
        <v>3.3069999999999999</v>
      </c>
      <c r="E64">
        <v>4.798</v>
      </c>
      <c r="F64">
        <v>5.4080000000000004</v>
      </c>
      <c r="G64">
        <v>6.0149999999999997</v>
      </c>
      <c r="H64">
        <v>7.1150000000000002</v>
      </c>
      <c r="I64">
        <v>1.0309999999999999</v>
      </c>
      <c r="J64">
        <v>150</v>
      </c>
      <c r="O64" t="s">
        <v>84</v>
      </c>
      <c r="P64">
        <v>5.7759999999999998</v>
      </c>
      <c r="Q64">
        <v>1.014</v>
      </c>
      <c r="R64">
        <v>3.5150000000000001</v>
      </c>
      <c r="S64">
        <v>5.117</v>
      </c>
      <c r="T64">
        <v>5.8630000000000004</v>
      </c>
      <c r="U64">
        <v>6.5830000000000002</v>
      </c>
      <c r="V64">
        <v>7.2839999999999998</v>
      </c>
      <c r="W64">
        <v>1.0009999999999999</v>
      </c>
      <c r="X64">
        <v>2200</v>
      </c>
      <c r="AC64" t="s">
        <v>84</v>
      </c>
      <c r="AD64">
        <v>6.0220000000000002</v>
      </c>
      <c r="AE64">
        <v>0.72799999999999998</v>
      </c>
      <c r="AF64">
        <v>4.4969999999999999</v>
      </c>
      <c r="AG64">
        <v>5.5279999999999996</v>
      </c>
      <c r="AH64">
        <v>6.07</v>
      </c>
      <c r="AI64">
        <v>6.5720000000000001</v>
      </c>
      <c r="AJ64">
        <v>7.2679999999999998</v>
      </c>
      <c r="AK64">
        <v>1.0009999999999999</v>
      </c>
      <c r="AL64">
        <v>3000</v>
      </c>
      <c r="AQ64" t="s">
        <v>84</v>
      </c>
      <c r="AR64">
        <v>6.056</v>
      </c>
      <c r="AS64">
        <v>0.70599999999999996</v>
      </c>
      <c r="AT64">
        <v>4.6459999999999999</v>
      </c>
      <c r="AU64">
        <v>5.5720000000000001</v>
      </c>
      <c r="AV64">
        <v>6.0869999999999997</v>
      </c>
      <c r="AW64">
        <v>6.6</v>
      </c>
      <c r="AX64">
        <v>7.2649999999999997</v>
      </c>
      <c r="AY64">
        <v>1.0089999999999999</v>
      </c>
      <c r="AZ64">
        <v>240</v>
      </c>
      <c r="BE64" t="s">
        <v>84</v>
      </c>
      <c r="BF64">
        <v>6.5720000000000001</v>
      </c>
      <c r="BG64">
        <v>0.53800000000000003</v>
      </c>
      <c r="BH64">
        <v>5.3250000000000002</v>
      </c>
      <c r="BI64">
        <v>6.2439999999999998</v>
      </c>
      <c r="BJ64">
        <v>6.6509999999999998</v>
      </c>
      <c r="BK64">
        <v>7.0039999999999996</v>
      </c>
      <c r="BL64">
        <v>7.3310000000000004</v>
      </c>
      <c r="BM64">
        <v>1.002</v>
      </c>
      <c r="BN64">
        <v>1600</v>
      </c>
      <c r="BS64" t="s">
        <v>84</v>
      </c>
      <c r="BT64">
        <v>6.0369999999999999</v>
      </c>
      <c r="BU64">
        <v>0.73499999999999999</v>
      </c>
      <c r="BV64">
        <v>4.5259999999999998</v>
      </c>
      <c r="BW64">
        <v>5.5279999999999996</v>
      </c>
      <c r="BX64">
        <v>6.0949999999999998</v>
      </c>
      <c r="BY64">
        <v>6.5910000000000002</v>
      </c>
      <c r="BZ64">
        <v>7.2690000000000001</v>
      </c>
      <c r="CA64">
        <v>1.0169999999999999</v>
      </c>
      <c r="CB64">
        <v>130</v>
      </c>
      <c r="CG64" t="s">
        <v>84</v>
      </c>
      <c r="CH64">
        <v>6.6260000000000003</v>
      </c>
      <c r="CI64">
        <v>0.51800000000000002</v>
      </c>
      <c r="CJ64">
        <v>5.4489999999999998</v>
      </c>
      <c r="CK64">
        <v>6.2949999999999999</v>
      </c>
      <c r="CL64">
        <v>6.7060000000000004</v>
      </c>
      <c r="CM64">
        <v>7.0430000000000001</v>
      </c>
      <c r="CN64">
        <v>7.3460000000000001</v>
      </c>
      <c r="CO64">
        <v>1.0049999999999999</v>
      </c>
      <c r="CP64">
        <v>460</v>
      </c>
      <c r="CU64" t="s">
        <v>84</v>
      </c>
      <c r="CV64">
        <v>6.468</v>
      </c>
      <c r="CW64">
        <v>0.59099999999999997</v>
      </c>
      <c r="CX64">
        <v>5.07</v>
      </c>
      <c r="CY64">
        <v>6.1120000000000001</v>
      </c>
      <c r="CZ64">
        <v>6.556</v>
      </c>
      <c r="DA64">
        <v>6.92</v>
      </c>
      <c r="DB64">
        <v>7.3280000000000003</v>
      </c>
      <c r="DC64">
        <v>1.0009999999999999</v>
      </c>
      <c r="DD64">
        <v>3000</v>
      </c>
      <c r="DI64" t="s">
        <v>84</v>
      </c>
      <c r="DJ64">
        <v>6.0659999999999998</v>
      </c>
      <c r="DK64">
        <v>0.70299999999999996</v>
      </c>
      <c r="DL64">
        <v>4.5880000000000001</v>
      </c>
      <c r="DM64">
        <v>5.601</v>
      </c>
      <c r="DN64">
        <v>6.101</v>
      </c>
      <c r="DO64">
        <v>6.5780000000000003</v>
      </c>
      <c r="DP64">
        <v>7.26</v>
      </c>
      <c r="DQ64">
        <v>1.0049999999999999</v>
      </c>
      <c r="DR64">
        <v>490</v>
      </c>
      <c r="DY64" t="s">
        <v>84</v>
      </c>
      <c r="DZ64">
        <v>6.1539999999999999</v>
      </c>
      <c r="EA64">
        <v>0.67700000000000005</v>
      </c>
      <c r="EB64">
        <v>4.7590000000000003</v>
      </c>
      <c r="EC64">
        <v>5.6909999999999998</v>
      </c>
      <c r="ED64">
        <v>6.2060000000000004</v>
      </c>
      <c r="EE64">
        <v>6.6669999999999998</v>
      </c>
      <c r="EF64">
        <v>7.27</v>
      </c>
      <c r="EG64">
        <v>1.004</v>
      </c>
      <c r="EH64">
        <v>560</v>
      </c>
      <c r="EK64" t="s">
        <v>84</v>
      </c>
      <c r="EL64">
        <v>6.3140000000000001</v>
      </c>
      <c r="EM64">
        <v>0.65600000000000003</v>
      </c>
      <c r="EN64">
        <v>4.8540000000000001</v>
      </c>
      <c r="EO64">
        <v>5.9059999999999997</v>
      </c>
      <c r="EP64">
        <v>6.39</v>
      </c>
      <c r="EQ64">
        <v>6.8479999999999999</v>
      </c>
      <c r="ER64">
        <v>7.2859999999999996</v>
      </c>
      <c r="ES64">
        <v>1.002</v>
      </c>
      <c r="ET64">
        <v>1100</v>
      </c>
      <c r="EY64" t="s">
        <v>84</v>
      </c>
      <c r="EZ64">
        <v>6.1269999999999998</v>
      </c>
      <c r="FA64">
        <v>0.73899999999999999</v>
      </c>
      <c r="FB64">
        <v>4.58</v>
      </c>
      <c r="FC64">
        <v>5.6429999999999998</v>
      </c>
      <c r="FD64">
        <v>6.1719999999999997</v>
      </c>
      <c r="FE64">
        <v>6.6870000000000003</v>
      </c>
      <c r="FF64">
        <v>7.3079999999999998</v>
      </c>
      <c r="FG64">
        <v>1.0009999999999999</v>
      </c>
      <c r="FH64">
        <v>3000</v>
      </c>
      <c r="GA64" t="s">
        <v>84</v>
      </c>
      <c r="GB64">
        <v>5.9989999999999997</v>
      </c>
      <c r="GC64">
        <v>0.65700000000000003</v>
      </c>
      <c r="GD64">
        <v>4.6959999999999997</v>
      </c>
      <c r="GE64">
        <v>5.5469999999999997</v>
      </c>
      <c r="GF64">
        <v>6.0179999999999998</v>
      </c>
      <c r="GG64">
        <v>6.4820000000000002</v>
      </c>
      <c r="GH64">
        <v>7.194</v>
      </c>
      <c r="GI64">
        <v>1.0069999999999999</v>
      </c>
      <c r="GJ64">
        <v>330</v>
      </c>
      <c r="GO64" t="s">
        <v>84</v>
      </c>
      <c r="GP64">
        <v>6.0250000000000004</v>
      </c>
      <c r="GQ64">
        <v>0.76500000000000001</v>
      </c>
      <c r="GR64">
        <v>4.468</v>
      </c>
      <c r="GS64">
        <v>5.5049999999999999</v>
      </c>
      <c r="GT64">
        <v>6.069</v>
      </c>
      <c r="GU64">
        <v>6.6310000000000002</v>
      </c>
      <c r="GV64">
        <v>7.2789999999999999</v>
      </c>
      <c r="GW64">
        <v>1.0069999999999999</v>
      </c>
      <c r="GX64">
        <v>320</v>
      </c>
      <c r="HC64" t="s">
        <v>84</v>
      </c>
      <c r="HD64">
        <v>6.0250000000000004</v>
      </c>
      <c r="HE64">
        <v>0.751</v>
      </c>
      <c r="HF64">
        <v>4.4450000000000003</v>
      </c>
      <c r="HG64">
        <v>5.5110000000000001</v>
      </c>
      <c r="HH64">
        <v>6.0789999999999997</v>
      </c>
      <c r="HI64">
        <v>6.5990000000000002</v>
      </c>
      <c r="HJ64">
        <v>7.2759999999999998</v>
      </c>
      <c r="HK64">
        <v>1.0029999999999999</v>
      </c>
      <c r="HL64">
        <v>700</v>
      </c>
      <c r="HP64" s="7"/>
      <c r="HQ64" s="7" t="s">
        <v>84</v>
      </c>
      <c r="HR64" s="7">
        <v>6.1619999999999999</v>
      </c>
      <c r="HS64" s="7">
        <v>0.69099999999999995</v>
      </c>
      <c r="HT64" s="7">
        <v>4.7130000000000001</v>
      </c>
      <c r="HU64" s="7">
        <v>5.68</v>
      </c>
      <c r="HV64" s="7">
        <v>6.1920000000000002</v>
      </c>
      <c r="HW64" s="7">
        <v>6.6970000000000001</v>
      </c>
      <c r="HX64" s="7">
        <v>7.319</v>
      </c>
      <c r="HY64" s="7">
        <v>1.002</v>
      </c>
      <c r="HZ64" s="7">
        <v>1300</v>
      </c>
      <c r="IA64" s="7"/>
      <c r="IE64" t="s">
        <v>84</v>
      </c>
      <c r="IF64">
        <v>6.2530000000000001</v>
      </c>
      <c r="IG64">
        <v>0.628</v>
      </c>
      <c r="IH64">
        <v>4.9580000000000002</v>
      </c>
      <c r="II64">
        <v>5.8109999999999999</v>
      </c>
      <c r="IJ64">
        <v>6.2939999999999996</v>
      </c>
      <c r="IK64">
        <v>6.7389999999999999</v>
      </c>
      <c r="IL64">
        <v>7.2770000000000001</v>
      </c>
      <c r="IM64">
        <v>1.0069999999999999</v>
      </c>
      <c r="IN64">
        <v>320</v>
      </c>
      <c r="IS64" t="s">
        <v>84</v>
      </c>
      <c r="IT64">
        <v>6.17</v>
      </c>
      <c r="IU64">
        <v>0.66600000000000004</v>
      </c>
      <c r="IV64">
        <v>4.8090000000000002</v>
      </c>
      <c r="IW64">
        <v>5.7009999999999996</v>
      </c>
      <c r="IX64">
        <v>6.2190000000000003</v>
      </c>
      <c r="IY64">
        <v>6.6760000000000002</v>
      </c>
      <c r="IZ64">
        <v>7.2759999999999998</v>
      </c>
      <c r="JA64">
        <v>1.014</v>
      </c>
      <c r="JB64">
        <v>180</v>
      </c>
      <c r="JF64" t="s">
        <v>84</v>
      </c>
      <c r="JG64">
        <v>6.3170000000000002</v>
      </c>
      <c r="JH64">
        <v>0.63700000000000001</v>
      </c>
      <c r="JI64">
        <v>4.9450000000000003</v>
      </c>
      <c r="JJ64">
        <v>5.8769999999999998</v>
      </c>
      <c r="JK64">
        <v>6.375</v>
      </c>
      <c r="JL64">
        <v>6.82</v>
      </c>
      <c r="JM64">
        <v>7.3159999999999998</v>
      </c>
      <c r="JN64">
        <v>1.002</v>
      </c>
      <c r="JO64">
        <v>1800</v>
      </c>
      <c r="JT64" t="s">
        <v>84</v>
      </c>
      <c r="JU64">
        <v>6.2869999999999999</v>
      </c>
      <c r="JV64">
        <v>0.64900000000000002</v>
      </c>
      <c r="JW64">
        <v>4.95</v>
      </c>
      <c r="JX64">
        <v>5.843</v>
      </c>
      <c r="JY64">
        <v>6.3310000000000004</v>
      </c>
      <c r="JZ64">
        <v>6.7919999999999998</v>
      </c>
      <c r="KA64">
        <v>7.3079999999999998</v>
      </c>
      <c r="KB64">
        <v>1.0009999999999999</v>
      </c>
      <c r="KC64">
        <v>3000</v>
      </c>
      <c r="KH64" t="s">
        <v>84</v>
      </c>
      <c r="KI64">
        <v>6.3239999999999998</v>
      </c>
      <c r="KJ64">
        <v>0.64200000000000002</v>
      </c>
      <c r="KK64">
        <v>4.9269999999999996</v>
      </c>
      <c r="KL64">
        <v>5.8869999999999996</v>
      </c>
      <c r="KM64">
        <v>6.3879999999999999</v>
      </c>
      <c r="KN64">
        <v>6.8369999999999997</v>
      </c>
      <c r="KO64">
        <v>7.3090000000000002</v>
      </c>
      <c r="KP64">
        <v>1.0029999999999999</v>
      </c>
      <c r="KQ64">
        <v>740</v>
      </c>
      <c r="KR64">
        <f t="shared" si="0"/>
        <v>557.79973493719069</v>
      </c>
      <c r="KV64" t="s">
        <v>84</v>
      </c>
      <c r="KW64">
        <v>6.5339999999999998</v>
      </c>
      <c r="KX64">
        <v>0.51</v>
      </c>
      <c r="KY64">
        <v>5.5250000000000004</v>
      </c>
      <c r="KZ64">
        <v>6.1710000000000003</v>
      </c>
      <c r="LA64">
        <v>6.5410000000000004</v>
      </c>
      <c r="LB64">
        <v>6.9260000000000002</v>
      </c>
      <c r="LC64">
        <v>7.41</v>
      </c>
      <c r="LD64">
        <v>1.0169999999999999</v>
      </c>
      <c r="LE64">
        <v>120</v>
      </c>
      <c r="LJ64" t="s">
        <v>84</v>
      </c>
      <c r="LK64">
        <v>4.3849999999999998</v>
      </c>
      <c r="LL64">
        <v>0.27600000000000002</v>
      </c>
      <c r="LM64">
        <v>3.839</v>
      </c>
      <c r="LN64">
        <v>4.1980000000000004</v>
      </c>
      <c r="LO64">
        <v>4.3879999999999999</v>
      </c>
      <c r="LP64">
        <v>4.5679999999999996</v>
      </c>
      <c r="LQ64">
        <v>4.95</v>
      </c>
      <c r="LR64">
        <v>1.0189999999999999</v>
      </c>
      <c r="LS64">
        <v>110</v>
      </c>
      <c r="LX64" t="s">
        <v>84</v>
      </c>
      <c r="LY64">
        <v>6.48</v>
      </c>
      <c r="LZ64">
        <v>0.54900000000000004</v>
      </c>
      <c r="MA64">
        <v>5.3719999999999999</v>
      </c>
      <c r="MB64">
        <v>6.0940000000000003</v>
      </c>
      <c r="MC64">
        <v>6.5019999999999998</v>
      </c>
      <c r="MD64">
        <v>6.8780000000000001</v>
      </c>
      <c r="ME64">
        <v>7.4340000000000002</v>
      </c>
      <c r="MF64">
        <v>1.1459999999999999</v>
      </c>
      <c r="MG64">
        <v>19</v>
      </c>
      <c r="ML64" t="s">
        <v>84</v>
      </c>
      <c r="MM64">
        <v>5.3529999999999998</v>
      </c>
      <c r="MN64">
        <v>1.022</v>
      </c>
      <c r="MO64">
        <v>3.1320000000000001</v>
      </c>
      <c r="MP64">
        <v>4.702</v>
      </c>
      <c r="MQ64">
        <v>5.4160000000000004</v>
      </c>
      <c r="MR64">
        <v>6.0750000000000002</v>
      </c>
      <c r="MS64">
        <v>7.1660000000000004</v>
      </c>
      <c r="MT64">
        <v>1.0149999999999999</v>
      </c>
      <c r="MU64">
        <v>330</v>
      </c>
      <c r="MZ64" t="s">
        <v>84</v>
      </c>
      <c r="NA64">
        <v>5.2850000000000001</v>
      </c>
      <c r="NB64">
        <v>0.82099999999999995</v>
      </c>
      <c r="NC64">
        <v>3.7570000000000001</v>
      </c>
      <c r="ND64">
        <v>4.657</v>
      </c>
      <c r="NE64">
        <v>5.2409999999999997</v>
      </c>
      <c r="NF64">
        <v>5.9269999999999996</v>
      </c>
      <c r="NG64">
        <v>6.8369999999999997</v>
      </c>
      <c r="NH64">
        <v>1.631</v>
      </c>
      <c r="NI64">
        <v>6</v>
      </c>
      <c r="NM64" t="s">
        <v>84</v>
      </c>
      <c r="NN64">
        <v>4.91</v>
      </c>
      <c r="NO64">
        <v>0.97499999999999998</v>
      </c>
      <c r="NP64">
        <v>2.87</v>
      </c>
      <c r="NQ64">
        <v>4.2729999999999997</v>
      </c>
      <c r="NR64">
        <v>4.9269999999999996</v>
      </c>
      <c r="NS64">
        <v>5.6079999999999997</v>
      </c>
      <c r="NT64">
        <v>6.6929999999999996</v>
      </c>
      <c r="NU64">
        <v>1.028</v>
      </c>
      <c r="NV64">
        <v>170</v>
      </c>
      <c r="NY64" t="s">
        <v>84</v>
      </c>
      <c r="NZ64">
        <v>5.5410000000000004</v>
      </c>
      <c r="OA64">
        <v>1.0720000000000001</v>
      </c>
      <c r="OB64">
        <v>3.42</v>
      </c>
      <c r="OC64">
        <v>4.8159999999999998</v>
      </c>
      <c r="OD64">
        <v>5.5449999999999999</v>
      </c>
      <c r="OE64">
        <v>6.3179999999999996</v>
      </c>
      <c r="OF64">
        <v>7.4480000000000004</v>
      </c>
      <c r="OG64">
        <v>1.032</v>
      </c>
      <c r="OH64">
        <v>270</v>
      </c>
      <c r="OP64" t="s">
        <v>84</v>
      </c>
      <c r="OQ64">
        <v>6.0890000000000004</v>
      </c>
      <c r="OR64">
        <v>0.92</v>
      </c>
      <c r="OS64">
        <v>3.9279999999999999</v>
      </c>
      <c r="OT64">
        <v>5.4980000000000002</v>
      </c>
      <c r="OU64">
        <v>6.25</v>
      </c>
      <c r="OV64">
        <v>6.8040000000000003</v>
      </c>
      <c r="OW64">
        <v>7.4379999999999997</v>
      </c>
      <c r="OX64">
        <v>1.1359999999999999</v>
      </c>
      <c r="OY64">
        <v>25</v>
      </c>
      <c r="PB64" t="s">
        <v>84</v>
      </c>
      <c r="PC64">
        <v>3.6829999999999998</v>
      </c>
      <c r="PD64">
        <v>0.88300000000000001</v>
      </c>
      <c r="PE64">
        <v>1.7869999999999999</v>
      </c>
      <c r="PF64">
        <v>3.1379999999999999</v>
      </c>
      <c r="PG64">
        <v>3.7639999999999998</v>
      </c>
      <c r="PH64">
        <v>4.3230000000000004</v>
      </c>
      <c r="PI64">
        <v>5.1820000000000004</v>
      </c>
      <c r="PJ64">
        <v>1.091</v>
      </c>
      <c r="PK64">
        <v>32</v>
      </c>
      <c r="PN64" t="s">
        <v>84</v>
      </c>
      <c r="PO64">
        <v>4.0209999999999999</v>
      </c>
      <c r="PP64">
        <v>0.749</v>
      </c>
      <c r="PQ64">
        <v>2.4910000000000001</v>
      </c>
      <c r="PR64">
        <v>3.528</v>
      </c>
      <c r="PS64">
        <v>4.077</v>
      </c>
      <c r="PT64">
        <v>4.54</v>
      </c>
      <c r="PU64">
        <v>5.391</v>
      </c>
      <c r="PV64">
        <v>1.056</v>
      </c>
      <c r="PW64">
        <v>45</v>
      </c>
      <c r="QA64" t="s">
        <v>84</v>
      </c>
      <c r="QB64">
        <v>0.83399999999999996</v>
      </c>
      <c r="QC64">
        <v>0.46600000000000003</v>
      </c>
      <c r="QD64">
        <v>0.105</v>
      </c>
      <c r="QE64">
        <v>0.45200000000000001</v>
      </c>
      <c r="QF64">
        <v>0.80300000000000005</v>
      </c>
      <c r="QG64">
        <v>1.155</v>
      </c>
      <c r="QH64">
        <v>1.837</v>
      </c>
      <c r="QI64">
        <v>1.069</v>
      </c>
      <c r="QJ64">
        <v>41</v>
      </c>
      <c r="QL64">
        <f t="shared" si="2"/>
        <v>3.1869999999999998</v>
      </c>
    </row>
    <row r="65" spans="1:454">
      <c r="A65" t="s">
        <v>85</v>
      </c>
      <c r="B65">
        <v>6.0990000000000002</v>
      </c>
      <c r="C65">
        <v>1.006</v>
      </c>
      <c r="D65">
        <v>3.9279999999999999</v>
      </c>
      <c r="E65">
        <v>5.4989999999999997</v>
      </c>
      <c r="F65">
        <v>6.1319999999999997</v>
      </c>
      <c r="G65">
        <v>6.8079999999999998</v>
      </c>
      <c r="H65">
        <v>7.9180000000000001</v>
      </c>
      <c r="I65">
        <v>1.0309999999999999</v>
      </c>
      <c r="J65">
        <v>180</v>
      </c>
      <c r="O65" t="s">
        <v>85</v>
      </c>
      <c r="P65">
        <v>6.4660000000000002</v>
      </c>
      <c r="Q65">
        <v>0.73</v>
      </c>
      <c r="R65">
        <v>4.7359999999999998</v>
      </c>
      <c r="S65">
        <v>6.048</v>
      </c>
      <c r="T65">
        <v>6.6420000000000003</v>
      </c>
      <c r="U65">
        <v>7.0519999999999996</v>
      </c>
      <c r="V65">
        <v>7.3520000000000003</v>
      </c>
      <c r="W65">
        <v>1.0049999999999999</v>
      </c>
      <c r="X65">
        <v>760</v>
      </c>
      <c r="AC65" t="s">
        <v>85</v>
      </c>
      <c r="AD65">
        <v>6.6120000000000001</v>
      </c>
      <c r="AE65">
        <v>0.55500000000000005</v>
      </c>
      <c r="AF65">
        <v>5.3150000000000004</v>
      </c>
      <c r="AG65">
        <v>6.26</v>
      </c>
      <c r="AH65">
        <v>6.7119999999999997</v>
      </c>
      <c r="AI65">
        <v>7.0620000000000003</v>
      </c>
      <c r="AJ65">
        <v>7.3529999999999998</v>
      </c>
      <c r="AK65">
        <v>1.002</v>
      </c>
      <c r="AL65">
        <v>1000</v>
      </c>
      <c r="AQ65" t="s">
        <v>85</v>
      </c>
      <c r="AR65">
        <v>6.6440000000000001</v>
      </c>
      <c r="AS65">
        <v>0.54500000000000004</v>
      </c>
      <c r="AT65">
        <v>5.3620000000000001</v>
      </c>
      <c r="AU65">
        <v>6.3070000000000004</v>
      </c>
      <c r="AV65">
        <v>6.758</v>
      </c>
      <c r="AW65">
        <v>7.0819999999999999</v>
      </c>
      <c r="AX65">
        <v>7.3559999999999999</v>
      </c>
      <c r="AY65">
        <v>1.004</v>
      </c>
      <c r="AZ65">
        <v>600</v>
      </c>
      <c r="BE65" t="s">
        <v>85</v>
      </c>
      <c r="BF65">
        <v>6.9459999999999997</v>
      </c>
      <c r="BG65">
        <v>0.377</v>
      </c>
      <c r="BH65">
        <v>5.984</v>
      </c>
      <c r="BI65">
        <v>6.7690000000000001</v>
      </c>
      <c r="BJ65">
        <v>7.0510000000000002</v>
      </c>
      <c r="BK65">
        <v>7.2309999999999999</v>
      </c>
      <c r="BL65">
        <v>7.367</v>
      </c>
      <c r="BM65">
        <v>1.006</v>
      </c>
      <c r="BN65">
        <v>480</v>
      </c>
      <c r="BS65" t="s">
        <v>85</v>
      </c>
      <c r="BT65">
        <v>6.6420000000000003</v>
      </c>
      <c r="BU65">
        <v>0.53300000000000003</v>
      </c>
      <c r="BV65">
        <v>5.3940000000000001</v>
      </c>
      <c r="BW65">
        <v>6.3129999999999997</v>
      </c>
      <c r="BX65">
        <v>6.7380000000000004</v>
      </c>
      <c r="BY65">
        <v>7.0670000000000002</v>
      </c>
      <c r="BZ65">
        <v>7.3460000000000001</v>
      </c>
      <c r="CA65">
        <v>1.014</v>
      </c>
      <c r="CB65">
        <v>210</v>
      </c>
      <c r="CG65" t="s">
        <v>85</v>
      </c>
      <c r="CH65">
        <v>6.96</v>
      </c>
      <c r="CI65">
        <v>0.37</v>
      </c>
      <c r="CJ65">
        <v>5.99</v>
      </c>
      <c r="CK65">
        <v>6.782</v>
      </c>
      <c r="CL65">
        <v>7.06</v>
      </c>
      <c r="CM65">
        <v>7.2389999999999999</v>
      </c>
      <c r="CN65">
        <v>7.3689999999999998</v>
      </c>
      <c r="CO65">
        <v>1.0029999999999999</v>
      </c>
      <c r="CP65">
        <v>1100</v>
      </c>
      <c r="CU65" t="s">
        <v>85</v>
      </c>
      <c r="CV65">
        <v>6.9530000000000003</v>
      </c>
      <c r="CW65">
        <v>0.40600000000000003</v>
      </c>
      <c r="CX65">
        <v>5.899</v>
      </c>
      <c r="CY65">
        <v>6.7560000000000002</v>
      </c>
      <c r="CZ65">
        <v>7.0670000000000002</v>
      </c>
      <c r="DA65">
        <v>7.2720000000000002</v>
      </c>
      <c r="DB65">
        <v>7.3780000000000001</v>
      </c>
      <c r="DC65">
        <v>1.0089999999999999</v>
      </c>
      <c r="DD65">
        <v>350</v>
      </c>
      <c r="DI65" t="s">
        <v>85</v>
      </c>
      <c r="DJ65">
        <v>6.6689999999999996</v>
      </c>
      <c r="DK65">
        <v>0.53700000000000003</v>
      </c>
      <c r="DL65">
        <v>5.4370000000000003</v>
      </c>
      <c r="DM65">
        <v>6.3419999999999996</v>
      </c>
      <c r="DN65">
        <v>6.7859999999999996</v>
      </c>
      <c r="DO65">
        <v>7.0979999999999999</v>
      </c>
      <c r="DP65">
        <v>7.3540000000000001</v>
      </c>
      <c r="DQ65">
        <v>1.0009999999999999</v>
      </c>
      <c r="DR65">
        <v>3000</v>
      </c>
      <c r="DY65" t="s">
        <v>85</v>
      </c>
      <c r="DZ65">
        <v>6.7060000000000004</v>
      </c>
      <c r="EA65">
        <v>0.52</v>
      </c>
      <c r="EB65">
        <v>5.44</v>
      </c>
      <c r="EC65">
        <v>6.4080000000000004</v>
      </c>
      <c r="ED65">
        <v>6.8150000000000004</v>
      </c>
      <c r="EE65">
        <v>7.125</v>
      </c>
      <c r="EF65">
        <v>7.3570000000000002</v>
      </c>
      <c r="EG65">
        <v>1.0029999999999999</v>
      </c>
      <c r="EH65">
        <v>840</v>
      </c>
      <c r="EK65" t="s">
        <v>85</v>
      </c>
      <c r="EL65">
        <v>6.6580000000000004</v>
      </c>
      <c r="EM65">
        <v>0.54800000000000004</v>
      </c>
      <c r="EN65">
        <v>5.3390000000000004</v>
      </c>
      <c r="EO65">
        <v>6.3440000000000003</v>
      </c>
      <c r="EP65">
        <v>6.7850000000000001</v>
      </c>
      <c r="EQ65">
        <v>7.093</v>
      </c>
      <c r="ER65">
        <v>7.351</v>
      </c>
      <c r="ES65">
        <v>1.0049999999999999</v>
      </c>
      <c r="ET65">
        <v>380</v>
      </c>
      <c r="EY65" t="s">
        <v>85</v>
      </c>
      <c r="EZ65">
        <v>6.61</v>
      </c>
      <c r="FA65">
        <v>0.57799999999999996</v>
      </c>
      <c r="FB65">
        <v>5.2709999999999999</v>
      </c>
      <c r="FC65">
        <v>6.2430000000000003</v>
      </c>
      <c r="FD65">
        <v>6.7249999999999996</v>
      </c>
      <c r="FE65">
        <v>7.077</v>
      </c>
      <c r="FF65">
        <v>7.3520000000000003</v>
      </c>
      <c r="FG65">
        <v>1.0009999999999999</v>
      </c>
      <c r="FH65">
        <v>3000</v>
      </c>
      <c r="GA65" t="s">
        <v>85</v>
      </c>
      <c r="GB65">
        <v>6.3289999999999997</v>
      </c>
      <c r="GC65">
        <v>0.60099999999999998</v>
      </c>
      <c r="GD65">
        <v>5.0720000000000001</v>
      </c>
      <c r="GE65">
        <v>5.9139999999999997</v>
      </c>
      <c r="GF65">
        <v>6.3650000000000002</v>
      </c>
      <c r="GG65">
        <v>6.8179999999999996</v>
      </c>
      <c r="GH65">
        <v>7.29</v>
      </c>
      <c r="GI65">
        <v>1.006</v>
      </c>
      <c r="GJ65">
        <v>340</v>
      </c>
      <c r="GO65" t="s">
        <v>85</v>
      </c>
      <c r="GP65">
        <v>6.5890000000000004</v>
      </c>
      <c r="GQ65">
        <v>0.58399999999999996</v>
      </c>
      <c r="GR65">
        <v>5.1920000000000002</v>
      </c>
      <c r="GS65">
        <v>6.2450000000000001</v>
      </c>
      <c r="GT65">
        <v>6.718</v>
      </c>
      <c r="GU65">
        <v>7.0469999999999997</v>
      </c>
      <c r="GV65">
        <v>7.3479999999999999</v>
      </c>
      <c r="GW65">
        <v>1.0029999999999999</v>
      </c>
      <c r="GX65">
        <v>960</v>
      </c>
      <c r="HC65" t="s">
        <v>85</v>
      </c>
      <c r="HD65">
        <v>6.5679999999999996</v>
      </c>
      <c r="HE65">
        <v>0.59699999999999998</v>
      </c>
      <c r="HF65">
        <v>5.1349999999999998</v>
      </c>
      <c r="HG65">
        <v>6.2160000000000002</v>
      </c>
      <c r="HH65">
        <v>6.6680000000000001</v>
      </c>
      <c r="HI65">
        <v>7.0460000000000003</v>
      </c>
      <c r="HJ65">
        <v>7.3490000000000002</v>
      </c>
      <c r="HK65">
        <v>1.0069999999999999</v>
      </c>
      <c r="HL65">
        <v>320</v>
      </c>
      <c r="HP65" s="7"/>
      <c r="HQ65" s="7" t="s">
        <v>85</v>
      </c>
      <c r="HR65" s="7">
        <v>6.6369999999999996</v>
      </c>
      <c r="HS65" s="7">
        <v>0.53</v>
      </c>
      <c r="HT65" s="7">
        <v>5.4189999999999996</v>
      </c>
      <c r="HU65" s="7">
        <v>6.3</v>
      </c>
      <c r="HV65" s="7">
        <v>6.7350000000000003</v>
      </c>
      <c r="HW65" s="7">
        <v>7.0750000000000002</v>
      </c>
      <c r="HX65" s="7">
        <v>7.351</v>
      </c>
      <c r="HY65" s="7">
        <v>1.0009999999999999</v>
      </c>
      <c r="HZ65" s="7">
        <v>3000</v>
      </c>
      <c r="IA65" s="7"/>
      <c r="IE65" t="s">
        <v>85</v>
      </c>
      <c r="IF65">
        <v>6.6820000000000004</v>
      </c>
      <c r="IG65">
        <v>0.503</v>
      </c>
      <c r="IH65">
        <v>5.5570000000000004</v>
      </c>
      <c r="II65">
        <v>6.3579999999999997</v>
      </c>
      <c r="IJ65">
        <v>6.77</v>
      </c>
      <c r="IK65">
        <v>7.0949999999999998</v>
      </c>
      <c r="IL65">
        <v>7.3529999999999998</v>
      </c>
      <c r="IM65">
        <v>1.006</v>
      </c>
      <c r="IN65">
        <v>400</v>
      </c>
      <c r="IS65" t="s">
        <v>85</v>
      </c>
      <c r="IT65">
        <v>6.6479999999999997</v>
      </c>
      <c r="IU65">
        <v>0.52900000000000003</v>
      </c>
      <c r="IV65">
        <v>5.4320000000000004</v>
      </c>
      <c r="IW65">
        <v>6.3239999999999998</v>
      </c>
      <c r="IX65">
        <v>6.73</v>
      </c>
      <c r="IY65">
        <v>7.08</v>
      </c>
      <c r="IZ65">
        <v>7.3520000000000003</v>
      </c>
      <c r="JA65">
        <v>1.0269999999999999</v>
      </c>
      <c r="JB65">
        <v>110</v>
      </c>
      <c r="JF65" t="s">
        <v>85</v>
      </c>
      <c r="JG65">
        <v>6.7309999999999999</v>
      </c>
      <c r="JH65">
        <v>0.48799999999999999</v>
      </c>
      <c r="JI65">
        <v>5.5330000000000004</v>
      </c>
      <c r="JJ65">
        <v>6.4450000000000003</v>
      </c>
      <c r="JK65">
        <v>6.8319999999999999</v>
      </c>
      <c r="JL65">
        <v>7.1139999999999999</v>
      </c>
      <c r="JM65">
        <v>7.3479999999999999</v>
      </c>
      <c r="JN65">
        <v>1.002</v>
      </c>
      <c r="JO65">
        <v>1700</v>
      </c>
      <c r="JT65" t="s">
        <v>85</v>
      </c>
      <c r="JU65">
        <v>6.7320000000000002</v>
      </c>
      <c r="JV65">
        <v>0.48599999999999999</v>
      </c>
      <c r="JW65">
        <v>5.5869999999999997</v>
      </c>
      <c r="JX65">
        <v>6.431</v>
      </c>
      <c r="JY65">
        <v>6.8310000000000004</v>
      </c>
      <c r="JZ65">
        <v>7.1280000000000001</v>
      </c>
      <c r="KA65">
        <v>7.3529999999999998</v>
      </c>
      <c r="KB65">
        <v>1.0009999999999999</v>
      </c>
      <c r="KC65">
        <v>3000</v>
      </c>
      <c r="KH65" t="s">
        <v>85</v>
      </c>
      <c r="KI65">
        <v>6.7460000000000004</v>
      </c>
      <c r="KJ65">
        <v>0.48499999999999999</v>
      </c>
      <c r="KK65">
        <v>5.6210000000000004</v>
      </c>
      <c r="KL65">
        <v>6.4429999999999996</v>
      </c>
      <c r="KM65">
        <v>6.8460000000000001</v>
      </c>
      <c r="KN65">
        <v>7.1429999999999998</v>
      </c>
      <c r="KO65">
        <v>7.3609999999999998</v>
      </c>
      <c r="KP65">
        <v>1.0029999999999999</v>
      </c>
      <c r="KQ65">
        <v>1400</v>
      </c>
      <c r="KR65">
        <f t="shared" si="0"/>
        <v>850.64935084529009</v>
      </c>
      <c r="KV65" t="s">
        <v>85</v>
      </c>
      <c r="KW65">
        <v>7.2990000000000004</v>
      </c>
      <c r="KX65">
        <v>0.59099999999999997</v>
      </c>
      <c r="KY65">
        <v>6.125</v>
      </c>
      <c r="KZ65">
        <v>6.8769999999999998</v>
      </c>
      <c r="LA65">
        <v>7.3070000000000004</v>
      </c>
      <c r="LB65">
        <v>7.7539999999999996</v>
      </c>
      <c r="LC65">
        <v>8.3439999999999994</v>
      </c>
      <c r="LD65">
        <v>1.0129999999999999</v>
      </c>
      <c r="LE65">
        <v>160</v>
      </c>
      <c r="LJ65" t="s">
        <v>85</v>
      </c>
      <c r="LK65">
        <v>4.82</v>
      </c>
      <c r="LL65">
        <v>0.28999999999999998</v>
      </c>
      <c r="LM65">
        <v>4.2469999999999999</v>
      </c>
      <c r="LN65">
        <v>4.6239999999999997</v>
      </c>
      <c r="LO65">
        <v>4.82</v>
      </c>
      <c r="LP65">
        <v>5.0090000000000003</v>
      </c>
      <c r="LQ65">
        <v>5.3959999999999999</v>
      </c>
      <c r="LR65">
        <v>1.024</v>
      </c>
      <c r="LS65">
        <v>89</v>
      </c>
      <c r="LX65" t="s">
        <v>85</v>
      </c>
      <c r="LY65">
        <v>7.3470000000000004</v>
      </c>
      <c r="LZ65">
        <v>0.68100000000000005</v>
      </c>
      <c r="MA65">
        <v>5.992</v>
      </c>
      <c r="MB65">
        <v>6.8620000000000001</v>
      </c>
      <c r="MC65">
        <v>7.3719999999999999</v>
      </c>
      <c r="MD65">
        <v>7.8380000000000001</v>
      </c>
      <c r="ME65">
        <v>8.57</v>
      </c>
      <c r="MF65">
        <v>1.194</v>
      </c>
      <c r="MG65">
        <v>15</v>
      </c>
      <c r="ML65" t="s">
        <v>85</v>
      </c>
      <c r="MM65">
        <v>6.0330000000000004</v>
      </c>
      <c r="MN65">
        <v>1.0629999999999999</v>
      </c>
      <c r="MO65">
        <v>3.758</v>
      </c>
      <c r="MP65">
        <v>5.35</v>
      </c>
      <c r="MQ65">
        <v>6.0839999999999996</v>
      </c>
      <c r="MR65">
        <v>6.7830000000000004</v>
      </c>
      <c r="MS65">
        <v>7.9480000000000004</v>
      </c>
      <c r="MT65">
        <v>1.0129999999999999</v>
      </c>
      <c r="MU65">
        <v>330</v>
      </c>
      <c r="MZ65" t="s">
        <v>85</v>
      </c>
      <c r="NA65">
        <v>5.9539999999999997</v>
      </c>
      <c r="NB65">
        <v>0.86899999999999999</v>
      </c>
      <c r="NC65">
        <v>4.3879999999999999</v>
      </c>
      <c r="ND65">
        <v>5.2850000000000001</v>
      </c>
      <c r="NE65">
        <v>5.92</v>
      </c>
      <c r="NF65">
        <v>6.6180000000000003</v>
      </c>
      <c r="NG65">
        <v>7.5960000000000001</v>
      </c>
      <c r="NH65">
        <v>1.619</v>
      </c>
      <c r="NI65">
        <v>7</v>
      </c>
      <c r="NM65" t="s">
        <v>85</v>
      </c>
      <c r="NN65">
        <v>5.9219999999999997</v>
      </c>
      <c r="NO65">
        <v>1.0589999999999999</v>
      </c>
      <c r="NP65">
        <v>3.7919999999999998</v>
      </c>
      <c r="NQ65">
        <v>5.2149999999999999</v>
      </c>
      <c r="NR65">
        <v>5.9050000000000002</v>
      </c>
      <c r="NS65">
        <v>6.665</v>
      </c>
      <c r="NT65">
        <v>7.8979999999999997</v>
      </c>
      <c r="NU65">
        <v>1.028</v>
      </c>
      <c r="NV65">
        <v>150</v>
      </c>
      <c r="NY65" t="s">
        <v>85</v>
      </c>
      <c r="NZ65">
        <v>6.8739999999999997</v>
      </c>
      <c r="OA65">
        <v>1.1859999999999999</v>
      </c>
      <c r="OB65">
        <v>4.5010000000000003</v>
      </c>
      <c r="OC65">
        <v>6.0490000000000004</v>
      </c>
      <c r="OD65">
        <v>6.915</v>
      </c>
      <c r="OE65">
        <v>7.7409999999999997</v>
      </c>
      <c r="OF65">
        <v>8.9090000000000007</v>
      </c>
      <c r="OG65">
        <v>1.0329999999999999</v>
      </c>
      <c r="OH65">
        <v>110</v>
      </c>
      <c r="OP65" t="s">
        <v>85</v>
      </c>
      <c r="OQ65">
        <v>7.3390000000000004</v>
      </c>
      <c r="OR65">
        <v>0.95299999999999996</v>
      </c>
      <c r="OS65">
        <v>5.1369999999999996</v>
      </c>
      <c r="OT65">
        <v>6.7240000000000002</v>
      </c>
      <c r="OU65">
        <v>7.4880000000000004</v>
      </c>
      <c r="OV65">
        <v>8.0690000000000008</v>
      </c>
      <c r="OW65">
        <v>8.7840000000000007</v>
      </c>
      <c r="OX65">
        <v>1.115</v>
      </c>
      <c r="OY65">
        <v>29</v>
      </c>
      <c r="PB65" t="s">
        <v>85</v>
      </c>
      <c r="PC65">
        <v>4.1550000000000002</v>
      </c>
      <c r="PD65">
        <v>0.878</v>
      </c>
      <c r="PE65">
        <v>2.2679999999999998</v>
      </c>
      <c r="PF65">
        <v>3.6080000000000001</v>
      </c>
      <c r="PG65">
        <v>4.2359999999999998</v>
      </c>
      <c r="PH65">
        <v>4.7939999999999996</v>
      </c>
      <c r="PI65">
        <v>5.6449999999999996</v>
      </c>
      <c r="PJ65">
        <v>1.085</v>
      </c>
      <c r="PK65">
        <v>33</v>
      </c>
      <c r="PN65" t="s">
        <v>85</v>
      </c>
      <c r="PO65">
        <v>4.4800000000000004</v>
      </c>
      <c r="PP65">
        <v>0.76</v>
      </c>
      <c r="PQ65">
        <v>2.952</v>
      </c>
      <c r="PR65">
        <v>3.9769999999999999</v>
      </c>
      <c r="PS65">
        <v>4.5359999999999996</v>
      </c>
      <c r="PT65">
        <v>5.0170000000000003</v>
      </c>
      <c r="PU65">
        <v>5.8849999999999998</v>
      </c>
      <c r="PV65">
        <v>1.0549999999999999</v>
      </c>
      <c r="PW65">
        <v>45</v>
      </c>
      <c r="QA65" t="s">
        <v>85</v>
      </c>
      <c r="QB65">
        <v>2.3660000000000001</v>
      </c>
      <c r="QC65">
        <v>0.40899999999999997</v>
      </c>
      <c r="QD65">
        <v>1.673</v>
      </c>
      <c r="QE65">
        <v>2.0539999999999998</v>
      </c>
      <c r="QF65">
        <v>2.3530000000000002</v>
      </c>
      <c r="QG65">
        <v>2.6539999999999999</v>
      </c>
      <c r="QH65">
        <v>3.2040000000000002</v>
      </c>
      <c r="QI65">
        <v>1.0349999999999999</v>
      </c>
      <c r="QJ65">
        <v>68</v>
      </c>
      <c r="QL65">
        <f t="shared" si="2"/>
        <v>2.1140000000000003</v>
      </c>
    </row>
    <row r="66" spans="1:454">
      <c r="A66" t="s">
        <v>86</v>
      </c>
      <c r="B66">
        <v>5.2709999999999999</v>
      </c>
      <c r="C66">
        <v>0.97399999999999998</v>
      </c>
      <c r="D66">
        <v>3.1779999999999999</v>
      </c>
      <c r="E66">
        <v>4.6790000000000003</v>
      </c>
      <c r="F66">
        <v>5.2919999999999998</v>
      </c>
      <c r="G66">
        <v>5.907</v>
      </c>
      <c r="H66">
        <v>7.0419999999999998</v>
      </c>
      <c r="I66">
        <v>1.0349999999999999</v>
      </c>
      <c r="J66">
        <v>130</v>
      </c>
      <c r="O66" t="s">
        <v>86</v>
      </c>
      <c r="P66">
        <v>5.7649999999999997</v>
      </c>
      <c r="Q66">
        <v>1.0580000000000001</v>
      </c>
      <c r="R66">
        <v>3.3570000000000002</v>
      </c>
      <c r="S66">
        <v>5.1040000000000001</v>
      </c>
      <c r="T66">
        <v>5.9240000000000004</v>
      </c>
      <c r="U66">
        <v>6.5910000000000002</v>
      </c>
      <c r="V66">
        <v>7.2869999999999999</v>
      </c>
      <c r="W66">
        <v>1.0009999999999999</v>
      </c>
      <c r="X66">
        <v>3000</v>
      </c>
      <c r="AC66" t="s">
        <v>86</v>
      </c>
      <c r="AD66">
        <v>5.9770000000000003</v>
      </c>
      <c r="AE66">
        <v>0.71799999999999997</v>
      </c>
      <c r="AF66">
        <v>4.5330000000000004</v>
      </c>
      <c r="AG66">
        <v>5.4969999999999999</v>
      </c>
      <c r="AH66">
        <v>6.0069999999999997</v>
      </c>
      <c r="AI66">
        <v>6.5060000000000002</v>
      </c>
      <c r="AJ66">
        <v>7.2320000000000002</v>
      </c>
      <c r="AK66">
        <v>1.0009999999999999</v>
      </c>
      <c r="AL66">
        <v>3000</v>
      </c>
      <c r="AQ66" t="s">
        <v>86</v>
      </c>
      <c r="AR66">
        <v>6.0190000000000001</v>
      </c>
      <c r="AS66">
        <v>0.73399999999999999</v>
      </c>
      <c r="AT66">
        <v>4.5289999999999999</v>
      </c>
      <c r="AU66">
        <v>5.5129999999999999</v>
      </c>
      <c r="AV66">
        <v>6.0659999999999998</v>
      </c>
      <c r="AW66">
        <v>6.5670000000000002</v>
      </c>
      <c r="AX66">
        <v>7.2720000000000002</v>
      </c>
      <c r="AY66">
        <v>1.016</v>
      </c>
      <c r="AZ66">
        <v>150</v>
      </c>
      <c r="BE66" t="s">
        <v>86</v>
      </c>
      <c r="BF66">
        <v>6.4359999999999999</v>
      </c>
      <c r="BG66">
        <v>0.59899999999999998</v>
      </c>
      <c r="BH66">
        <v>5.117</v>
      </c>
      <c r="BI66">
        <v>6.0449999999999999</v>
      </c>
      <c r="BJ66">
        <v>6.5110000000000001</v>
      </c>
      <c r="BK66">
        <v>6.9089999999999998</v>
      </c>
      <c r="BL66">
        <v>7.3170000000000002</v>
      </c>
      <c r="BM66">
        <v>1.0049999999999999</v>
      </c>
      <c r="BN66">
        <v>500</v>
      </c>
      <c r="BS66" t="s">
        <v>86</v>
      </c>
      <c r="BT66">
        <v>6.0359999999999996</v>
      </c>
      <c r="BU66">
        <v>0.73599999999999999</v>
      </c>
      <c r="BV66">
        <v>4.5339999999999998</v>
      </c>
      <c r="BW66">
        <v>5.5259999999999998</v>
      </c>
      <c r="BX66">
        <v>6.077</v>
      </c>
      <c r="BY66">
        <v>6.5970000000000004</v>
      </c>
      <c r="BZ66">
        <v>7.27</v>
      </c>
      <c r="CA66">
        <v>1.014</v>
      </c>
      <c r="CB66">
        <v>180</v>
      </c>
      <c r="CG66" t="s">
        <v>86</v>
      </c>
      <c r="CH66">
        <v>6.4589999999999996</v>
      </c>
      <c r="CI66">
        <v>0.60399999999999998</v>
      </c>
      <c r="CJ66">
        <v>5.0780000000000003</v>
      </c>
      <c r="CK66">
        <v>6.0750000000000002</v>
      </c>
      <c r="CL66">
        <v>6.5460000000000003</v>
      </c>
      <c r="CM66">
        <v>6.931</v>
      </c>
      <c r="CN66">
        <v>7.327</v>
      </c>
      <c r="CO66">
        <v>1.004</v>
      </c>
      <c r="CP66">
        <v>550</v>
      </c>
      <c r="CU66" t="s">
        <v>86</v>
      </c>
      <c r="CV66">
        <v>6.367</v>
      </c>
      <c r="CW66">
        <v>0.59699999999999998</v>
      </c>
      <c r="CX66">
        <v>4.9820000000000002</v>
      </c>
      <c r="CY66">
        <v>5.9969999999999999</v>
      </c>
      <c r="CZ66">
        <v>6.4429999999999996</v>
      </c>
      <c r="DA66">
        <v>6.8029999999999999</v>
      </c>
      <c r="DB66">
        <v>7.3040000000000003</v>
      </c>
      <c r="DC66">
        <v>1.0029999999999999</v>
      </c>
      <c r="DD66">
        <v>710</v>
      </c>
      <c r="DI66" t="s">
        <v>86</v>
      </c>
      <c r="DJ66">
        <v>6.0439999999999996</v>
      </c>
      <c r="DK66">
        <v>0.71399999999999997</v>
      </c>
      <c r="DL66">
        <v>4.5670000000000002</v>
      </c>
      <c r="DM66">
        <v>5.5529999999999999</v>
      </c>
      <c r="DN66">
        <v>6.0709999999999997</v>
      </c>
      <c r="DO66">
        <v>6.5919999999999996</v>
      </c>
      <c r="DP66">
        <v>7.2619999999999996</v>
      </c>
      <c r="DQ66">
        <v>1.0009999999999999</v>
      </c>
      <c r="DR66">
        <v>3000</v>
      </c>
      <c r="DY66" t="s">
        <v>86</v>
      </c>
      <c r="DZ66">
        <v>6.077</v>
      </c>
      <c r="EA66">
        <v>0.71299999999999997</v>
      </c>
      <c r="EB66">
        <v>4.62</v>
      </c>
      <c r="EC66">
        <v>5.593</v>
      </c>
      <c r="ED66">
        <v>6.1150000000000002</v>
      </c>
      <c r="EE66">
        <v>6.6150000000000002</v>
      </c>
      <c r="EF66">
        <v>7.28</v>
      </c>
      <c r="EG66">
        <v>1.006</v>
      </c>
      <c r="EH66">
        <v>350</v>
      </c>
      <c r="EK66" t="s">
        <v>86</v>
      </c>
      <c r="EL66">
        <v>5.8929999999999998</v>
      </c>
      <c r="EM66">
        <v>0.81</v>
      </c>
      <c r="EN66">
        <v>4.2110000000000003</v>
      </c>
      <c r="EO66">
        <v>5.3490000000000002</v>
      </c>
      <c r="EP66">
        <v>5.9</v>
      </c>
      <c r="EQ66">
        <v>6.5010000000000003</v>
      </c>
      <c r="ER66">
        <v>7.274</v>
      </c>
      <c r="ES66">
        <v>1.0049999999999999</v>
      </c>
      <c r="ET66">
        <v>370</v>
      </c>
      <c r="EY66" t="s">
        <v>86</v>
      </c>
      <c r="EZ66">
        <v>5.9560000000000004</v>
      </c>
      <c r="FA66">
        <v>0.79900000000000004</v>
      </c>
      <c r="FB66">
        <v>4.2809999999999997</v>
      </c>
      <c r="FC66">
        <v>5.4089999999999998</v>
      </c>
      <c r="FD66">
        <v>5.9889999999999999</v>
      </c>
      <c r="FE66">
        <v>6.5860000000000003</v>
      </c>
      <c r="FF66">
        <v>7.2679999999999998</v>
      </c>
      <c r="FG66">
        <v>1.002</v>
      </c>
      <c r="FH66">
        <v>1200</v>
      </c>
      <c r="GA66" t="s">
        <v>86</v>
      </c>
      <c r="GB66">
        <v>5.9139999999999997</v>
      </c>
      <c r="GC66">
        <v>0.70899999999999996</v>
      </c>
      <c r="GD66">
        <v>4.476</v>
      </c>
      <c r="GE66">
        <v>5.4260000000000002</v>
      </c>
      <c r="GF66">
        <v>5.931</v>
      </c>
      <c r="GG66">
        <v>6.4210000000000003</v>
      </c>
      <c r="GH66">
        <v>7.2149999999999999</v>
      </c>
      <c r="GI66">
        <v>1.0029999999999999</v>
      </c>
      <c r="GJ66">
        <v>940</v>
      </c>
      <c r="GO66" t="s">
        <v>86</v>
      </c>
      <c r="GP66">
        <v>5.9829999999999997</v>
      </c>
      <c r="GQ66">
        <v>0.80500000000000005</v>
      </c>
      <c r="GR66">
        <v>4.3179999999999996</v>
      </c>
      <c r="GS66">
        <v>5.4210000000000003</v>
      </c>
      <c r="GT66">
        <v>6.0380000000000003</v>
      </c>
      <c r="GU66">
        <v>6.6139999999999999</v>
      </c>
      <c r="GV66">
        <v>7.2770000000000001</v>
      </c>
      <c r="GW66">
        <v>1.004</v>
      </c>
      <c r="GX66">
        <v>620</v>
      </c>
      <c r="HC66" t="s">
        <v>86</v>
      </c>
      <c r="HD66">
        <v>5.9509999999999996</v>
      </c>
      <c r="HE66">
        <v>0.80400000000000005</v>
      </c>
      <c r="HF66">
        <v>4.2889999999999997</v>
      </c>
      <c r="HG66">
        <v>5.4089999999999998</v>
      </c>
      <c r="HH66">
        <v>5.992</v>
      </c>
      <c r="HI66">
        <v>6.5759999999999996</v>
      </c>
      <c r="HJ66">
        <v>7.2750000000000004</v>
      </c>
      <c r="HK66">
        <v>1.0029999999999999</v>
      </c>
      <c r="HL66">
        <v>990</v>
      </c>
      <c r="HP66" s="7"/>
      <c r="HQ66" s="7" t="s">
        <v>86</v>
      </c>
      <c r="HR66" s="7">
        <v>5.9710000000000001</v>
      </c>
      <c r="HS66" s="7">
        <v>0.754</v>
      </c>
      <c r="HT66" s="7">
        <v>4.4749999999999996</v>
      </c>
      <c r="HU66" s="7">
        <v>5.4420000000000002</v>
      </c>
      <c r="HV66" s="7">
        <v>5.984</v>
      </c>
      <c r="HW66" s="7">
        <v>6.5549999999999997</v>
      </c>
      <c r="HX66" s="7">
        <v>7.2560000000000002</v>
      </c>
      <c r="HY66" s="7">
        <v>1.0009999999999999</v>
      </c>
      <c r="HZ66" s="7">
        <v>3000</v>
      </c>
      <c r="IA66" s="7"/>
      <c r="IE66" t="s">
        <v>86</v>
      </c>
      <c r="IF66">
        <v>6.0860000000000003</v>
      </c>
      <c r="IG66">
        <v>0.71</v>
      </c>
      <c r="IH66">
        <v>4.5960000000000001</v>
      </c>
      <c r="II66">
        <v>5.5979999999999999</v>
      </c>
      <c r="IJ66">
        <v>6.125</v>
      </c>
      <c r="IK66">
        <v>6.6369999999999996</v>
      </c>
      <c r="IL66">
        <v>7.2590000000000003</v>
      </c>
      <c r="IM66">
        <v>1.0069999999999999</v>
      </c>
      <c r="IN66">
        <v>350</v>
      </c>
      <c r="IS66" t="s">
        <v>86</v>
      </c>
      <c r="IT66">
        <v>5.9960000000000004</v>
      </c>
      <c r="IU66">
        <v>0.745</v>
      </c>
      <c r="IV66">
        <v>4.4470000000000001</v>
      </c>
      <c r="IW66">
        <v>5.4690000000000003</v>
      </c>
      <c r="IX66">
        <v>6.0359999999999996</v>
      </c>
      <c r="IY66">
        <v>6.5650000000000004</v>
      </c>
      <c r="IZ66">
        <v>7.2480000000000002</v>
      </c>
      <c r="JA66">
        <v>1.022</v>
      </c>
      <c r="JB66">
        <v>110</v>
      </c>
      <c r="JF66" t="s">
        <v>86</v>
      </c>
      <c r="JG66">
        <v>6.1280000000000001</v>
      </c>
      <c r="JH66">
        <v>0.69499999999999995</v>
      </c>
      <c r="JI66">
        <v>4.7030000000000003</v>
      </c>
      <c r="JJ66">
        <v>5.6630000000000003</v>
      </c>
      <c r="JK66">
        <v>6.1749999999999998</v>
      </c>
      <c r="JL66">
        <v>6.6559999999999997</v>
      </c>
      <c r="JM66">
        <v>7.274</v>
      </c>
      <c r="JN66">
        <v>1.006</v>
      </c>
      <c r="JO66">
        <v>380</v>
      </c>
      <c r="JT66" t="s">
        <v>86</v>
      </c>
      <c r="JU66">
        <v>6.125</v>
      </c>
      <c r="JV66">
        <v>0.71</v>
      </c>
      <c r="JW66">
        <v>4.694</v>
      </c>
      <c r="JX66">
        <v>5.6269999999999998</v>
      </c>
      <c r="JY66">
        <v>6.1630000000000003</v>
      </c>
      <c r="JZ66">
        <v>6.6929999999999996</v>
      </c>
      <c r="KA66">
        <v>7.2960000000000003</v>
      </c>
      <c r="KB66">
        <v>1.0009999999999999</v>
      </c>
      <c r="KC66">
        <v>3000</v>
      </c>
      <c r="KH66" t="s">
        <v>86</v>
      </c>
      <c r="KI66">
        <v>6.117</v>
      </c>
      <c r="KJ66">
        <v>0.71199999999999997</v>
      </c>
      <c r="KK66">
        <v>4.6340000000000003</v>
      </c>
      <c r="KL66">
        <v>5.6360000000000001</v>
      </c>
      <c r="KM66">
        <v>6.1609999999999996</v>
      </c>
      <c r="KN66">
        <v>6.6849999999999996</v>
      </c>
      <c r="KO66">
        <v>7.27</v>
      </c>
      <c r="KP66">
        <v>1.002</v>
      </c>
      <c r="KQ66">
        <v>1800</v>
      </c>
      <c r="KR66">
        <f t="shared" si="0"/>
        <v>453.50214526179474</v>
      </c>
      <c r="KV66" t="s">
        <v>86</v>
      </c>
      <c r="KW66">
        <v>6.3929999999999998</v>
      </c>
      <c r="KX66">
        <v>0.5</v>
      </c>
      <c r="KY66">
        <v>5.41</v>
      </c>
      <c r="KZ66">
        <v>6.0330000000000004</v>
      </c>
      <c r="LA66">
        <v>6.4009999999999998</v>
      </c>
      <c r="LB66">
        <v>6.7759999999999998</v>
      </c>
      <c r="LC66">
        <v>7.2619999999999996</v>
      </c>
      <c r="LD66">
        <v>1.018</v>
      </c>
      <c r="LE66">
        <v>120</v>
      </c>
      <c r="LJ66" t="s">
        <v>86</v>
      </c>
      <c r="LK66">
        <v>4.3049999999999997</v>
      </c>
      <c r="LL66">
        <v>0.27600000000000002</v>
      </c>
      <c r="LM66">
        <v>3.7610000000000001</v>
      </c>
      <c r="LN66">
        <v>4.1150000000000002</v>
      </c>
      <c r="LO66">
        <v>4.3070000000000004</v>
      </c>
      <c r="LP66">
        <v>4.484</v>
      </c>
      <c r="LQ66">
        <v>4.859</v>
      </c>
      <c r="LR66">
        <v>1.018</v>
      </c>
      <c r="LS66">
        <v>120</v>
      </c>
      <c r="LX66" t="s">
        <v>86</v>
      </c>
      <c r="LY66">
        <v>6.32</v>
      </c>
      <c r="LZ66">
        <v>0.53100000000000003</v>
      </c>
      <c r="MA66">
        <v>5.2469999999999999</v>
      </c>
      <c r="MB66">
        <v>5.9489999999999998</v>
      </c>
      <c r="MC66">
        <v>6.34</v>
      </c>
      <c r="MD66">
        <v>6.7110000000000003</v>
      </c>
      <c r="ME66">
        <v>7.2409999999999997</v>
      </c>
      <c r="MF66">
        <v>1.1319999999999999</v>
      </c>
      <c r="MG66">
        <v>20</v>
      </c>
      <c r="ML66" t="s">
        <v>86</v>
      </c>
      <c r="MM66">
        <v>5.226</v>
      </c>
      <c r="MN66">
        <v>1.016</v>
      </c>
      <c r="MO66">
        <v>3.0150000000000001</v>
      </c>
      <c r="MP66">
        <v>4.58</v>
      </c>
      <c r="MQ66">
        <v>5.2919999999999998</v>
      </c>
      <c r="MR66">
        <v>5.9459999999999997</v>
      </c>
      <c r="MS66">
        <v>7.0229999999999997</v>
      </c>
      <c r="MT66">
        <v>1.0149999999999999</v>
      </c>
      <c r="MU66">
        <v>330</v>
      </c>
      <c r="MZ66" t="s">
        <v>86</v>
      </c>
      <c r="NA66">
        <v>5.1609999999999996</v>
      </c>
      <c r="NB66">
        <v>0.81499999999999995</v>
      </c>
      <c r="NC66">
        <v>3.625</v>
      </c>
      <c r="ND66">
        <v>4.5389999999999997</v>
      </c>
      <c r="NE66">
        <v>5.1189999999999998</v>
      </c>
      <c r="NF66">
        <v>5.79</v>
      </c>
      <c r="NG66">
        <v>6.7009999999999996</v>
      </c>
      <c r="NH66">
        <v>1.6279999999999999</v>
      </c>
      <c r="NI66">
        <v>7</v>
      </c>
      <c r="NM66" t="s">
        <v>86</v>
      </c>
      <c r="NN66">
        <v>4.7229999999999999</v>
      </c>
      <c r="NO66">
        <v>0.96199999999999997</v>
      </c>
      <c r="NP66">
        <v>2.6930000000000001</v>
      </c>
      <c r="NQ66">
        <v>4.0949999999999998</v>
      </c>
      <c r="NR66">
        <v>4.7450000000000001</v>
      </c>
      <c r="NS66">
        <v>5.415</v>
      </c>
      <c r="NT66">
        <v>6.4660000000000002</v>
      </c>
      <c r="NU66">
        <v>1.028</v>
      </c>
      <c r="NV66">
        <v>180</v>
      </c>
      <c r="NY66" t="s">
        <v>86</v>
      </c>
      <c r="NZ66">
        <v>5.2949999999999999</v>
      </c>
      <c r="OA66">
        <v>1.056</v>
      </c>
      <c r="OB66">
        <v>3.206</v>
      </c>
      <c r="OC66">
        <v>4.5810000000000004</v>
      </c>
      <c r="OD66">
        <v>5.2939999999999996</v>
      </c>
      <c r="OE66">
        <v>6.0590000000000002</v>
      </c>
      <c r="OF66">
        <v>7.181</v>
      </c>
      <c r="OG66">
        <v>1.036</v>
      </c>
      <c r="OH66">
        <v>320</v>
      </c>
      <c r="OP66" t="s">
        <v>86</v>
      </c>
      <c r="OQ66">
        <v>5.8579999999999997</v>
      </c>
      <c r="OR66">
        <v>0.91500000000000004</v>
      </c>
      <c r="OS66">
        <v>3.7</v>
      </c>
      <c r="OT66">
        <v>5.2670000000000003</v>
      </c>
      <c r="OU66">
        <v>6.0220000000000002</v>
      </c>
      <c r="OV66">
        <v>6.5679999999999996</v>
      </c>
      <c r="OW66">
        <v>7.1959999999999997</v>
      </c>
      <c r="OX66">
        <v>1.1399999999999999</v>
      </c>
      <c r="OY66">
        <v>24</v>
      </c>
      <c r="PB66" t="s">
        <v>86</v>
      </c>
      <c r="PC66">
        <v>3.5950000000000002</v>
      </c>
      <c r="PD66">
        <v>0.88400000000000001</v>
      </c>
      <c r="PE66">
        <v>1.698</v>
      </c>
      <c r="PF66">
        <v>3.0489999999999999</v>
      </c>
      <c r="PG66">
        <v>3.6720000000000002</v>
      </c>
      <c r="PH66">
        <v>4.2389999999999999</v>
      </c>
      <c r="PI66">
        <v>5.0999999999999996</v>
      </c>
      <c r="PJ66">
        <v>1.093</v>
      </c>
      <c r="PK66">
        <v>32</v>
      </c>
      <c r="PN66" t="s">
        <v>86</v>
      </c>
      <c r="PO66">
        <v>4.3419999999999996</v>
      </c>
      <c r="PP66">
        <v>0.75600000000000001</v>
      </c>
      <c r="PQ66">
        <v>2.8279999999999998</v>
      </c>
      <c r="PR66">
        <v>3.8410000000000002</v>
      </c>
      <c r="PS66">
        <v>4.3979999999999997</v>
      </c>
      <c r="PT66">
        <v>4.8789999999999996</v>
      </c>
      <c r="PU66">
        <v>5.7439999999999998</v>
      </c>
      <c r="PV66">
        <v>1.0549999999999999</v>
      </c>
      <c r="PW66">
        <v>45</v>
      </c>
      <c r="QA66" t="s">
        <v>86</v>
      </c>
      <c r="QB66">
        <v>1.907</v>
      </c>
      <c r="QC66">
        <v>0.42199999999999999</v>
      </c>
      <c r="QD66">
        <v>1.2130000000000001</v>
      </c>
      <c r="QE66">
        <v>1.577</v>
      </c>
      <c r="QF66">
        <v>1.8859999999999999</v>
      </c>
      <c r="QG66">
        <v>2.2040000000000002</v>
      </c>
      <c r="QH66">
        <v>2.7839999999999998</v>
      </c>
      <c r="QI66">
        <v>1.044</v>
      </c>
      <c r="QJ66">
        <v>54</v>
      </c>
      <c r="QL66">
        <f t="shared" si="2"/>
        <v>2.4349999999999996</v>
      </c>
    </row>
    <row r="67" spans="1:454">
      <c r="A67" t="s">
        <v>87</v>
      </c>
      <c r="B67">
        <v>6.5439999999999996</v>
      </c>
      <c r="C67">
        <v>1.1339999999999999</v>
      </c>
      <c r="D67">
        <v>4.2290000000000001</v>
      </c>
      <c r="E67">
        <v>5.7919999999999998</v>
      </c>
      <c r="F67">
        <v>6.5880000000000001</v>
      </c>
      <c r="G67">
        <v>7.3840000000000003</v>
      </c>
      <c r="H67">
        <v>8.5389999999999997</v>
      </c>
      <c r="I67">
        <v>1.0109999999999999</v>
      </c>
      <c r="J67">
        <v>3000</v>
      </c>
      <c r="O67" t="s">
        <v>87</v>
      </c>
      <c r="P67">
        <v>5.9409999999999998</v>
      </c>
      <c r="Q67">
        <v>1.087</v>
      </c>
      <c r="R67">
        <v>3.427</v>
      </c>
      <c r="S67">
        <v>5.2779999999999996</v>
      </c>
      <c r="T67">
        <v>6.165</v>
      </c>
      <c r="U67">
        <v>6.84</v>
      </c>
      <c r="V67">
        <v>7.3360000000000003</v>
      </c>
      <c r="W67">
        <v>1.0009999999999999</v>
      </c>
      <c r="X67">
        <v>3000</v>
      </c>
      <c r="AC67" t="s">
        <v>87</v>
      </c>
      <c r="AD67">
        <v>6.319</v>
      </c>
      <c r="AE67">
        <v>0.77300000000000002</v>
      </c>
      <c r="AF67">
        <v>4.6150000000000002</v>
      </c>
      <c r="AG67">
        <v>5.8150000000000004</v>
      </c>
      <c r="AH67">
        <v>6.4329999999999998</v>
      </c>
      <c r="AI67">
        <v>6.9539999999999997</v>
      </c>
      <c r="AJ67">
        <v>7.3620000000000001</v>
      </c>
      <c r="AK67">
        <v>1.0029999999999999</v>
      </c>
      <c r="AL67">
        <v>800</v>
      </c>
      <c r="AQ67" t="s">
        <v>87</v>
      </c>
      <c r="AR67">
        <v>6.3129999999999997</v>
      </c>
      <c r="AS67">
        <v>0.77500000000000002</v>
      </c>
      <c r="AT67">
        <v>4.5110000000000001</v>
      </c>
      <c r="AU67">
        <v>5.8019999999999996</v>
      </c>
      <c r="AV67">
        <v>6.4390000000000001</v>
      </c>
      <c r="AW67">
        <v>6.94</v>
      </c>
      <c r="AX67">
        <v>7.3479999999999999</v>
      </c>
      <c r="AY67">
        <v>1.004</v>
      </c>
      <c r="AZ67">
        <v>550</v>
      </c>
      <c r="BE67" t="s">
        <v>87</v>
      </c>
      <c r="BF67">
        <v>6.6639999999999997</v>
      </c>
      <c r="BG67">
        <v>0.57099999999999995</v>
      </c>
      <c r="BH67">
        <v>5.28</v>
      </c>
      <c r="BI67">
        <v>6.3280000000000003</v>
      </c>
      <c r="BJ67">
        <v>6.8010000000000002</v>
      </c>
      <c r="BK67">
        <v>7.1210000000000004</v>
      </c>
      <c r="BL67">
        <v>7.3550000000000004</v>
      </c>
      <c r="BM67">
        <v>1.014</v>
      </c>
      <c r="BN67">
        <v>160</v>
      </c>
      <c r="BS67" t="s">
        <v>87</v>
      </c>
      <c r="BT67">
        <v>6.2</v>
      </c>
      <c r="BU67">
        <v>0.78800000000000003</v>
      </c>
      <c r="BV67">
        <v>4.4180000000000001</v>
      </c>
      <c r="BW67">
        <v>5.68</v>
      </c>
      <c r="BX67">
        <v>6.3170000000000002</v>
      </c>
      <c r="BY67">
        <v>6.83</v>
      </c>
      <c r="BZ67">
        <v>7.3250000000000002</v>
      </c>
      <c r="CA67">
        <v>1.01</v>
      </c>
      <c r="CB67">
        <v>220</v>
      </c>
      <c r="CG67" t="s">
        <v>87</v>
      </c>
      <c r="CH67">
        <v>6.72</v>
      </c>
      <c r="CI67">
        <v>0.55300000000000005</v>
      </c>
      <c r="CJ67">
        <v>5.3040000000000003</v>
      </c>
      <c r="CK67">
        <v>6.4180000000000001</v>
      </c>
      <c r="CL67">
        <v>6.8730000000000002</v>
      </c>
      <c r="CM67">
        <v>7.1550000000000002</v>
      </c>
      <c r="CN67">
        <v>7.359</v>
      </c>
      <c r="CO67">
        <v>1.0049999999999999</v>
      </c>
      <c r="CP67">
        <v>460</v>
      </c>
      <c r="CU67" t="s">
        <v>87</v>
      </c>
      <c r="CV67">
        <v>6.8940000000000001</v>
      </c>
      <c r="CW67">
        <v>0.54200000000000004</v>
      </c>
      <c r="CX67">
        <v>5.3849999999999998</v>
      </c>
      <c r="CY67">
        <v>6.64</v>
      </c>
      <c r="CZ67">
        <v>7.0910000000000002</v>
      </c>
      <c r="DA67">
        <v>7.3109999999999999</v>
      </c>
      <c r="DB67">
        <v>7.38</v>
      </c>
      <c r="DC67">
        <v>1.004</v>
      </c>
      <c r="DD67">
        <v>580</v>
      </c>
      <c r="DI67" t="s">
        <v>87</v>
      </c>
      <c r="DJ67">
        <v>6.3860000000000001</v>
      </c>
      <c r="DK67">
        <v>0.77100000000000002</v>
      </c>
      <c r="DL67">
        <v>4.569</v>
      </c>
      <c r="DM67">
        <v>5.9160000000000004</v>
      </c>
      <c r="DN67">
        <v>6.5460000000000003</v>
      </c>
      <c r="DO67">
        <v>7.0149999999999997</v>
      </c>
      <c r="DP67">
        <v>7.3570000000000002</v>
      </c>
      <c r="DQ67">
        <v>1.002</v>
      </c>
      <c r="DR67">
        <v>1200</v>
      </c>
      <c r="DY67" t="s">
        <v>87</v>
      </c>
      <c r="DZ67">
        <v>6.4850000000000003</v>
      </c>
      <c r="EA67">
        <v>0.70399999999999996</v>
      </c>
      <c r="EB67">
        <v>4.8280000000000003</v>
      </c>
      <c r="EC67">
        <v>6.04</v>
      </c>
      <c r="ED67">
        <v>6.64</v>
      </c>
      <c r="EE67">
        <v>7.0640000000000001</v>
      </c>
      <c r="EF67">
        <v>7.351</v>
      </c>
      <c r="EG67">
        <v>1.0089999999999999</v>
      </c>
      <c r="EH67">
        <v>240</v>
      </c>
      <c r="EK67" t="s">
        <v>87</v>
      </c>
      <c r="EL67">
        <v>6.141</v>
      </c>
      <c r="EM67">
        <v>0.78400000000000003</v>
      </c>
      <c r="EN67">
        <v>4.4870000000000001</v>
      </c>
      <c r="EO67">
        <v>5.6260000000000003</v>
      </c>
      <c r="EP67">
        <v>6.2249999999999996</v>
      </c>
      <c r="EQ67">
        <v>6.766</v>
      </c>
      <c r="ER67">
        <v>7.3150000000000004</v>
      </c>
      <c r="ES67">
        <v>1.0049999999999999</v>
      </c>
      <c r="ET67">
        <v>400</v>
      </c>
      <c r="EY67" t="s">
        <v>87</v>
      </c>
      <c r="EZ67">
        <v>6.26</v>
      </c>
      <c r="FA67">
        <v>0.80900000000000005</v>
      </c>
      <c r="FB67">
        <v>4.4400000000000004</v>
      </c>
      <c r="FC67">
        <v>5.7290000000000001</v>
      </c>
      <c r="FD67">
        <v>6.407</v>
      </c>
      <c r="FE67">
        <v>6.9329999999999998</v>
      </c>
      <c r="FF67">
        <v>7.34</v>
      </c>
      <c r="FG67">
        <v>1.0009999999999999</v>
      </c>
      <c r="FH67">
        <v>3000</v>
      </c>
      <c r="GA67" t="s">
        <v>87</v>
      </c>
      <c r="GB67">
        <v>5.431</v>
      </c>
      <c r="GC67">
        <v>0.70299999999999996</v>
      </c>
      <c r="GD67">
        <v>4.0599999999999996</v>
      </c>
      <c r="GE67">
        <v>4.9489999999999998</v>
      </c>
      <c r="GF67">
        <v>5.4409999999999998</v>
      </c>
      <c r="GG67">
        <v>5.91</v>
      </c>
      <c r="GH67">
        <v>6.7859999999999996</v>
      </c>
      <c r="GI67">
        <v>1.0069999999999999</v>
      </c>
      <c r="GJ67">
        <v>320</v>
      </c>
      <c r="GO67" t="s">
        <v>87</v>
      </c>
      <c r="GP67">
        <v>6.12</v>
      </c>
      <c r="GQ67">
        <v>0.85599999999999998</v>
      </c>
      <c r="GR67">
        <v>4.2140000000000004</v>
      </c>
      <c r="GS67">
        <v>5.5609999999999999</v>
      </c>
      <c r="GT67">
        <v>6.2320000000000002</v>
      </c>
      <c r="GU67">
        <v>6.8239999999999998</v>
      </c>
      <c r="GV67">
        <v>7.3369999999999997</v>
      </c>
      <c r="GW67">
        <v>1.0029999999999999</v>
      </c>
      <c r="GX67">
        <v>940</v>
      </c>
      <c r="HC67" t="s">
        <v>87</v>
      </c>
      <c r="HD67">
        <v>6.1909999999999998</v>
      </c>
      <c r="HE67">
        <v>0.80600000000000005</v>
      </c>
      <c r="HF67">
        <v>4.4290000000000003</v>
      </c>
      <c r="HG67">
        <v>5.6520000000000001</v>
      </c>
      <c r="HH67">
        <v>6.3070000000000004</v>
      </c>
      <c r="HI67">
        <v>6.8419999999999996</v>
      </c>
      <c r="HJ67">
        <v>7.3259999999999996</v>
      </c>
      <c r="HK67">
        <v>1.004</v>
      </c>
      <c r="HL67">
        <v>650</v>
      </c>
      <c r="HP67" s="7"/>
      <c r="HQ67" s="7" t="s">
        <v>87</v>
      </c>
      <c r="HR67" s="7">
        <v>6.3860000000000001</v>
      </c>
      <c r="HS67" s="7">
        <v>0.73299999999999998</v>
      </c>
      <c r="HT67" s="7">
        <v>4.694</v>
      </c>
      <c r="HU67" s="7">
        <v>5.92</v>
      </c>
      <c r="HV67" s="7">
        <v>6.51</v>
      </c>
      <c r="HW67" s="7">
        <v>6.9870000000000001</v>
      </c>
      <c r="HX67" s="7">
        <v>7.343</v>
      </c>
      <c r="HY67" s="7">
        <v>1.0009999999999999</v>
      </c>
      <c r="HZ67" s="7">
        <v>2800</v>
      </c>
      <c r="IA67" s="7"/>
      <c r="IE67" t="s">
        <v>87</v>
      </c>
      <c r="IF67">
        <v>6.3520000000000003</v>
      </c>
      <c r="IG67">
        <v>0.70599999999999996</v>
      </c>
      <c r="IH67">
        <v>4.8140000000000001</v>
      </c>
      <c r="II67">
        <v>5.8639999999999999</v>
      </c>
      <c r="IJ67">
        <v>6.4409999999999998</v>
      </c>
      <c r="IK67">
        <v>6.9409999999999998</v>
      </c>
      <c r="IL67">
        <v>7.34</v>
      </c>
      <c r="IM67">
        <v>1.0009999999999999</v>
      </c>
      <c r="IN67">
        <v>2600</v>
      </c>
      <c r="IS67" t="s">
        <v>87</v>
      </c>
      <c r="IT67">
        <v>6.3849999999999998</v>
      </c>
      <c r="IU67">
        <v>0.72599999999999998</v>
      </c>
      <c r="IV67">
        <v>4.6929999999999996</v>
      </c>
      <c r="IW67">
        <v>5.9210000000000003</v>
      </c>
      <c r="IX67">
        <v>6.5350000000000001</v>
      </c>
      <c r="IY67">
        <v>6.9729999999999999</v>
      </c>
      <c r="IZ67">
        <v>7.3369999999999997</v>
      </c>
      <c r="JA67">
        <v>1.0149999999999999</v>
      </c>
      <c r="JB67">
        <v>200</v>
      </c>
      <c r="JF67" t="s">
        <v>87</v>
      </c>
      <c r="JG67">
        <v>6.492</v>
      </c>
      <c r="JH67">
        <v>0.67300000000000004</v>
      </c>
      <c r="JI67">
        <v>4.984</v>
      </c>
      <c r="JJ67">
        <v>6.0670000000000002</v>
      </c>
      <c r="JK67">
        <v>6.6379999999999999</v>
      </c>
      <c r="JL67">
        <v>7.0519999999999996</v>
      </c>
      <c r="JM67">
        <v>7.3440000000000003</v>
      </c>
      <c r="JN67">
        <v>1.0009999999999999</v>
      </c>
      <c r="JO67">
        <v>3000</v>
      </c>
      <c r="JT67" t="s">
        <v>87</v>
      </c>
      <c r="JU67">
        <v>6.4660000000000002</v>
      </c>
      <c r="JV67">
        <v>0.68</v>
      </c>
      <c r="JW67">
        <v>4.8949999999999996</v>
      </c>
      <c r="JX67">
        <v>6.0570000000000004</v>
      </c>
      <c r="JY67">
        <v>6.6020000000000003</v>
      </c>
      <c r="JZ67">
        <v>7.01</v>
      </c>
      <c r="KA67">
        <v>7.351</v>
      </c>
      <c r="KB67">
        <v>1.0009999999999999</v>
      </c>
      <c r="KC67">
        <v>3000</v>
      </c>
      <c r="KH67" t="s">
        <v>87</v>
      </c>
      <c r="KI67">
        <v>6.4950000000000001</v>
      </c>
      <c r="KJ67">
        <v>0.68200000000000005</v>
      </c>
      <c r="KK67">
        <v>4.9109999999999996</v>
      </c>
      <c r="KL67">
        <v>6.0720000000000001</v>
      </c>
      <c r="KM67">
        <v>6.6349999999999998</v>
      </c>
      <c r="KN67">
        <v>7.05</v>
      </c>
      <c r="KO67">
        <v>7.3460000000000001</v>
      </c>
      <c r="KP67">
        <v>1.0009999999999999</v>
      </c>
      <c r="KQ67">
        <v>3000</v>
      </c>
      <c r="KR67">
        <f t="shared" si="0"/>
        <v>661.82422530973986</v>
      </c>
      <c r="KV67" t="s">
        <v>87</v>
      </c>
      <c r="KW67">
        <v>8.0220000000000002</v>
      </c>
      <c r="KX67">
        <v>0.69799999999999995</v>
      </c>
      <c r="KY67">
        <v>6.6349999999999998</v>
      </c>
      <c r="KZ67">
        <v>7.5270000000000001</v>
      </c>
      <c r="LA67">
        <v>8.0250000000000004</v>
      </c>
      <c r="LB67">
        <v>8.5329999999999995</v>
      </c>
      <c r="LC67">
        <v>9.2940000000000005</v>
      </c>
      <c r="LD67">
        <v>1.0109999999999999</v>
      </c>
      <c r="LE67">
        <v>200</v>
      </c>
      <c r="LJ67" t="s">
        <v>87</v>
      </c>
      <c r="LK67">
        <v>5.2309999999999999</v>
      </c>
      <c r="LL67">
        <v>0.32200000000000001</v>
      </c>
      <c r="LM67">
        <v>4.5999999999999996</v>
      </c>
      <c r="LN67">
        <v>5.0129999999999999</v>
      </c>
      <c r="LO67">
        <v>5.23</v>
      </c>
      <c r="LP67">
        <v>5.4450000000000003</v>
      </c>
      <c r="LQ67">
        <v>5.8559999999999999</v>
      </c>
      <c r="LR67">
        <v>1.0249999999999999</v>
      </c>
      <c r="LS67">
        <v>85</v>
      </c>
      <c r="LX67" t="s">
        <v>87</v>
      </c>
      <c r="LY67">
        <v>8.1649999999999991</v>
      </c>
      <c r="LZ67">
        <v>0.83899999999999997</v>
      </c>
      <c r="MA67">
        <v>6.56</v>
      </c>
      <c r="MB67">
        <v>7.5750000000000002</v>
      </c>
      <c r="MC67">
        <v>8.1739999999999995</v>
      </c>
      <c r="MD67">
        <v>8.7550000000000008</v>
      </c>
      <c r="ME67">
        <v>9.7530000000000001</v>
      </c>
      <c r="MF67">
        <v>1.2090000000000001</v>
      </c>
      <c r="MG67">
        <v>14</v>
      </c>
      <c r="ML67" t="s">
        <v>87</v>
      </c>
      <c r="MM67">
        <v>6.6760000000000002</v>
      </c>
      <c r="MN67">
        <v>1.1160000000000001</v>
      </c>
      <c r="MO67">
        <v>4.3230000000000004</v>
      </c>
      <c r="MP67">
        <v>5.9530000000000003</v>
      </c>
      <c r="MQ67">
        <v>6.7140000000000004</v>
      </c>
      <c r="MR67">
        <v>7.4580000000000002</v>
      </c>
      <c r="MS67">
        <v>8.7219999999999995</v>
      </c>
      <c r="MT67">
        <v>1.012</v>
      </c>
      <c r="MU67">
        <v>340</v>
      </c>
      <c r="MZ67" t="s">
        <v>87</v>
      </c>
      <c r="NA67">
        <v>6.5860000000000003</v>
      </c>
      <c r="NB67">
        <v>0.93100000000000005</v>
      </c>
      <c r="NC67">
        <v>4.8869999999999996</v>
      </c>
      <c r="ND67">
        <v>5.8879999999999999</v>
      </c>
      <c r="NE67">
        <v>6.548</v>
      </c>
      <c r="NF67">
        <v>7.282</v>
      </c>
      <c r="NG67">
        <v>8.3859999999999992</v>
      </c>
      <c r="NH67">
        <v>1.5780000000000001</v>
      </c>
      <c r="NI67">
        <v>7</v>
      </c>
      <c r="NM67" t="s">
        <v>87</v>
      </c>
      <c r="NN67">
        <v>6.8769999999999998</v>
      </c>
      <c r="NO67">
        <v>1.155</v>
      </c>
      <c r="NP67">
        <v>4.6020000000000003</v>
      </c>
      <c r="NQ67">
        <v>6.085</v>
      </c>
      <c r="NR67">
        <v>6.8410000000000002</v>
      </c>
      <c r="NS67">
        <v>7.6820000000000004</v>
      </c>
      <c r="NT67">
        <v>9.07</v>
      </c>
      <c r="NU67">
        <v>1.028</v>
      </c>
      <c r="NV67">
        <v>130</v>
      </c>
      <c r="NY67" t="s">
        <v>87</v>
      </c>
      <c r="NZ67">
        <v>8.1319999999999997</v>
      </c>
      <c r="OA67">
        <v>1.327</v>
      </c>
      <c r="OB67">
        <v>5.4630000000000001</v>
      </c>
      <c r="OC67">
        <v>7.1840000000000002</v>
      </c>
      <c r="OD67">
        <v>8.2070000000000007</v>
      </c>
      <c r="OE67">
        <v>9.1159999999999997</v>
      </c>
      <c r="OF67">
        <v>10.44</v>
      </c>
      <c r="OG67">
        <v>1.0449999999999999</v>
      </c>
      <c r="OH67">
        <v>61</v>
      </c>
      <c r="OP67" t="s">
        <v>87</v>
      </c>
      <c r="OQ67">
        <v>8.5180000000000007</v>
      </c>
      <c r="OR67">
        <v>0.997</v>
      </c>
      <c r="OS67">
        <v>6.2270000000000003</v>
      </c>
      <c r="OT67">
        <v>7.8529999999999998</v>
      </c>
      <c r="OU67">
        <v>8.6669999999999998</v>
      </c>
      <c r="OV67">
        <v>9.2750000000000004</v>
      </c>
      <c r="OW67">
        <v>10.079000000000001</v>
      </c>
      <c r="OX67">
        <v>1.0960000000000001</v>
      </c>
      <c r="OY67">
        <v>36</v>
      </c>
      <c r="PB67" t="s">
        <v>87</v>
      </c>
      <c r="PC67">
        <v>4.601</v>
      </c>
      <c r="PD67">
        <v>0.877</v>
      </c>
      <c r="PE67">
        <v>2.7090000000000001</v>
      </c>
      <c r="PF67">
        <v>4.0590000000000002</v>
      </c>
      <c r="PG67">
        <v>4.6760000000000002</v>
      </c>
      <c r="PH67">
        <v>5.234</v>
      </c>
      <c r="PI67">
        <v>6.0940000000000003</v>
      </c>
      <c r="PJ67">
        <v>1.08</v>
      </c>
      <c r="PK67">
        <v>35</v>
      </c>
      <c r="PN67" t="s">
        <v>87</v>
      </c>
      <c r="PO67">
        <v>4.3879999999999999</v>
      </c>
      <c r="PP67">
        <v>0.75700000000000001</v>
      </c>
      <c r="PQ67">
        <v>2.87</v>
      </c>
      <c r="PR67">
        <v>3.887</v>
      </c>
      <c r="PS67">
        <v>4.4400000000000004</v>
      </c>
      <c r="PT67">
        <v>4.9249999999999998</v>
      </c>
      <c r="PU67">
        <v>5.79</v>
      </c>
      <c r="PV67">
        <v>1.0549999999999999</v>
      </c>
      <c r="PW67">
        <v>45</v>
      </c>
      <c r="QA67" t="s">
        <v>87</v>
      </c>
      <c r="QB67">
        <v>2.06</v>
      </c>
      <c r="QC67">
        <v>0.41699999999999998</v>
      </c>
      <c r="QD67">
        <v>1.3680000000000001</v>
      </c>
      <c r="QE67">
        <v>1.7350000000000001</v>
      </c>
      <c r="QF67">
        <v>2.0419999999999998</v>
      </c>
      <c r="QG67">
        <v>2.3530000000000002</v>
      </c>
      <c r="QH67">
        <v>2.9220000000000002</v>
      </c>
      <c r="QI67">
        <v>1.0409999999999999</v>
      </c>
      <c r="QJ67">
        <v>58</v>
      </c>
      <c r="QL67">
        <f t="shared" si="2"/>
        <v>2.3279999999999998</v>
      </c>
    </row>
    <row r="68" spans="1:454">
      <c r="A68" t="s">
        <v>88</v>
      </c>
      <c r="B68">
        <v>5.8220000000000001</v>
      </c>
      <c r="C68">
        <v>1.0509999999999999</v>
      </c>
      <c r="D68">
        <v>3.532</v>
      </c>
      <c r="E68">
        <v>5.1909999999999998</v>
      </c>
      <c r="F68">
        <v>5.8879999999999999</v>
      </c>
      <c r="G68">
        <v>6.5590000000000002</v>
      </c>
      <c r="H68">
        <v>7.6779999999999999</v>
      </c>
      <c r="I68">
        <v>1.016</v>
      </c>
      <c r="J68">
        <v>600</v>
      </c>
      <c r="O68" t="s">
        <v>88</v>
      </c>
      <c r="P68">
        <v>5.5979999999999999</v>
      </c>
      <c r="Q68">
        <v>1.347</v>
      </c>
      <c r="R68">
        <v>2.4260000000000002</v>
      </c>
      <c r="S68">
        <v>4.7919999999999998</v>
      </c>
      <c r="T68">
        <v>5.891</v>
      </c>
      <c r="U68">
        <v>6.6870000000000003</v>
      </c>
      <c r="V68">
        <v>7.3040000000000003</v>
      </c>
      <c r="W68">
        <v>1.002</v>
      </c>
      <c r="X68">
        <v>2600</v>
      </c>
      <c r="AC68" t="s">
        <v>88</v>
      </c>
      <c r="AD68">
        <v>6.0060000000000002</v>
      </c>
      <c r="AE68">
        <v>0.89600000000000002</v>
      </c>
      <c r="AF68">
        <v>3.9769999999999999</v>
      </c>
      <c r="AG68">
        <v>5.4420000000000002</v>
      </c>
      <c r="AH68">
        <v>6.1219999999999999</v>
      </c>
      <c r="AI68">
        <v>6.7130000000000001</v>
      </c>
      <c r="AJ68">
        <v>7.306</v>
      </c>
      <c r="AK68">
        <v>1.0029999999999999</v>
      </c>
      <c r="AL68">
        <v>880</v>
      </c>
      <c r="AQ68" t="s">
        <v>88</v>
      </c>
      <c r="AR68">
        <v>5.9989999999999997</v>
      </c>
      <c r="AS68">
        <v>0.89100000000000001</v>
      </c>
      <c r="AT68">
        <v>4.0650000000000004</v>
      </c>
      <c r="AU68">
        <v>5.42</v>
      </c>
      <c r="AV68">
        <v>6.1219999999999999</v>
      </c>
      <c r="AW68">
        <v>6.6980000000000004</v>
      </c>
      <c r="AX68">
        <v>7.3140000000000001</v>
      </c>
      <c r="AY68">
        <v>1.0049999999999999</v>
      </c>
      <c r="AZ68">
        <v>630</v>
      </c>
      <c r="BE68" t="s">
        <v>88</v>
      </c>
      <c r="BF68">
        <v>6.23</v>
      </c>
      <c r="BG68">
        <v>0.78700000000000003</v>
      </c>
      <c r="BH68">
        <v>4.4580000000000002</v>
      </c>
      <c r="BI68">
        <v>5.7409999999999997</v>
      </c>
      <c r="BJ68">
        <v>6.3529999999999998</v>
      </c>
      <c r="BK68">
        <v>6.86</v>
      </c>
      <c r="BL68">
        <v>7.3230000000000004</v>
      </c>
      <c r="BM68">
        <v>1.018</v>
      </c>
      <c r="BN68">
        <v>160</v>
      </c>
      <c r="BS68" t="s">
        <v>88</v>
      </c>
      <c r="BT68">
        <v>5.9569999999999999</v>
      </c>
      <c r="BU68">
        <v>0.93400000000000005</v>
      </c>
      <c r="BV68">
        <v>3.9409999999999998</v>
      </c>
      <c r="BW68">
        <v>5.3179999999999996</v>
      </c>
      <c r="BX68">
        <v>6.0830000000000002</v>
      </c>
      <c r="BY68">
        <v>6.718</v>
      </c>
      <c r="BZ68">
        <v>7.3109999999999999</v>
      </c>
      <c r="CA68">
        <v>1.0089999999999999</v>
      </c>
      <c r="CB68">
        <v>280</v>
      </c>
      <c r="CG68" t="s">
        <v>88</v>
      </c>
      <c r="CH68">
        <v>6.27</v>
      </c>
      <c r="CI68">
        <v>0.8</v>
      </c>
      <c r="CJ68">
        <v>4.3840000000000003</v>
      </c>
      <c r="CK68">
        <v>5.7590000000000003</v>
      </c>
      <c r="CL68">
        <v>6.4340000000000002</v>
      </c>
      <c r="CM68">
        <v>6.9189999999999996</v>
      </c>
      <c r="CN68">
        <v>7.3330000000000002</v>
      </c>
      <c r="CO68">
        <v>1.002</v>
      </c>
      <c r="CP68">
        <v>1000</v>
      </c>
      <c r="CU68" t="s">
        <v>88</v>
      </c>
      <c r="CV68">
        <v>6.6509999999999998</v>
      </c>
      <c r="CW68">
        <v>0.67700000000000005</v>
      </c>
      <c r="CX68">
        <v>4.9249999999999998</v>
      </c>
      <c r="CY68">
        <v>6.2949999999999999</v>
      </c>
      <c r="CZ68">
        <v>6.8360000000000003</v>
      </c>
      <c r="DA68">
        <v>7.1870000000000003</v>
      </c>
      <c r="DB68">
        <v>7.3719999999999999</v>
      </c>
      <c r="DC68">
        <v>1.002</v>
      </c>
      <c r="DD68">
        <v>1200</v>
      </c>
      <c r="DI68" t="s">
        <v>88</v>
      </c>
      <c r="DJ68">
        <v>6.0529999999999999</v>
      </c>
      <c r="DK68">
        <v>0.89300000000000002</v>
      </c>
      <c r="DL68">
        <v>4.056</v>
      </c>
      <c r="DM68">
        <v>5.4779999999999998</v>
      </c>
      <c r="DN68">
        <v>6.1879999999999997</v>
      </c>
      <c r="DO68">
        <v>6.766</v>
      </c>
      <c r="DP68">
        <v>7.3120000000000003</v>
      </c>
      <c r="DQ68">
        <v>1.0009999999999999</v>
      </c>
      <c r="DR68">
        <v>3000</v>
      </c>
      <c r="DY68" t="s">
        <v>88</v>
      </c>
      <c r="DZ68">
        <v>6.1340000000000003</v>
      </c>
      <c r="EA68">
        <v>0.84499999999999997</v>
      </c>
      <c r="EB68">
        <v>4.2160000000000002</v>
      </c>
      <c r="EC68">
        <v>5.6219999999999999</v>
      </c>
      <c r="ED68">
        <v>6.258</v>
      </c>
      <c r="EE68">
        <v>6.7939999999999996</v>
      </c>
      <c r="EF68">
        <v>7.3289999999999997</v>
      </c>
      <c r="EG68">
        <v>1.006</v>
      </c>
      <c r="EH68">
        <v>490</v>
      </c>
      <c r="EK68" t="s">
        <v>88</v>
      </c>
      <c r="EL68">
        <v>5.7370000000000001</v>
      </c>
      <c r="EM68">
        <v>1.085</v>
      </c>
      <c r="EN68">
        <v>3.2810000000000001</v>
      </c>
      <c r="EO68">
        <v>4.9980000000000002</v>
      </c>
      <c r="EP68">
        <v>5.8869999999999996</v>
      </c>
      <c r="EQ68">
        <v>6.6420000000000003</v>
      </c>
      <c r="ER68">
        <v>7.2750000000000004</v>
      </c>
      <c r="ES68">
        <v>1.002</v>
      </c>
      <c r="ET68">
        <v>1200</v>
      </c>
      <c r="EY68" t="s">
        <v>88</v>
      </c>
      <c r="EZ68">
        <v>5.8730000000000002</v>
      </c>
      <c r="FA68">
        <v>0.98299999999999998</v>
      </c>
      <c r="FB68">
        <v>3.7160000000000002</v>
      </c>
      <c r="FC68">
        <v>5.266</v>
      </c>
      <c r="FD68">
        <v>6</v>
      </c>
      <c r="FE68">
        <v>6.66</v>
      </c>
      <c r="FF68">
        <v>7.2709999999999999</v>
      </c>
      <c r="FG68">
        <v>1.002</v>
      </c>
      <c r="FH68">
        <v>1200</v>
      </c>
      <c r="GA68" t="s">
        <v>88</v>
      </c>
      <c r="GB68">
        <v>5.101</v>
      </c>
      <c r="GC68">
        <v>0.879</v>
      </c>
      <c r="GD68">
        <v>3.4390000000000001</v>
      </c>
      <c r="GE68">
        <v>4.4980000000000002</v>
      </c>
      <c r="GF68">
        <v>5.0730000000000004</v>
      </c>
      <c r="GG68">
        <v>5.7030000000000003</v>
      </c>
      <c r="GH68">
        <v>6.8680000000000003</v>
      </c>
      <c r="GI68">
        <v>1.008</v>
      </c>
      <c r="GJ68">
        <v>270</v>
      </c>
      <c r="GO68" t="s">
        <v>88</v>
      </c>
      <c r="GP68">
        <v>5.8040000000000003</v>
      </c>
      <c r="GQ68">
        <v>1.02</v>
      </c>
      <c r="GR68">
        <v>3.617</v>
      </c>
      <c r="GS68">
        <v>5.1310000000000002</v>
      </c>
      <c r="GT68">
        <v>5.915</v>
      </c>
      <c r="GU68">
        <v>6.6390000000000002</v>
      </c>
      <c r="GV68">
        <v>7.2960000000000003</v>
      </c>
      <c r="GW68">
        <v>1.002</v>
      </c>
      <c r="GX68">
        <v>1000</v>
      </c>
      <c r="HC68" t="s">
        <v>88</v>
      </c>
      <c r="HD68">
        <v>5.81</v>
      </c>
      <c r="HE68">
        <v>0.98199999999999998</v>
      </c>
      <c r="HF68">
        <v>3.7040000000000002</v>
      </c>
      <c r="HG68">
        <v>5.1349999999999998</v>
      </c>
      <c r="HH68">
        <v>5.8949999999999996</v>
      </c>
      <c r="HI68">
        <v>6.6109999999999998</v>
      </c>
      <c r="HJ68">
        <v>7.2809999999999997</v>
      </c>
      <c r="HK68">
        <v>1.002</v>
      </c>
      <c r="HL68">
        <v>1000</v>
      </c>
      <c r="HP68" s="7"/>
      <c r="HQ68" s="7" t="s">
        <v>88</v>
      </c>
      <c r="HR68" s="7">
        <v>6</v>
      </c>
      <c r="HS68" s="7">
        <v>0.91600000000000004</v>
      </c>
      <c r="HT68" s="7">
        <v>3.9940000000000002</v>
      </c>
      <c r="HU68" s="7">
        <v>5.3710000000000004</v>
      </c>
      <c r="HV68" s="7">
        <v>6.1310000000000002</v>
      </c>
      <c r="HW68" s="7">
        <v>6.7460000000000004</v>
      </c>
      <c r="HX68" s="7">
        <v>7.3090000000000002</v>
      </c>
      <c r="HY68" s="7">
        <v>1.0029999999999999</v>
      </c>
      <c r="HZ68" s="7">
        <v>1100</v>
      </c>
      <c r="IA68" s="7"/>
      <c r="IE68" t="s">
        <v>88</v>
      </c>
      <c r="IF68">
        <v>6.0369999999999999</v>
      </c>
      <c r="IG68">
        <v>0.874</v>
      </c>
      <c r="IH68">
        <v>4.0999999999999996</v>
      </c>
      <c r="II68">
        <v>5.4260000000000002</v>
      </c>
      <c r="IJ68">
        <v>6.1630000000000003</v>
      </c>
      <c r="IK68">
        <v>6.7430000000000003</v>
      </c>
      <c r="IL68">
        <v>7.31</v>
      </c>
      <c r="IM68">
        <v>1.0009999999999999</v>
      </c>
      <c r="IN68">
        <v>3000</v>
      </c>
      <c r="IS68" t="s">
        <v>88</v>
      </c>
      <c r="IT68">
        <v>6.0229999999999997</v>
      </c>
      <c r="IU68">
        <v>0.86699999999999999</v>
      </c>
      <c r="IV68">
        <v>4.1390000000000002</v>
      </c>
      <c r="IW68">
        <v>5.4640000000000004</v>
      </c>
      <c r="IX68">
        <v>6.1210000000000004</v>
      </c>
      <c r="IY68">
        <v>6.7050000000000001</v>
      </c>
      <c r="IZ68">
        <v>7.3120000000000003</v>
      </c>
      <c r="JA68">
        <v>1.004</v>
      </c>
      <c r="JB68">
        <v>590</v>
      </c>
      <c r="JF68" t="s">
        <v>88</v>
      </c>
      <c r="JG68">
        <v>6.101</v>
      </c>
      <c r="JH68">
        <v>0.86499999999999999</v>
      </c>
      <c r="JI68">
        <v>4.1289999999999996</v>
      </c>
      <c r="JJ68">
        <v>5.556</v>
      </c>
      <c r="JK68">
        <v>6.2190000000000003</v>
      </c>
      <c r="JL68">
        <v>6.7939999999999996</v>
      </c>
      <c r="JM68">
        <v>7.3230000000000004</v>
      </c>
      <c r="JN68">
        <v>1.0009999999999999</v>
      </c>
      <c r="JO68">
        <v>3000</v>
      </c>
      <c r="JT68" t="s">
        <v>88</v>
      </c>
      <c r="JU68">
        <v>6.0810000000000004</v>
      </c>
      <c r="JV68">
        <v>0.89300000000000002</v>
      </c>
      <c r="JW68">
        <v>4.0010000000000003</v>
      </c>
      <c r="JX68">
        <v>5.5389999999999997</v>
      </c>
      <c r="JY68">
        <v>6.2439999999999998</v>
      </c>
      <c r="JZ68">
        <v>6.7729999999999997</v>
      </c>
      <c r="KA68">
        <v>7.31</v>
      </c>
      <c r="KB68">
        <v>1.0009999999999999</v>
      </c>
      <c r="KC68">
        <v>2000</v>
      </c>
      <c r="KH68" t="s">
        <v>88</v>
      </c>
      <c r="KI68">
        <v>6.0869999999999997</v>
      </c>
      <c r="KJ68">
        <v>0.89900000000000002</v>
      </c>
      <c r="KK68">
        <v>3.9710000000000001</v>
      </c>
      <c r="KL68">
        <v>5.5119999999999996</v>
      </c>
      <c r="KM68">
        <v>6.2409999999999997</v>
      </c>
      <c r="KN68">
        <v>6.8109999999999999</v>
      </c>
      <c r="KO68">
        <v>7.32</v>
      </c>
      <c r="KP68">
        <v>1.0009999999999999</v>
      </c>
      <c r="KQ68">
        <v>3000</v>
      </c>
      <c r="KR68">
        <f t="shared" si="0"/>
        <v>440.09913132397537</v>
      </c>
      <c r="KV68" t="s">
        <v>88</v>
      </c>
      <c r="KW68">
        <v>7.1790000000000003</v>
      </c>
      <c r="KX68">
        <v>0.57599999999999996</v>
      </c>
      <c r="KY68">
        <v>6.0490000000000004</v>
      </c>
      <c r="KZ68">
        <v>6.7709999999999999</v>
      </c>
      <c r="LA68">
        <v>7.1879999999999997</v>
      </c>
      <c r="LB68">
        <v>7.6239999999999997</v>
      </c>
      <c r="LC68">
        <v>8.1929999999999996</v>
      </c>
      <c r="LD68">
        <v>1.014</v>
      </c>
      <c r="LE68">
        <v>150</v>
      </c>
      <c r="LJ68" t="s">
        <v>88</v>
      </c>
      <c r="LK68">
        <v>4.7519999999999998</v>
      </c>
      <c r="LL68">
        <v>0.28599999999999998</v>
      </c>
      <c r="LM68">
        <v>4.18</v>
      </c>
      <c r="LN68">
        <v>4.5570000000000004</v>
      </c>
      <c r="LO68">
        <v>4.7519999999999998</v>
      </c>
      <c r="LP68">
        <v>4.9390000000000001</v>
      </c>
      <c r="LQ68">
        <v>5.3239999999999998</v>
      </c>
      <c r="LR68">
        <v>1.024</v>
      </c>
      <c r="LS68">
        <v>90</v>
      </c>
      <c r="LX68" t="s">
        <v>88</v>
      </c>
      <c r="LY68">
        <v>7.21</v>
      </c>
      <c r="LZ68">
        <v>0.65700000000000003</v>
      </c>
      <c r="MA68">
        <v>5.907</v>
      </c>
      <c r="MB68">
        <v>6.7469999999999999</v>
      </c>
      <c r="MC68">
        <v>7.2389999999999999</v>
      </c>
      <c r="MD68">
        <v>7.69</v>
      </c>
      <c r="ME68">
        <v>8.3759999999999994</v>
      </c>
      <c r="MF68">
        <v>1.1890000000000001</v>
      </c>
      <c r="MG68">
        <v>15</v>
      </c>
      <c r="ML68" t="s">
        <v>88</v>
      </c>
      <c r="MM68">
        <v>5.9260000000000002</v>
      </c>
      <c r="MN68">
        <v>1.0549999999999999</v>
      </c>
      <c r="MO68">
        <v>3.66</v>
      </c>
      <c r="MP68">
        <v>5.2480000000000002</v>
      </c>
      <c r="MQ68">
        <v>5.9790000000000001</v>
      </c>
      <c r="MR68">
        <v>6.6710000000000003</v>
      </c>
      <c r="MS68">
        <v>7.8239999999999998</v>
      </c>
      <c r="MT68">
        <v>1.014</v>
      </c>
      <c r="MU68">
        <v>330</v>
      </c>
      <c r="MZ68" t="s">
        <v>88</v>
      </c>
      <c r="NA68">
        <v>5.8490000000000002</v>
      </c>
      <c r="NB68">
        <v>0.86</v>
      </c>
      <c r="NC68">
        <v>4.2919999999999998</v>
      </c>
      <c r="ND68">
        <v>5.1890000000000001</v>
      </c>
      <c r="NE68">
        <v>5.8129999999999997</v>
      </c>
      <c r="NF68">
        <v>6.508</v>
      </c>
      <c r="NG68">
        <v>7.4560000000000004</v>
      </c>
      <c r="NH68">
        <v>1.623</v>
      </c>
      <c r="NI68">
        <v>7</v>
      </c>
      <c r="NM68" t="s">
        <v>88</v>
      </c>
      <c r="NN68">
        <v>5.7619999999999996</v>
      </c>
      <c r="NO68">
        <v>1.044</v>
      </c>
      <c r="NP68">
        <v>3.649</v>
      </c>
      <c r="NQ68">
        <v>5.0670000000000002</v>
      </c>
      <c r="NR68">
        <v>5.75</v>
      </c>
      <c r="NS68">
        <v>6.4980000000000002</v>
      </c>
      <c r="NT68">
        <v>7.7030000000000003</v>
      </c>
      <c r="NU68">
        <v>1.028</v>
      </c>
      <c r="NV68">
        <v>160</v>
      </c>
      <c r="NY68" t="s">
        <v>88</v>
      </c>
      <c r="NZ68">
        <v>6.6639999999999997</v>
      </c>
      <c r="OA68">
        <v>1.165</v>
      </c>
      <c r="OB68">
        <v>4.343</v>
      </c>
      <c r="OC68">
        <v>5.86</v>
      </c>
      <c r="OD68">
        <v>6.7009999999999996</v>
      </c>
      <c r="OE68">
        <v>7.5119999999999996</v>
      </c>
      <c r="OF68">
        <v>8.6709999999999994</v>
      </c>
      <c r="OG68">
        <v>1.032</v>
      </c>
      <c r="OH68">
        <v>120</v>
      </c>
      <c r="OP68" t="s">
        <v>88</v>
      </c>
      <c r="OQ68">
        <v>7.1420000000000003</v>
      </c>
      <c r="OR68">
        <v>0.94699999999999995</v>
      </c>
      <c r="OS68">
        <v>4.9569999999999999</v>
      </c>
      <c r="OT68">
        <v>6.524</v>
      </c>
      <c r="OU68">
        <v>7.2939999999999996</v>
      </c>
      <c r="OV68">
        <v>7.8680000000000003</v>
      </c>
      <c r="OW68">
        <v>8.5709999999999997</v>
      </c>
      <c r="OX68">
        <v>1.1180000000000001</v>
      </c>
      <c r="OY68">
        <v>29</v>
      </c>
      <c r="PB68" t="s">
        <v>88</v>
      </c>
      <c r="PC68">
        <v>4.0810000000000004</v>
      </c>
      <c r="PD68">
        <v>0.878</v>
      </c>
      <c r="PE68">
        <v>2.1909999999999998</v>
      </c>
      <c r="PF68">
        <v>3.536</v>
      </c>
      <c r="PG68">
        <v>4.1609999999999996</v>
      </c>
      <c r="PH68">
        <v>4.7220000000000004</v>
      </c>
      <c r="PI68">
        <v>5.5739999999999998</v>
      </c>
      <c r="PJ68">
        <v>1.0860000000000001</v>
      </c>
      <c r="PK68">
        <v>33</v>
      </c>
      <c r="PN68" t="s">
        <v>88</v>
      </c>
      <c r="PO68">
        <v>4.25</v>
      </c>
      <c r="PP68">
        <v>0.753</v>
      </c>
      <c r="PQ68">
        <v>2.7360000000000002</v>
      </c>
      <c r="PR68">
        <v>3.7549999999999999</v>
      </c>
      <c r="PS68">
        <v>4.306</v>
      </c>
      <c r="PT68">
        <v>4.7770000000000001</v>
      </c>
      <c r="PU68">
        <v>5.6520000000000001</v>
      </c>
      <c r="PV68">
        <v>1.0549999999999999</v>
      </c>
      <c r="PW68">
        <v>45</v>
      </c>
      <c r="QA68" t="s">
        <v>88</v>
      </c>
      <c r="QB68">
        <v>1.6</v>
      </c>
      <c r="QC68">
        <v>0.432</v>
      </c>
      <c r="QD68">
        <v>0.90400000000000003</v>
      </c>
      <c r="QE68">
        <v>1.2569999999999999</v>
      </c>
      <c r="QF68">
        <v>1.575</v>
      </c>
      <c r="QG68">
        <v>1.9039999999999999</v>
      </c>
      <c r="QH68">
        <v>2.5150000000000001</v>
      </c>
      <c r="QI68">
        <v>1.0509999999999999</v>
      </c>
      <c r="QJ68">
        <v>47</v>
      </c>
      <c r="QL68">
        <f t="shared" si="2"/>
        <v>2.65</v>
      </c>
    </row>
    <row r="69" spans="1:454">
      <c r="A69" t="s">
        <v>89</v>
      </c>
      <c r="B69">
        <v>2.484</v>
      </c>
      <c r="C69">
        <v>1.03</v>
      </c>
      <c r="D69">
        <v>0.34899999999999998</v>
      </c>
      <c r="E69">
        <v>1.8360000000000001</v>
      </c>
      <c r="F69">
        <v>2.536</v>
      </c>
      <c r="G69">
        <v>3.1739999999999999</v>
      </c>
      <c r="H69">
        <v>4.5759999999999996</v>
      </c>
      <c r="I69">
        <v>1.032</v>
      </c>
      <c r="J69">
        <v>82</v>
      </c>
      <c r="O69" t="s">
        <v>89</v>
      </c>
      <c r="P69">
        <v>1.163</v>
      </c>
      <c r="Q69">
        <v>0.90300000000000002</v>
      </c>
      <c r="R69">
        <v>3.1E-2</v>
      </c>
      <c r="S69">
        <v>0.44</v>
      </c>
      <c r="T69">
        <v>0.97</v>
      </c>
      <c r="U69">
        <v>1.708</v>
      </c>
      <c r="V69">
        <v>3.2360000000000002</v>
      </c>
      <c r="W69">
        <v>1.002</v>
      </c>
      <c r="X69">
        <v>2400</v>
      </c>
      <c r="AC69" t="s">
        <v>89</v>
      </c>
      <c r="AD69">
        <v>2.5609999999999999</v>
      </c>
      <c r="AE69">
        <v>0.82199999999999995</v>
      </c>
      <c r="AF69">
        <v>0.85799999999999998</v>
      </c>
      <c r="AG69">
        <v>2.0179999999999998</v>
      </c>
      <c r="AH69">
        <v>2.56</v>
      </c>
      <c r="AI69">
        <v>3.145</v>
      </c>
      <c r="AJ69">
        <v>4.0979999999999999</v>
      </c>
      <c r="AK69">
        <v>1.016</v>
      </c>
      <c r="AL69">
        <v>250</v>
      </c>
      <c r="AQ69" t="s">
        <v>89</v>
      </c>
      <c r="AR69">
        <v>2.6509999999999998</v>
      </c>
      <c r="AS69">
        <v>0.79</v>
      </c>
      <c r="AT69">
        <v>1.07</v>
      </c>
      <c r="AU69">
        <v>2.1469999999999998</v>
      </c>
      <c r="AV69">
        <v>2.6560000000000001</v>
      </c>
      <c r="AW69">
        <v>3.1930000000000001</v>
      </c>
      <c r="AX69">
        <v>4.1440000000000001</v>
      </c>
      <c r="AY69">
        <v>1.0109999999999999</v>
      </c>
      <c r="AZ69">
        <v>190</v>
      </c>
      <c r="BE69" t="s">
        <v>89</v>
      </c>
      <c r="BF69">
        <v>3.1669999999999998</v>
      </c>
      <c r="BG69">
        <v>0.68600000000000005</v>
      </c>
      <c r="BH69">
        <v>1.8140000000000001</v>
      </c>
      <c r="BI69">
        <v>2.7250000000000001</v>
      </c>
      <c r="BJ69">
        <v>3.1589999999999998</v>
      </c>
      <c r="BK69">
        <v>3.6240000000000001</v>
      </c>
      <c r="BL69">
        <v>4.5490000000000004</v>
      </c>
      <c r="BM69">
        <v>1.0049999999999999</v>
      </c>
      <c r="BN69">
        <v>460</v>
      </c>
      <c r="BS69" t="s">
        <v>89</v>
      </c>
      <c r="BT69">
        <v>2.585</v>
      </c>
      <c r="BU69">
        <v>0.76100000000000001</v>
      </c>
      <c r="BV69">
        <v>0.96499999999999997</v>
      </c>
      <c r="BW69">
        <v>2.1040000000000001</v>
      </c>
      <c r="BX69">
        <v>2.6110000000000002</v>
      </c>
      <c r="BY69">
        <v>3.0990000000000002</v>
      </c>
      <c r="BZ69">
        <v>3.9809999999999999</v>
      </c>
      <c r="CA69">
        <v>1.048</v>
      </c>
      <c r="CB69">
        <v>77</v>
      </c>
      <c r="CG69" t="s">
        <v>89</v>
      </c>
      <c r="CH69">
        <v>3.1970000000000001</v>
      </c>
      <c r="CI69">
        <v>0.70899999999999996</v>
      </c>
      <c r="CJ69">
        <v>1.7529999999999999</v>
      </c>
      <c r="CK69">
        <v>2.7440000000000002</v>
      </c>
      <c r="CL69">
        <v>3.202</v>
      </c>
      <c r="CM69">
        <v>3.67</v>
      </c>
      <c r="CN69">
        <v>4.5709999999999997</v>
      </c>
      <c r="CO69">
        <v>1.04</v>
      </c>
      <c r="CP69">
        <v>65</v>
      </c>
      <c r="CU69" t="s">
        <v>89</v>
      </c>
      <c r="CV69">
        <v>2.7909999999999999</v>
      </c>
      <c r="CW69">
        <v>0.85399999999999998</v>
      </c>
      <c r="CX69">
        <v>0.97</v>
      </c>
      <c r="CY69">
        <v>2.2370000000000001</v>
      </c>
      <c r="CZ69">
        <v>2.843</v>
      </c>
      <c r="DA69">
        <v>3.3660000000000001</v>
      </c>
      <c r="DB69">
        <v>4.3949999999999996</v>
      </c>
      <c r="DC69">
        <v>1.0089999999999999</v>
      </c>
      <c r="DD69">
        <v>260</v>
      </c>
      <c r="DI69" t="s">
        <v>89</v>
      </c>
      <c r="DJ69">
        <v>2.6640000000000001</v>
      </c>
      <c r="DK69">
        <v>0.83499999999999996</v>
      </c>
      <c r="DL69">
        <v>0.95199999999999996</v>
      </c>
      <c r="DM69">
        <v>2.105</v>
      </c>
      <c r="DN69">
        <v>2.698</v>
      </c>
      <c r="DO69">
        <v>3.24</v>
      </c>
      <c r="DP69">
        <v>4.2279999999999998</v>
      </c>
      <c r="DQ69">
        <v>1.024</v>
      </c>
      <c r="DR69">
        <v>650</v>
      </c>
      <c r="DY69" t="s">
        <v>89</v>
      </c>
      <c r="DZ69">
        <v>2.7290000000000001</v>
      </c>
      <c r="EA69">
        <v>0.83099999999999996</v>
      </c>
      <c r="EB69">
        <v>1.026</v>
      </c>
      <c r="EC69">
        <v>2.1890000000000001</v>
      </c>
      <c r="ED69">
        <v>2.7320000000000002</v>
      </c>
      <c r="EE69">
        <v>3.3</v>
      </c>
      <c r="EF69">
        <v>4.2839999999999998</v>
      </c>
      <c r="EG69">
        <v>1.012</v>
      </c>
      <c r="EH69">
        <v>270</v>
      </c>
      <c r="EK69" t="s">
        <v>89</v>
      </c>
      <c r="EL69">
        <v>1.9830000000000001</v>
      </c>
      <c r="EM69">
        <v>0.82</v>
      </c>
      <c r="EN69">
        <v>0.372</v>
      </c>
      <c r="EO69">
        <v>1.4019999999999999</v>
      </c>
      <c r="EP69">
        <v>2.0139999999999998</v>
      </c>
      <c r="EQ69">
        <v>2.5630000000000002</v>
      </c>
      <c r="ER69">
        <v>3.57</v>
      </c>
      <c r="ES69">
        <v>1.0229999999999999</v>
      </c>
      <c r="ET69">
        <v>120</v>
      </c>
      <c r="EY69" t="s">
        <v>89</v>
      </c>
      <c r="EZ69">
        <v>2.0750000000000002</v>
      </c>
      <c r="FA69">
        <v>0.86099999999999999</v>
      </c>
      <c r="FB69">
        <v>0.33600000000000002</v>
      </c>
      <c r="FC69">
        <v>1.4810000000000001</v>
      </c>
      <c r="FD69">
        <v>2.0979999999999999</v>
      </c>
      <c r="FE69">
        <v>2.6880000000000002</v>
      </c>
      <c r="FF69">
        <v>3.7080000000000002</v>
      </c>
      <c r="FG69">
        <v>1.0029999999999999</v>
      </c>
      <c r="FH69">
        <v>1100</v>
      </c>
      <c r="GA69" t="s">
        <v>89</v>
      </c>
      <c r="GB69">
        <v>3.536</v>
      </c>
      <c r="GC69">
        <v>0.71299999999999997</v>
      </c>
      <c r="GD69">
        <v>2.1349999999999998</v>
      </c>
      <c r="GE69">
        <v>3.0550000000000002</v>
      </c>
      <c r="GF69">
        <v>3.54</v>
      </c>
      <c r="GG69">
        <v>4.0190000000000001</v>
      </c>
      <c r="GH69">
        <v>4.87</v>
      </c>
      <c r="GI69">
        <v>1.006</v>
      </c>
      <c r="GJ69">
        <v>390</v>
      </c>
      <c r="GO69" t="s">
        <v>89</v>
      </c>
      <c r="GP69">
        <v>2.3079999999999998</v>
      </c>
      <c r="GQ69">
        <v>0.88500000000000001</v>
      </c>
      <c r="GR69">
        <v>0.53600000000000003</v>
      </c>
      <c r="GS69">
        <v>1.6970000000000001</v>
      </c>
      <c r="GT69">
        <v>2.347</v>
      </c>
      <c r="GU69">
        <v>2.9460000000000002</v>
      </c>
      <c r="GV69">
        <v>3.97</v>
      </c>
      <c r="GW69">
        <v>1.0149999999999999</v>
      </c>
      <c r="GX69">
        <v>200</v>
      </c>
      <c r="HC69" t="s">
        <v>89</v>
      </c>
      <c r="HD69">
        <v>2.2290000000000001</v>
      </c>
      <c r="HE69">
        <v>0.86799999999999999</v>
      </c>
      <c r="HF69">
        <v>0.47799999999999998</v>
      </c>
      <c r="HG69">
        <v>1.6439999999999999</v>
      </c>
      <c r="HH69">
        <v>2.262</v>
      </c>
      <c r="HI69">
        <v>2.8250000000000002</v>
      </c>
      <c r="HJ69">
        <v>3.8809999999999998</v>
      </c>
      <c r="HK69">
        <v>1.0069999999999999</v>
      </c>
      <c r="HL69">
        <v>600</v>
      </c>
      <c r="HP69" s="7"/>
      <c r="HQ69" s="7" t="s">
        <v>89</v>
      </c>
      <c r="HR69" s="7">
        <v>2.4239999999999999</v>
      </c>
      <c r="HS69" s="7">
        <v>0.76200000000000001</v>
      </c>
      <c r="HT69" s="7">
        <v>0.85599999999999998</v>
      </c>
      <c r="HU69" s="7">
        <v>1.9239999999999999</v>
      </c>
      <c r="HV69" s="7">
        <v>2.4510000000000001</v>
      </c>
      <c r="HW69" s="7">
        <v>2.9390000000000001</v>
      </c>
      <c r="HX69" s="7">
        <v>3.8879999999999999</v>
      </c>
      <c r="HY69" s="7">
        <v>1.0089999999999999</v>
      </c>
      <c r="HZ69" s="7">
        <v>350</v>
      </c>
      <c r="IA69" s="7"/>
      <c r="IE69" t="s">
        <v>89</v>
      </c>
      <c r="IF69">
        <v>2.823</v>
      </c>
      <c r="IG69">
        <v>0.65700000000000003</v>
      </c>
      <c r="IH69">
        <v>1.5</v>
      </c>
      <c r="II69">
        <v>2.4039999999999999</v>
      </c>
      <c r="IJ69">
        <v>2.851</v>
      </c>
      <c r="IK69">
        <v>3.2650000000000001</v>
      </c>
      <c r="IL69">
        <v>4.0279999999999996</v>
      </c>
      <c r="IM69">
        <v>1.0249999999999999</v>
      </c>
      <c r="IN69">
        <v>120</v>
      </c>
      <c r="IS69" t="s">
        <v>89</v>
      </c>
      <c r="IT69">
        <v>2.7770000000000001</v>
      </c>
      <c r="IU69">
        <v>0.71899999999999997</v>
      </c>
      <c r="IV69">
        <v>1.2889999999999999</v>
      </c>
      <c r="IW69">
        <v>2.31</v>
      </c>
      <c r="IX69">
        <v>2.7810000000000001</v>
      </c>
      <c r="IY69">
        <v>3.2850000000000001</v>
      </c>
      <c r="IZ69">
        <v>4.1429999999999998</v>
      </c>
      <c r="JA69">
        <v>1.038</v>
      </c>
      <c r="JB69">
        <v>66</v>
      </c>
      <c r="JF69" t="s">
        <v>89</v>
      </c>
      <c r="JG69">
        <v>2.742</v>
      </c>
      <c r="JH69">
        <v>0.74099999999999999</v>
      </c>
      <c r="JI69">
        <v>1.228</v>
      </c>
      <c r="JJ69">
        <v>2.262</v>
      </c>
      <c r="JK69">
        <v>2.76</v>
      </c>
      <c r="JL69">
        <v>3.2509999999999999</v>
      </c>
      <c r="JM69">
        <v>4.1109999999999998</v>
      </c>
      <c r="JN69">
        <v>1.0169999999999999</v>
      </c>
      <c r="JO69">
        <v>260</v>
      </c>
      <c r="JT69" t="s">
        <v>89</v>
      </c>
      <c r="JU69">
        <v>2.734</v>
      </c>
      <c r="JV69">
        <v>0.72199999999999998</v>
      </c>
      <c r="JW69">
        <v>1.258</v>
      </c>
      <c r="JX69">
        <v>2.2610000000000001</v>
      </c>
      <c r="JY69">
        <v>2.7469999999999999</v>
      </c>
      <c r="JZ69">
        <v>3.2280000000000002</v>
      </c>
      <c r="KA69">
        <v>4.0709999999999997</v>
      </c>
      <c r="KB69">
        <v>1.0129999999999999</v>
      </c>
      <c r="KC69">
        <v>740</v>
      </c>
      <c r="KH69" t="s">
        <v>89</v>
      </c>
      <c r="KI69">
        <v>2.6680000000000001</v>
      </c>
      <c r="KJ69">
        <v>0.78200000000000003</v>
      </c>
      <c r="KK69">
        <v>0.99399999999999999</v>
      </c>
      <c r="KL69">
        <v>2.1619999999999999</v>
      </c>
      <c r="KM69">
        <v>2.7130000000000001</v>
      </c>
      <c r="KN69">
        <v>3.2029999999999998</v>
      </c>
      <c r="KO69">
        <v>4.085</v>
      </c>
      <c r="KP69">
        <v>1.004</v>
      </c>
      <c r="KQ69">
        <v>3000</v>
      </c>
      <c r="KR69">
        <f t="shared" si="0"/>
        <v>14.411118115111995</v>
      </c>
      <c r="KV69" t="s">
        <v>89</v>
      </c>
      <c r="KW69">
        <v>3.6219999999999999</v>
      </c>
      <c r="KX69">
        <v>0.67900000000000005</v>
      </c>
      <c r="KY69">
        <v>2.2370000000000001</v>
      </c>
      <c r="KZ69">
        <v>3.1680000000000001</v>
      </c>
      <c r="LA69">
        <v>3.6589999999999998</v>
      </c>
      <c r="LB69">
        <v>4.085</v>
      </c>
      <c r="LC69">
        <v>4.9089999999999998</v>
      </c>
      <c r="LD69">
        <v>1.016</v>
      </c>
      <c r="LE69">
        <v>130</v>
      </c>
      <c r="LJ69" t="s">
        <v>89</v>
      </c>
      <c r="LK69">
        <v>2.73</v>
      </c>
      <c r="LL69">
        <v>0.41799999999999998</v>
      </c>
      <c r="LM69">
        <v>1.915</v>
      </c>
      <c r="LN69">
        <v>2.4489999999999998</v>
      </c>
      <c r="LO69">
        <v>2.74</v>
      </c>
      <c r="LP69">
        <v>3.0150000000000001</v>
      </c>
      <c r="LQ69">
        <v>3.5470000000000002</v>
      </c>
      <c r="LR69">
        <v>1.002</v>
      </c>
      <c r="LS69">
        <v>1700</v>
      </c>
      <c r="LX69" t="s">
        <v>89</v>
      </c>
      <c r="LY69">
        <v>3.1819999999999999</v>
      </c>
      <c r="LZ69">
        <v>0.747</v>
      </c>
      <c r="MA69">
        <v>1.5209999999999999</v>
      </c>
      <c r="MB69">
        <v>2.7360000000000002</v>
      </c>
      <c r="MC69">
        <v>3.222</v>
      </c>
      <c r="MD69">
        <v>3.7</v>
      </c>
      <c r="ME69">
        <v>4.5220000000000002</v>
      </c>
      <c r="MF69">
        <v>1.0469999999999999</v>
      </c>
      <c r="MG69">
        <v>66</v>
      </c>
      <c r="ML69" t="s">
        <v>89</v>
      </c>
      <c r="MM69">
        <v>2.762</v>
      </c>
      <c r="MN69">
        <v>1.034</v>
      </c>
      <c r="MO69">
        <v>0.51500000000000001</v>
      </c>
      <c r="MP69">
        <v>2.1139999999999999</v>
      </c>
      <c r="MQ69">
        <v>2.839</v>
      </c>
      <c r="MR69">
        <v>3.4870000000000001</v>
      </c>
      <c r="MS69">
        <v>4.58</v>
      </c>
      <c r="MT69">
        <v>1.014</v>
      </c>
      <c r="MU69">
        <v>260</v>
      </c>
      <c r="MZ69" t="s">
        <v>89</v>
      </c>
      <c r="NA69">
        <v>2.74</v>
      </c>
      <c r="NB69">
        <v>0.84799999999999998</v>
      </c>
      <c r="NC69">
        <v>1.1459999999999999</v>
      </c>
      <c r="ND69">
        <v>2.1579999999999999</v>
      </c>
      <c r="NE69">
        <v>2.73</v>
      </c>
      <c r="NF69">
        <v>3.3119999999999998</v>
      </c>
      <c r="NG69">
        <v>4.4160000000000004</v>
      </c>
      <c r="NH69">
        <v>1.3009999999999999</v>
      </c>
      <c r="NI69">
        <v>11</v>
      </c>
      <c r="NM69" t="s">
        <v>89</v>
      </c>
      <c r="NN69">
        <v>1.0609999999999999</v>
      </c>
      <c r="NO69">
        <v>0.91200000000000003</v>
      </c>
      <c r="NP69">
        <v>-0.996</v>
      </c>
      <c r="NQ69">
        <v>0.51500000000000001</v>
      </c>
      <c r="NR69">
        <v>1.153</v>
      </c>
      <c r="NS69">
        <v>1.68</v>
      </c>
      <c r="NT69">
        <v>2.6240000000000001</v>
      </c>
      <c r="NU69">
        <v>1.036</v>
      </c>
      <c r="NV69">
        <v>63</v>
      </c>
      <c r="NY69" t="s">
        <v>89</v>
      </c>
      <c r="NZ69">
        <v>0.47</v>
      </c>
      <c r="OA69">
        <v>1.143</v>
      </c>
      <c r="OB69">
        <v>-1.8240000000000001</v>
      </c>
      <c r="OC69">
        <v>-0.34799999999999998</v>
      </c>
      <c r="OD69">
        <v>0.51300000000000001</v>
      </c>
      <c r="OE69">
        <v>1.335</v>
      </c>
      <c r="OF69">
        <v>2.4489999999999998</v>
      </c>
      <c r="OG69">
        <v>1.085</v>
      </c>
      <c r="OH69">
        <v>32</v>
      </c>
      <c r="OP69" t="s">
        <v>89</v>
      </c>
      <c r="OQ69">
        <v>1.3360000000000001</v>
      </c>
      <c r="OR69">
        <v>0.93200000000000005</v>
      </c>
      <c r="OS69">
        <v>-0.80500000000000005</v>
      </c>
      <c r="OT69">
        <v>0.77400000000000002</v>
      </c>
      <c r="OU69">
        <v>1.5169999999999999</v>
      </c>
      <c r="OV69">
        <v>2.0699999999999998</v>
      </c>
      <c r="OW69">
        <v>2.64</v>
      </c>
      <c r="OX69">
        <v>1.17</v>
      </c>
      <c r="OY69">
        <v>18</v>
      </c>
      <c r="PB69" t="s">
        <v>89</v>
      </c>
      <c r="PC69">
        <v>1.8839999999999999</v>
      </c>
      <c r="PD69">
        <v>0.93600000000000005</v>
      </c>
      <c r="PE69">
        <v>-8.7999999999999995E-2</v>
      </c>
      <c r="PF69">
        <v>1.3009999999999999</v>
      </c>
      <c r="PG69">
        <v>1.9470000000000001</v>
      </c>
      <c r="PH69">
        <v>2.5670000000000002</v>
      </c>
      <c r="PI69">
        <v>3.51</v>
      </c>
      <c r="PJ69">
        <v>1.0860000000000001</v>
      </c>
      <c r="PK69">
        <v>30</v>
      </c>
      <c r="PN69" t="s">
        <v>89</v>
      </c>
      <c r="PO69">
        <v>2.5049999999999999</v>
      </c>
      <c r="PP69">
        <v>0.77</v>
      </c>
      <c r="PQ69">
        <v>0.9</v>
      </c>
      <c r="PR69">
        <v>1.998</v>
      </c>
      <c r="PS69">
        <v>2.556</v>
      </c>
      <c r="PT69">
        <v>3.0409999999999999</v>
      </c>
      <c r="PU69">
        <v>3.907</v>
      </c>
      <c r="PV69">
        <v>1.044</v>
      </c>
      <c r="PW69">
        <v>51</v>
      </c>
      <c r="QA69" t="s">
        <v>89</v>
      </c>
      <c r="QB69">
        <v>-4.2210000000000001</v>
      </c>
      <c r="QC69">
        <v>0.83199999999999996</v>
      </c>
      <c r="QD69">
        <v>-5.7089999999999996</v>
      </c>
      <c r="QE69">
        <v>-4.8170000000000002</v>
      </c>
      <c r="QF69">
        <v>-4.28</v>
      </c>
      <c r="QG69">
        <v>-3.6819999999999999</v>
      </c>
      <c r="QH69">
        <v>-2.4510000000000001</v>
      </c>
      <c r="QI69">
        <v>1.143</v>
      </c>
      <c r="QJ69">
        <v>23</v>
      </c>
      <c r="QL69">
        <f t="shared" si="2"/>
        <v>6.726</v>
      </c>
    </row>
    <row r="70" spans="1:454">
      <c r="A70" t="s">
        <v>90</v>
      </c>
      <c r="B70">
        <v>4.6230000000000002</v>
      </c>
      <c r="C70">
        <v>0.98499999999999999</v>
      </c>
      <c r="D70">
        <v>2.484</v>
      </c>
      <c r="E70">
        <v>4.04</v>
      </c>
      <c r="F70">
        <v>4.6280000000000001</v>
      </c>
      <c r="G70">
        <v>5.2670000000000003</v>
      </c>
      <c r="H70">
        <v>6.4370000000000003</v>
      </c>
      <c r="I70">
        <v>1.05</v>
      </c>
      <c r="J70">
        <v>65</v>
      </c>
      <c r="O70" t="s">
        <v>90</v>
      </c>
      <c r="P70">
        <v>4.7679999999999998</v>
      </c>
      <c r="Q70">
        <v>1.413</v>
      </c>
      <c r="R70">
        <v>1.8</v>
      </c>
      <c r="S70">
        <v>3.8079999999999998</v>
      </c>
      <c r="T70">
        <v>4.8780000000000001</v>
      </c>
      <c r="U70">
        <v>5.859</v>
      </c>
      <c r="V70">
        <v>7.1449999999999996</v>
      </c>
      <c r="W70">
        <v>1.0009999999999999</v>
      </c>
      <c r="X70">
        <v>3000</v>
      </c>
      <c r="AC70" t="s">
        <v>90</v>
      </c>
      <c r="AD70">
        <v>5.6139999999999999</v>
      </c>
      <c r="AE70">
        <v>0.73799999999999999</v>
      </c>
      <c r="AF70">
        <v>4.2389999999999999</v>
      </c>
      <c r="AG70">
        <v>5.0739999999999998</v>
      </c>
      <c r="AH70">
        <v>5.5979999999999999</v>
      </c>
      <c r="AI70">
        <v>6.1280000000000001</v>
      </c>
      <c r="AJ70">
        <v>7.0819999999999999</v>
      </c>
      <c r="AK70">
        <v>1.0009999999999999</v>
      </c>
      <c r="AL70">
        <v>3000</v>
      </c>
      <c r="AQ70" t="s">
        <v>90</v>
      </c>
      <c r="AR70">
        <v>5.718</v>
      </c>
      <c r="AS70">
        <v>0.72599999999999998</v>
      </c>
      <c r="AT70">
        <v>4.351</v>
      </c>
      <c r="AU70">
        <v>5.2080000000000002</v>
      </c>
      <c r="AV70">
        <v>5.7039999999999997</v>
      </c>
      <c r="AW70">
        <v>6.2409999999999997</v>
      </c>
      <c r="AX70">
        <v>7.1479999999999997</v>
      </c>
      <c r="AY70">
        <v>1.018</v>
      </c>
      <c r="AZ70">
        <v>130</v>
      </c>
      <c r="BE70" t="s">
        <v>90</v>
      </c>
      <c r="BF70">
        <v>6.4989999999999997</v>
      </c>
      <c r="BG70">
        <v>0.54400000000000004</v>
      </c>
      <c r="BH70">
        <v>5.282</v>
      </c>
      <c r="BI70">
        <v>6.1459999999999999</v>
      </c>
      <c r="BJ70">
        <v>6.5439999999999996</v>
      </c>
      <c r="BK70">
        <v>6.9390000000000001</v>
      </c>
      <c r="BL70">
        <v>7.3150000000000004</v>
      </c>
      <c r="BM70">
        <v>1.004</v>
      </c>
      <c r="BN70">
        <v>580</v>
      </c>
      <c r="BS70" t="s">
        <v>90</v>
      </c>
      <c r="BT70">
        <v>5.8019999999999996</v>
      </c>
      <c r="BU70">
        <v>0.74</v>
      </c>
      <c r="BV70">
        <v>4.3360000000000003</v>
      </c>
      <c r="BW70">
        <v>5.2720000000000002</v>
      </c>
      <c r="BX70">
        <v>5.8010000000000002</v>
      </c>
      <c r="BY70">
        <v>6.3460000000000001</v>
      </c>
      <c r="BZ70">
        <v>7.1870000000000003</v>
      </c>
      <c r="CA70">
        <v>1.0149999999999999</v>
      </c>
      <c r="CB70">
        <v>150</v>
      </c>
      <c r="CG70" t="s">
        <v>90</v>
      </c>
      <c r="CH70">
        <v>6.5339999999999998</v>
      </c>
      <c r="CI70">
        <v>0.51700000000000002</v>
      </c>
      <c r="CJ70">
        <v>5.4450000000000003</v>
      </c>
      <c r="CK70">
        <v>6.1820000000000004</v>
      </c>
      <c r="CL70">
        <v>6.593</v>
      </c>
      <c r="CM70">
        <v>6.9429999999999996</v>
      </c>
      <c r="CN70">
        <v>7.3230000000000004</v>
      </c>
      <c r="CO70">
        <v>1.0029999999999999</v>
      </c>
      <c r="CP70">
        <v>870</v>
      </c>
      <c r="CU70" t="s">
        <v>90</v>
      </c>
      <c r="CV70">
        <v>6.0019999999999998</v>
      </c>
      <c r="CW70">
        <v>0.625</v>
      </c>
      <c r="CX70">
        <v>4.7729999999999997</v>
      </c>
      <c r="CY70">
        <v>5.5810000000000004</v>
      </c>
      <c r="CZ70">
        <v>5.9820000000000002</v>
      </c>
      <c r="DA70">
        <v>6.423</v>
      </c>
      <c r="DB70">
        <v>7.2060000000000004</v>
      </c>
      <c r="DC70">
        <v>1.0049999999999999</v>
      </c>
      <c r="DD70">
        <v>650</v>
      </c>
      <c r="DI70" t="s">
        <v>90</v>
      </c>
      <c r="DJ70">
        <v>5.66</v>
      </c>
      <c r="DK70">
        <v>0.72799999999999998</v>
      </c>
      <c r="DL70">
        <v>4.2309999999999999</v>
      </c>
      <c r="DM70">
        <v>5.1760000000000002</v>
      </c>
      <c r="DN70">
        <v>5.64</v>
      </c>
      <c r="DO70">
        <v>6.1440000000000001</v>
      </c>
      <c r="DP70">
        <v>7.085</v>
      </c>
      <c r="DQ70">
        <v>1.0029999999999999</v>
      </c>
      <c r="DR70">
        <v>720</v>
      </c>
      <c r="DY70" t="s">
        <v>90</v>
      </c>
      <c r="DZ70">
        <v>5.6989999999999998</v>
      </c>
      <c r="EA70">
        <v>0.73799999999999999</v>
      </c>
      <c r="EB70">
        <v>4.2169999999999996</v>
      </c>
      <c r="EC70">
        <v>5.2009999999999996</v>
      </c>
      <c r="ED70">
        <v>5.694</v>
      </c>
      <c r="EE70">
        <v>6.226</v>
      </c>
      <c r="EF70">
        <v>7.1189999999999998</v>
      </c>
      <c r="EG70">
        <v>1.0049999999999999</v>
      </c>
      <c r="EH70">
        <v>440</v>
      </c>
      <c r="EK70" t="s">
        <v>90</v>
      </c>
      <c r="EL70">
        <v>5.726</v>
      </c>
      <c r="EM70">
        <v>0.76900000000000002</v>
      </c>
      <c r="EN70">
        <v>4.2110000000000003</v>
      </c>
      <c r="EO70">
        <v>5.173</v>
      </c>
      <c r="EP70">
        <v>5.7409999999999997</v>
      </c>
      <c r="EQ70">
        <v>6.2779999999999996</v>
      </c>
      <c r="ER70">
        <v>7.1859999999999999</v>
      </c>
      <c r="ES70">
        <v>1.0029999999999999</v>
      </c>
      <c r="ET70">
        <v>670</v>
      </c>
      <c r="EY70" t="s">
        <v>90</v>
      </c>
      <c r="EZ70">
        <v>5.6210000000000004</v>
      </c>
      <c r="FA70">
        <v>0.80700000000000005</v>
      </c>
      <c r="FB70">
        <v>4.0529999999999999</v>
      </c>
      <c r="FC70">
        <v>5.0369999999999999</v>
      </c>
      <c r="FD70">
        <v>5.6319999999999997</v>
      </c>
      <c r="FE70">
        <v>6.2160000000000002</v>
      </c>
      <c r="FF70">
        <v>7.1390000000000002</v>
      </c>
      <c r="FG70">
        <v>1.0009999999999999</v>
      </c>
      <c r="FH70">
        <v>3000</v>
      </c>
      <c r="GA70" t="s">
        <v>90</v>
      </c>
      <c r="GB70">
        <v>5.915</v>
      </c>
      <c r="GC70">
        <v>0.69399999999999995</v>
      </c>
      <c r="GD70">
        <v>4.5019999999999998</v>
      </c>
      <c r="GE70">
        <v>5.4370000000000003</v>
      </c>
      <c r="GF70">
        <v>5.923</v>
      </c>
      <c r="GG70">
        <v>6.4320000000000004</v>
      </c>
      <c r="GH70">
        <v>7.1909999999999998</v>
      </c>
      <c r="GI70">
        <v>1.0029999999999999</v>
      </c>
      <c r="GJ70">
        <v>710</v>
      </c>
      <c r="GO70" t="s">
        <v>90</v>
      </c>
      <c r="GP70">
        <v>5.6509999999999998</v>
      </c>
      <c r="GQ70">
        <v>0.79200000000000004</v>
      </c>
      <c r="GR70">
        <v>4.0960000000000001</v>
      </c>
      <c r="GS70">
        <v>5.093</v>
      </c>
      <c r="GT70">
        <v>5.67</v>
      </c>
      <c r="GU70">
        <v>6.2060000000000004</v>
      </c>
      <c r="GV70">
        <v>7.1529999999999996</v>
      </c>
      <c r="GW70">
        <v>1.0069999999999999</v>
      </c>
      <c r="GX70">
        <v>310</v>
      </c>
      <c r="HC70" t="s">
        <v>90</v>
      </c>
      <c r="HD70">
        <v>5.5979999999999999</v>
      </c>
      <c r="HE70">
        <v>0.78</v>
      </c>
      <c r="HF70">
        <v>4.0670000000000002</v>
      </c>
      <c r="HG70">
        <v>5.0709999999999997</v>
      </c>
      <c r="HH70">
        <v>5.5949999999999998</v>
      </c>
      <c r="HI70">
        <v>6.1360000000000001</v>
      </c>
      <c r="HJ70">
        <v>7.1479999999999997</v>
      </c>
      <c r="HK70">
        <v>1.0089999999999999</v>
      </c>
      <c r="HL70">
        <v>240</v>
      </c>
      <c r="HP70" s="7"/>
      <c r="HQ70" s="7" t="s">
        <v>90</v>
      </c>
      <c r="HR70" s="7">
        <v>5.9880000000000004</v>
      </c>
      <c r="HS70" s="7">
        <v>0.69399999999999995</v>
      </c>
      <c r="HT70" s="7">
        <v>4.6050000000000004</v>
      </c>
      <c r="HU70" s="7">
        <v>5.5060000000000002</v>
      </c>
      <c r="HV70" s="7">
        <v>6.0010000000000003</v>
      </c>
      <c r="HW70" s="7">
        <v>6.5019999999999998</v>
      </c>
      <c r="HX70" s="7">
        <v>7.2290000000000001</v>
      </c>
      <c r="HY70" s="7">
        <v>1.002</v>
      </c>
      <c r="HZ70" s="7">
        <v>1700</v>
      </c>
      <c r="IA70" s="7"/>
      <c r="IE70" t="s">
        <v>90</v>
      </c>
      <c r="IF70">
        <v>5.9619999999999997</v>
      </c>
      <c r="IG70">
        <v>0.66</v>
      </c>
      <c r="IH70">
        <v>4.6879999999999997</v>
      </c>
      <c r="II70">
        <v>5.5039999999999996</v>
      </c>
      <c r="IJ70">
        <v>5.9690000000000003</v>
      </c>
      <c r="IK70">
        <v>6.4379999999999997</v>
      </c>
      <c r="IL70">
        <v>7.194</v>
      </c>
      <c r="IM70">
        <v>1.002</v>
      </c>
      <c r="IN70">
        <v>1100</v>
      </c>
      <c r="IS70" t="s">
        <v>90</v>
      </c>
      <c r="IT70">
        <v>5.8209999999999997</v>
      </c>
      <c r="IU70">
        <v>0.68500000000000005</v>
      </c>
      <c r="IV70">
        <v>4.4809999999999999</v>
      </c>
      <c r="IW70">
        <v>5.3410000000000002</v>
      </c>
      <c r="IX70">
        <v>5.8159999999999998</v>
      </c>
      <c r="IY70">
        <v>6.319</v>
      </c>
      <c r="IZ70">
        <v>7.1369999999999996</v>
      </c>
      <c r="JA70">
        <v>1.02</v>
      </c>
      <c r="JB70">
        <v>120</v>
      </c>
      <c r="JF70" t="s">
        <v>90</v>
      </c>
      <c r="JG70">
        <v>5.8970000000000002</v>
      </c>
      <c r="JH70">
        <v>0.68400000000000005</v>
      </c>
      <c r="JI70">
        <v>4.5620000000000003</v>
      </c>
      <c r="JJ70">
        <v>5.4180000000000001</v>
      </c>
      <c r="JK70">
        <v>5.9</v>
      </c>
      <c r="JL70">
        <v>6.4050000000000002</v>
      </c>
      <c r="JM70">
        <v>7.1779999999999999</v>
      </c>
      <c r="JN70">
        <v>1.0009999999999999</v>
      </c>
      <c r="JO70">
        <v>2700</v>
      </c>
      <c r="JT70" t="s">
        <v>90</v>
      </c>
      <c r="JU70">
        <v>5.8710000000000004</v>
      </c>
      <c r="JV70">
        <v>0.70399999999999996</v>
      </c>
      <c r="JW70">
        <v>4.4980000000000002</v>
      </c>
      <c r="JX70">
        <v>5.3710000000000004</v>
      </c>
      <c r="JY70">
        <v>5.8650000000000002</v>
      </c>
      <c r="JZ70">
        <v>6.3970000000000002</v>
      </c>
      <c r="KA70">
        <v>7.19</v>
      </c>
      <c r="KB70">
        <v>1.0009999999999999</v>
      </c>
      <c r="KC70">
        <v>3000</v>
      </c>
      <c r="KH70" t="s">
        <v>90</v>
      </c>
      <c r="KI70">
        <v>5.8639999999999999</v>
      </c>
      <c r="KJ70">
        <v>0.70699999999999996</v>
      </c>
      <c r="KK70">
        <v>4.4790000000000001</v>
      </c>
      <c r="KL70">
        <v>5.3769999999999998</v>
      </c>
      <c r="KM70">
        <v>5.867</v>
      </c>
      <c r="KN70">
        <v>6.3959999999999999</v>
      </c>
      <c r="KO70">
        <v>7.2050000000000001</v>
      </c>
      <c r="KP70">
        <v>1.0009999999999999</v>
      </c>
      <c r="KQ70">
        <v>3000</v>
      </c>
      <c r="KR70">
        <f t="shared" si="0"/>
        <v>352.12985013394677</v>
      </c>
      <c r="KV70" t="s">
        <v>90</v>
      </c>
      <c r="KW70">
        <v>5.6559999999999997</v>
      </c>
      <c r="KX70">
        <v>0.48</v>
      </c>
      <c r="KY70">
        <v>4.7350000000000003</v>
      </c>
      <c r="KZ70">
        <v>5.306</v>
      </c>
      <c r="LA70">
        <v>5.6630000000000003</v>
      </c>
      <c r="LB70">
        <v>6.0140000000000002</v>
      </c>
      <c r="LC70">
        <v>6.516</v>
      </c>
      <c r="LD70">
        <v>1.0209999999999999</v>
      </c>
      <c r="LE70">
        <v>99</v>
      </c>
      <c r="LJ70" t="s">
        <v>90</v>
      </c>
      <c r="LK70">
        <v>3.8860000000000001</v>
      </c>
      <c r="LL70">
        <v>0.29099999999999998</v>
      </c>
      <c r="LM70">
        <v>3.319</v>
      </c>
      <c r="LN70">
        <v>3.6920000000000002</v>
      </c>
      <c r="LO70">
        <v>3.887</v>
      </c>
      <c r="LP70">
        <v>4.0810000000000004</v>
      </c>
      <c r="LQ70">
        <v>4.4640000000000004</v>
      </c>
      <c r="LR70">
        <v>1.0109999999999999</v>
      </c>
      <c r="LS70">
        <v>190</v>
      </c>
      <c r="LX70" t="s">
        <v>90</v>
      </c>
      <c r="LY70">
        <v>5.4850000000000003</v>
      </c>
      <c r="LZ70">
        <v>0.48299999999999998</v>
      </c>
      <c r="MA70">
        <v>4.5419999999999998</v>
      </c>
      <c r="MB70">
        <v>5.1509999999999998</v>
      </c>
      <c r="MC70">
        <v>5.4989999999999997</v>
      </c>
      <c r="MD70">
        <v>5.8339999999999996</v>
      </c>
      <c r="ME70">
        <v>6.3739999999999997</v>
      </c>
      <c r="MF70">
        <v>1.052</v>
      </c>
      <c r="MG70">
        <v>43</v>
      </c>
      <c r="ML70" t="s">
        <v>90</v>
      </c>
      <c r="MM70">
        <v>4.5709999999999997</v>
      </c>
      <c r="MN70">
        <v>0.997</v>
      </c>
      <c r="MO70">
        <v>2.3889999999999998</v>
      </c>
      <c r="MP70">
        <v>3.9409999999999998</v>
      </c>
      <c r="MQ70">
        <v>4.6449999999999996</v>
      </c>
      <c r="MR70">
        <v>5.2770000000000001</v>
      </c>
      <c r="MS70">
        <v>6.3049999999999997</v>
      </c>
      <c r="MT70">
        <v>1.0169999999999999</v>
      </c>
      <c r="MU70">
        <v>350</v>
      </c>
      <c r="MZ70" t="s">
        <v>90</v>
      </c>
      <c r="NA70">
        <v>4.5170000000000003</v>
      </c>
      <c r="NB70">
        <v>0.79300000000000004</v>
      </c>
      <c r="NC70">
        <v>3.07</v>
      </c>
      <c r="ND70">
        <v>3.923</v>
      </c>
      <c r="NE70">
        <v>4.4740000000000002</v>
      </c>
      <c r="NF70">
        <v>5.109</v>
      </c>
      <c r="NG70">
        <v>6.0110000000000001</v>
      </c>
      <c r="NH70">
        <v>1.5860000000000001</v>
      </c>
      <c r="NI70">
        <v>7</v>
      </c>
      <c r="NM70" t="s">
        <v>90</v>
      </c>
      <c r="NN70">
        <v>3.7490000000000001</v>
      </c>
      <c r="NO70">
        <v>0.90900000000000003</v>
      </c>
      <c r="NP70">
        <v>1.74</v>
      </c>
      <c r="NQ70">
        <v>3.1680000000000001</v>
      </c>
      <c r="NR70">
        <v>3.8109999999999999</v>
      </c>
      <c r="NS70">
        <v>4.4020000000000001</v>
      </c>
      <c r="NT70">
        <v>5.3540000000000001</v>
      </c>
      <c r="NU70">
        <v>1.0289999999999999</v>
      </c>
      <c r="NV70">
        <v>190</v>
      </c>
      <c r="NY70" t="s">
        <v>90</v>
      </c>
      <c r="NZ70">
        <v>4.0110000000000001</v>
      </c>
      <c r="OA70">
        <v>1.004</v>
      </c>
      <c r="OB70">
        <v>2.0150000000000001</v>
      </c>
      <c r="OC70">
        <v>3.339</v>
      </c>
      <c r="OD70">
        <v>4.0019999999999998</v>
      </c>
      <c r="OE70">
        <v>4.7220000000000004</v>
      </c>
      <c r="OF70">
        <v>5.8520000000000003</v>
      </c>
      <c r="OG70">
        <v>1.016</v>
      </c>
      <c r="OH70">
        <v>310</v>
      </c>
      <c r="OP70" t="s">
        <v>90</v>
      </c>
      <c r="OQ70">
        <v>4.6550000000000002</v>
      </c>
      <c r="OR70">
        <v>0.89900000000000002</v>
      </c>
      <c r="OS70">
        <v>2.577</v>
      </c>
      <c r="OT70">
        <v>4.0780000000000003</v>
      </c>
      <c r="OU70">
        <v>4.8310000000000004</v>
      </c>
      <c r="OV70">
        <v>5.3559999999999999</v>
      </c>
      <c r="OW70">
        <v>5.9160000000000004</v>
      </c>
      <c r="OX70">
        <v>1.1599999999999999</v>
      </c>
      <c r="OY70">
        <v>21</v>
      </c>
      <c r="PB70" t="s">
        <v>90</v>
      </c>
      <c r="PC70">
        <v>3.14</v>
      </c>
      <c r="PD70">
        <v>0.89300000000000002</v>
      </c>
      <c r="PE70">
        <v>1.2190000000000001</v>
      </c>
      <c r="PF70">
        <v>2.585</v>
      </c>
      <c r="PG70">
        <v>3.2160000000000002</v>
      </c>
      <c r="PH70">
        <v>3.79</v>
      </c>
      <c r="PI70">
        <v>4.6680000000000001</v>
      </c>
      <c r="PJ70">
        <v>1.1020000000000001</v>
      </c>
      <c r="PK70">
        <v>32</v>
      </c>
      <c r="PN70" t="s">
        <v>90</v>
      </c>
      <c r="PO70">
        <v>2.827</v>
      </c>
      <c r="PP70">
        <v>0.75800000000000001</v>
      </c>
      <c r="PQ70">
        <v>1.2509999999999999</v>
      </c>
      <c r="PR70">
        <v>2.3359999999999999</v>
      </c>
      <c r="PS70">
        <v>2.875</v>
      </c>
      <c r="PT70">
        <v>3.359</v>
      </c>
      <c r="PU70">
        <v>4.2130000000000001</v>
      </c>
      <c r="PV70">
        <v>1.0529999999999999</v>
      </c>
      <c r="PW70">
        <v>51</v>
      </c>
      <c r="QA70" t="s">
        <v>90</v>
      </c>
      <c r="QB70">
        <v>-3.1480000000000001</v>
      </c>
      <c r="QC70">
        <v>0.74299999999999999</v>
      </c>
      <c r="QD70">
        <v>-4.4459999999999997</v>
      </c>
      <c r="QE70">
        <v>-3.6859999999999999</v>
      </c>
      <c r="QF70">
        <v>-3.21</v>
      </c>
      <c r="QG70">
        <v>-2.6560000000000001</v>
      </c>
      <c r="QH70">
        <v>-1.5409999999999999</v>
      </c>
      <c r="QI70">
        <v>1.141</v>
      </c>
      <c r="QJ70">
        <v>23</v>
      </c>
      <c r="QL70">
        <f t="shared" si="2"/>
        <v>5.9749999999999996</v>
      </c>
    </row>
    <row r="71" spans="1:454">
      <c r="A71" t="s">
        <v>91</v>
      </c>
      <c r="B71">
        <v>4.0229999999999997</v>
      </c>
      <c r="C71">
        <v>1.012</v>
      </c>
      <c r="D71">
        <v>1.8720000000000001</v>
      </c>
      <c r="E71">
        <v>3.3809999999999998</v>
      </c>
      <c r="F71">
        <v>4.1189999999999998</v>
      </c>
      <c r="G71">
        <v>4.6890000000000001</v>
      </c>
      <c r="H71">
        <v>5.9180000000000001</v>
      </c>
      <c r="I71">
        <v>1.012</v>
      </c>
      <c r="J71">
        <v>260</v>
      </c>
      <c r="O71" t="s">
        <v>91</v>
      </c>
      <c r="P71">
        <v>2.262</v>
      </c>
      <c r="Q71">
        <v>1.3009999999999999</v>
      </c>
      <c r="R71">
        <v>0.14899999999999999</v>
      </c>
      <c r="S71">
        <v>1.196</v>
      </c>
      <c r="T71">
        <v>2.1779999999999999</v>
      </c>
      <c r="U71">
        <v>3.2040000000000002</v>
      </c>
      <c r="V71">
        <v>4.8369999999999997</v>
      </c>
      <c r="W71">
        <v>1.0009999999999999</v>
      </c>
      <c r="X71">
        <v>3000</v>
      </c>
      <c r="AC71" t="s">
        <v>91</v>
      </c>
      <c r="AD71">
        <v>4.2839999999999998</v>
      </c>
      <c r="AE71">
        <v>0.68300000000000005</v>
      </c>
      <c r="AF71">
        <v>2.948</v>
      </c>
      <c r="AG71">
        <v>3.8410000000000002</v>
      </c>
      <c r="AH71">
        <v>4.28</v>
      </c>
      <c r="AI71">
        <v>4.7380000000000004</v>
      </c>
      <c r="AJ71">
        <v>5.6269999999999998</v>
      </c>
      <c r="AK71">
        <v>1.0029999999999999</v>
      </c>
      <c r="AL71">
        <v>790</v>
      </c>
      <c r="AQ71" t="s">
        <v>91</v>
      </c>
      <c r="AR71">
        <v>4.3570000000000002</v>
      </c>
      <c r="AS71">
        <v>0.68600000000000005</v>
      </c>
      <c r="AT71">
        <v>3.0539999999999998</v>
      </c>
      <c r="AU71">
        <v>3.8980000000000001</v>
      </c>
      <c r="AV71">
        <v>4.343</v>
      </c>
      <c r="AW71">
        <v>4.8209999999999997</v>
      </c>
      <c r="AX71">
        <v>5.7359999999999998</v>
      </c>
      <c r="AY71">
        <v>1.0209999999999999</v>
      </c>
      <c r="AZ71">
        <v>100</v>
      </c>
      <c r="BE71" t="s">
        <v>91</v>
      </c>
      <c r="BF71">
        <v>5.3529999999999998</v>
      </c>
      <c r="BG71">
        <v>0.59</v>
      </c>
      <c r="BH71">
        <v>4.2389999999999999</v>
      </c>
      <c r="BI71">
        <v>4.944</v>
      </c>
      <c r="BJ71">
        <v>5.3470000000000004</v>
      </c>
      <c r="BK71">
        <v>5.7450000000000001</v>
      </c>
      <c r="BL71">
        <v>6.5439999999999996</v>
      </c>
      <c r="BM71">
        <v>1.0169999999999999</v>
      </c>
      <c r="BN71">
        <v>120</v>
      </c>
      <c r="BS71" t="s">
        <v>91</v>
      </c>
      <c r="BT71">
        <v>4.3449999999999998</v>
      </c>
      <c r="BU71">
        <v>0.65800000000000003</v>
      </c>
      <c r="BV71">
        <v>3.0569999999999999</v>
      </c>
      <c r="BW71">
        <v>3.915</v>
      </c>
      <c r="BX71">
        <v>4.3339999999999996</v>
      </c>
      <c r="BY71">
        <v>4.7889999999999997</v>
      </c>
      <c r="BZ71">
        <v>5.6440000000000001</v>
      </c>
      <c r="CA71">
        <v>1.0660000000000001</v>
      </c>
      <c r="CB71">
        <v>40</v>
      </c>
      <c r="CG71" t="s">
        <v>91</v>
      </c>
      <c r="CH71">
        <v>5.431</v>
      </c>
      <c r="CI71">
        <v>0.61899999999999999</v>
      </c>
      <c r="CJ71">
        <v>4.202</v>
      </c>
      <c r="CK71">
        <v>4.9989999999999997</v>
      </c>
      <c r="CL71">
        <v>5.4269999999999996</v>
      </c>
      <c r="CM71">
        <v>5.8460000000000001</v>
      </c>
      <c r="CN71">
        <v>6.66</v>
      </c>
      <c r="CO71">
        <v>1.028</v>
      </c>
      <c r="CP71">
        <v>77</v>
      </c>
      <c r="CU71" t="s">
        <v>91</v>
      </c>
      <c r="CV71">
        <v>4.9539999999999997</v>
      </c>
      <c r="CW71">
        <v>0.65800000000000003</v>
      </c>
      <c r="CX71">
        <v>3.589</v>
      </c>
      <c r="CY71">
        <v>4.5149999999999997</v>
      </c>
      <c r="CZ71">
        <v>4.9889999999999999</v>
      </c>
      <c r="DA71">
        <v>5.4050000000000002</v>
      </c>
      <c r="DB71">
        <v>6.1760000000000002</v>
      </c>
      <c r="DC71">
        <v>1.01</v>
      </c>
      <c r="DD71">
        <v>210</v>
      </c>
      <c r="DI71" t="s">
        <v>91</v>
      </c>
      <c r="DJ71">
        <v>4.3719999999999999</v>
      </c>
      <c r="DK71">
        <v>0.70399999999999996</v>
      </c>
      <c r="DL71">
        <v>3.0329999999999999</v>
      </c>
      <c r="DM71">
        <v>3.891</v>
      </c>
      <c r="DN71">
        <v>4.3760000000000003</v>
      </c>
      <c r="DO71">
        <v>4.8470000000000004</v>
      </c>
      <c r="DP71">
        <v>5.7430000000000003</v>
      </c>
      <c r="DQ71">
        <v>1.0009999999999999</v>
      </c>
      <c r="DR71">
        <v>3000</v>
      </c>
      <c r="DY71" t="s">
        <v>91</v>
      </c>
      <c r="DZ71">
        <v>4.4740000000000002</v>
      </c>
      <c r="EA71">
        <v>0.69799999999999995</v>
      </c>
      <c r="EB71">
        <v>3.0710000000000002</v>
      </c>
      <c r="EC71">
        <v>4.0019999999999998</v>
      </c>
      <c r="ED71">
        <v>4.476</v>
      </c>
      <c r="EE71">
        <v>4.9390000000000001</v>
      </c>
      <c r="EF71">
        <v>5.8769999999999998</v>
      </c>
      <c r="EG71">
        <v>1.0209999999999999</v>
      </c>
      <c r="EH71">
        <v>100</v>
      </c>
      <c r="EK71" t="s">
        <v>91</v>
      </c>
      <c r="EL71">
        <v>3.7170000000000001</v>
      </c>
      <c r="EM71">
        <v>0.64100000000000001</v>
      </c>
      <c r="EN71">
        <v>2.5409999999999999</v>
      </c>
      <c r="EO71">
        <v>3.25</v>
      </c>
      <c r="EP71">
        <v>3.7069999999999999</v>
      </c>
      <c r="EQ71">
        <v>4.1550000000000002</v>
      </c>
      <c r="ER71">
        <v>4.9989999999999997</v>
      </c>
      <c r="ES71">
        <v>1.0049999999999999</v>
      </c>
      <c r="ET71">
        <v>410</v>
      </c>
      <c r="EY71" t="s">
        <v>91</v>
      </c>
      <c r="EZ71">
        <v>3.9590000000000001</v>
      </c>
      <c r="FA71">
        <v>0.71299999999999997</v>
      </c>
      <c r="FB71">
        <v>2.6080000000000001</v>
      </c>
      <c r="FC71">
        <v>3.4649999999999999</v>
      </c>
      <c r="FD71">
        <v>3.9329999999999998</v>
      </c>
      <c r="FE71">
        <v>4.4320000000000004</v>
      </c>
      <c r="FF71">
        <v>5.3780000000000001</v>
      </c>
      <c r="FG71">
        <v>1.0029999999999999</v>
      </c>
      <c r="FH71">
        <v>900</v>
      </c>
      <c r="GA71" t="s">
        <v>91</v>
      </c>
      <c r="GB71">
        <v>4.5839999999999996</v>
      </c>
      <c r="GC71">
        <v>0.65800000000000003</v>
      </c>
      <c r="GD71">
        <v>3.3010000000000002</v>
      </c>
      <c r="GE71">
        <v>4.1390000000000002</v>
      </c>
      <c r="GF71">
        <v>4.5999999999999996</v>
      </c>
      <c r="GG71">
        <v>5.0430000000000001</v>
      </c>
      <c r="GH71">
        <v>5.8070000000000004</v>
      </c>
      <c r="GI71">
        <v>1.0049999999999999</v>
      </c>
      <c r="GJ71">
        <v>460</v>
      </c>
      <c r="GO71" t="s">
        <v>91</v>
      </c>
      <c r="GP71">
        <v>4.08</v>
      </c>
      <c r="GQ71">
        <v>0.73199999999999998</v>
      </c>
      <c r="GR71">
        <v>2.6920000000000002</v>
      </c>
      <c r="GS71">
        <v>3.5720000000000001</v>
      </c>
      <c r="GT71">
        <v>4.0780000000000003</v>
      </c>
      <c r="GU71">
        <v>4.5670000000000002</v>
      </c>
      <c r="GV71">
        <v>5.5460000000000003</v>
      </c>
      <c r="GW71">
        <v>1.012</v>
      </c>
      <c r="GX71">
        <v>170</v>
      </c>
      <c r="HC71" t="s">
        <v>91</v>
      </c>
      <c r="HD71">
        <v>3.98</v>
      </c>
      <c r="HE71">
        <v>0.70199999999999996</v>
      </c>
      <c r="HF71">
        <v>2.6389999999999998</v>
      </c>
      <c r="HG71">
        <v>3.5089999999999999</v>
      </c>
      <c r="HH71">
        <v>3.9769999999999999</v>
      </c>
      <c r="HI71">
        <v>4.4390000000000001</v>
      </c>
      <c r="HJ71">
        <v>5.3719999999999999</v>
      </c>
      <c r="HK71">
        <v>1.0109999999999999</v>
      </c>
      <c r="HL71">
        <v>200</v>
      </c>
      <c r="HP71" s="7"/>
      <c r="HQ71" s="7" t="s">
        <v>91</v>
      </c>
      <c r="HR71" s="7">
        <v>4.5739999999999998</v>
      </c>
      <c r="HS71" s="7">
        <v>0.63600000000000001</v>
      </c>
      <c r="HT71" s="7">
        <v>3.355</v>
      </c>
      <c r="HU71" s="7">
        <v>4.125</v>
      </c>
      <c r="HV71" s="7">
        <v>4.5570000000000004</v>
      </c>
      <c r="HW71" s="7">
        <v>4.9989999999999997</v>
      </c>
      <c r="HX71" s="7">
        <v>5.8460000000000001</v>
      </c>
      <c r="HY71" s="7">
        <v>1.0029999999999999</v>
      </c>
      <c r="HZ71" s="7">
        <v>680</v>
      </c>
      <c r="IA71" s="7"/>
      <c r="IE71" t="s">
        <v>91</v>
      </c>
      <c r="IF71">
        <v>4.5979999999999999</v>
      </c>
      <c r="IG71">
        <v>0.57599999999999996</v>
      </c>
      <c r="IH71">
        <v>3.5009999999999999</v>
      </c>
      <c r="II71">
        <v>4.21</v>
      </c>
      <c r="IJ71">
        <v>4.5910000000000002</v>
      </c>
      <c r="IK71">
        <v>4.9870000000000001</v>
      </c>
      <c r="IL71">
        <v>5.7640000000000002</v>
      </c>
      <c r="IM71">
        <v>1.014</v>
      </c>
      <c r="IN71">
        <v>150</v>
      </c>
      <c r="IS71" t="s">
        <v>91</v>
      </c>
      <c r="IT71">
        <v>4.4950000000000001</v>
      </c>
      <c r="IU71">
        <v>0.61299999999999999</v>
      </c>
      <c r="IV71">
        <v>3.35</v>
      </c>
      <c r="IW71">
        <v>4.048</v>
      </c>
      <c r="IX71">
        <v>4.4809999999999999</v>
      </c>
      <c r="IY71">
        <v>4.9269999999999996</v>
      </c>
      <c r="IZ71">
        <v>5.6630000000000003</v>
      </c>
      <c r="JA71">
        <v>1.03</v>
      </c>
      <c r="JB71">
        <v>75</v>
      </c>
      <c r="JF71" t="s">
        <v>91</v>
      </c>
      <c r="JG71">
        <v>4.47</v>
      </c>
      <c r="JH71">
        <v>0.61099999999999999</v>
      </c>
      <c r="JI71">
        <v>3.2730000000000001</v>
      </c>
      <c r="JJ71">
        <v>4.0609999999999999</v>
      </c>
      <c r="JK71">
        <v>4.46</v>
      </c>
      <c r="JL71">
        <v>4.8730000000000002</v>
      </c>
      <c r="JM71">
        <v>5.6630000000000003</v>
      </c>
      <c r="JN71">
        <v>1.008</v>
      </c>
      <c r="JO71">
        <v>280</v>
      </c>
      <c r="JT71" t="s">
        <v>91</v>
      </c>
      <c r="JU71">
        <v>4.4740000000000002</v>
      </c>
      <c r="JV71">
        <v>0.58699999999999997</v>
      </c>
      <c r="JW71">
        <v>3.3719999999999999</v>
      </c>
      <c r="JX71">
        <v>4.0730000000000004</v>
      </c>
      <c r="JY71">
        <v>4.4649999999999999</v>
      </c>
      <c r="JZ71">
        <v>4.8650000000000002</v>
      </c>
      <c r="KA71">
        <v>5.673</v>
      </c>
      <c r="KB71">
        <v>1.0009999999999999</v>
      </c>
      <c r="KC71">
        <v>3000</v>
      </c>
      <c r="KH71" t="s">
        <v>91</v>
      </c>
      <c r="KI71">
        <v>4.407</v>
      </c>
      <c r="KJ71">
        <v>0.61399999999999999</v>
      </c>
      <c r="KK71">
        <v>3.2589999999999999</v>
      </c>
      <c r="KL71">
        <v>3.9740000000000002</v>
      </c>
      <c r="KM71">
        <v>4.3840000000000003</v>
      </c>
      <c r="KN71">
        <v>4.819</v>
      </c>
      <c r="KO71">
        <v>5.6159999999999997</v>
      </c>
      <c r="KP71">
        <v>1.0009999999999999</v>
      </c>
      <c r="KQ71">
        <v>3000</v>
      </c>
      <c r="KR71">
        <f t="shared" ref="KR71:KR98" si="3">EXP(KI71)</f>
        <v>82.023024956339754</v>
      </c>
      <c r="KV71" t="s">
        <v>91</v>
      </c>
      <c r="KW71">
        <v>5.351</v>
      </c>
      <c r="KX71">
        <v>0.48799999999999999</v>
      </c>
      <c r="KY71">
        <v>4.4189999999999996</v>
      </c>
      <c r="KZ71">
        <v>5.0019999999999998</v>
      </c>
      <c r="LA71">
        <v>5.3620000000000001</v>
      </c>
      <c r="LB71">
        <v>5.7060000000000004</v>
      </c>
      <c r="LC71">
        <v>6.2359999999999998</v>
      </c>
      <c r="LD71">
        <v>1.022</v>
      </c>
      <c r="LE71">
        <v>97</v>
      </c>
      <c r="LJ71" t="s">
        <v>91</v>
      </c>
      <c r="LK71">
        <v>3.7130000000000001</v>
      </c>
      <c r="LL71">
        <v>0.30299999999999999</v>
      </c>
      <c r="LM71">
        <v>3.1259999999999999</v>
      </c>
      <c r="LN71">
        <v>3.51</v>
      </c>
      <c r="LO71">
        <v>3.71</v>
      </c>
      <c r="LP71">
        <v>3.9140000000000001</v>
      </c>
      <c r="LQ71">
        <v>4.306</v>
      </c>
      <c r="LR71">
        <v>1.0089999999999999</v>
      </c>
      <c r="LS71">
        <v>240</v>
      </c>
      <c r="LX71" t="s">
        <v>91</v>
      </c>
      <c r="LY71">
        <v>5.14</v>
      </c>
      <c r="LZ71">
        <v>0.48899999999999999</v>
      </c>
      <c r="MA71">
        <v>4.202</v>
      </c>
      <c r="MB71">
        <v>4.8040000000000003</v>
      </c>
      <c r="MC71">
        <v>5.1509999999999998</v>
      </c>
      <c r="MD71">
        <v>5.4859999999999998</v>
      </c>
      <c r="ME71">
        <v>6.0730000000000004</v>
      </c>
      <c r="MF71">
        <v>1.0309999999999999</v>
      </c>
      <c r="MG71">
        <v>72</v>
      </c>
      <c r="ML71" t="s">
        <v>91</v>
      </c>
      <c r="MM71">
        <v>4.3</v>
      </c>
      <c r="MN71">
        <v>0.99399999999999999</v>
      </c>
      <c r="MO71">
        <v>2.121</v>
      </c>
      <c r="MP71">
        <v>3.673</v>
      </c>
      <c r="MQ71">
        <v>4.3760000000000003</v>
      </c>
      <c r="MR71">
        <v>5.0030000000000001</v>
      </c>
      <c r="MS71">
        <v>6.0220000000000002</v>
      </c>
      <c r="MT71">
        <v>1.018</v>
      </c>
      <c r="MU71">
        <v>360</v>
      </c>
      <c r="MZ71" t="s">
        <v>91</v>
      </c>
      <c r="NA71">
        <v>4.2510000000000003</v>
      </c>
      <c r="NB71">
        <v>0.79100000000000004</v>
      </c>
      <c r="NC71">
        <v>2.8090000000000002</v>
      </c>
      <c r="ND71">
        <v>3.669</v>
      </c>
      <c r="NE71">
        <v>4.2119999999999997</v>
      </c>
      <c r="NF71">
        <v>4.8289999999999997</v>
      </c>
      <c r="NG71">
        <v>5.75</v>
      </c>
      <c r="NH71">
        <v>1.5549999999999999</v>
      </c>
      <c r="NI71">
        <v>7</v>
      </c>
      <c r="NM71" t="s">
        <v>91</v>
      </c>
      <c r="NN71">
        <v>3.3460000000000001</v>
      </c>
      <c r="NO71">
        <v>0.89500000000000002</v>
      </c>
      <c r="NP71">
        <v>1.337</v>
      </c>
      <c r="NQ71">
        <v>2.7789999999999999</v>
      </c>
      <c r="NR71">
        <v>3.4180000000000001</v>
      </c>
      <c r="NS71">
        <v>3.9870000000000001</v>
      </c>
      <c r="NT71">
        <v>4.9059999999999997</v>
      </c>
      <c r="NU71">
        <v>1.03</v>
      </c>
      <c r="NV71">
        <v>210</v>
      </c>
      <c r="NY71" t="s">
        <v>91</v>
      </c>
      <c r="NZ71">
        <v>3.4809999999999999</v>
      </c>
      <c r="OA71">
        <v>0.999</v>
      </c>
      <c r="OB71">
        <v>1.502</v>
      </c>
      <c r="OC71">
        <v>2.8130000000000002</v>
      </c>
      <c r="OD71">
        <v>3.4660000000000002</v>
      </c>
      <c r="OE71">
        <v>4.1769999999999996</v>
      </c>
      <c r="OF71">
        <v>5.3250000000000002</v>
      </c>
      <c r="OG71">
        <v>1.02</v>
      </c>
      <c r="OH71">
        <v>190</v>
      </c>
      <c r="OP71" t="s">
        <v>91</v>
      </c>
      <c r="OQ71">
        <v>4.1580000000000004</v>
      </c>
      <c r="OR71">
        <v>0.89700000000000002</v>
      </c>
      <c r="OS71">
        <v>2.1030000000000002</v>
      </c>
      <c r="OT71">
        <v>3.593</v>
      </c>
      <c r="OU71">
        <v>4.3380000000000001</v>
      </c>
      <c r="OV71">
        <v>4.8639999999999999</v>
      </c>
      <c r="OW71">
        <v>5.4119999999999999</v>
      </c>
      <c r="OX71">
        <v>1.1679999999999999</v>
      </c>
      <c r="OY71">
        <v>20</v>
      </c>
      <c r="PB71" t="s">
        <v>91</v>
      </c>
      <c r="PC71">
        <v>2.952</v>
      </c>
      <c r="PD71">
        <v>0.89800000000000002</v>
      </c>
      <c r="PE71">
        <v>1.0169999999999999</v>
      </c>
      <c r="PF71">
        <v>2.3889999999999998</v>
      </c>
      <c r="PG71">
        <v>3.0289999999999999</v>
      </c>
      <c r="PH71">
        <v>3.6030000000000002</v>
      </c>
      <c r="PI71">
        <v>4.492</v>
      </c>
      <c r="PJ71">
        <v>1.1100000000000001</v>
      </c>
      <c r="PK71">
        <v>32</v>
      </c>
      <c r="PN71" t="s">
        <v>91</v>
      </c>
      <c r="PO71">
        <v>2.4590000000000001</v>
      </c>
      <c r="PP71">
        <v>0.77200000000000002</v>
      </c>
      <c r="PQ71">
        <v>0.85699999999999998</v>
      </c>
      <c r="PR71">
        <v>1.95</v>
      </c>
      <c r="PS71">
        <v>2.5139999999999998</v>
      </c>
      <c r="PT71">
        <v>2.996</v>
      </c>
      <c r="PU71">
        <v>3.8620000000000001</v>
      </c>
      <c r="PV71">
        <v>1.044</v>
      </c>
      <c r="PW71">
        <v>52</v>
      </c>
      <c r="QA71" t="s">
        <v>91</v>
      </c>
      <c r="QB71">
        <v>-4.3739999999999997</v>
      </c>
      <c r="QC71">
        <v>0.84599999999999997</v>
      </c>
      <c r="QD71">
        <v>-5.8929999999999998</v>
      </c>
      <c r="QE71">
        <v>-4.9790000000000001</v>
      </c>
      <c r="QF71">
        <v>-4.4340000000000002</v>
      </c>
      <c r="QG71">
        <v>-3.8290000000000002</v>
      </c>
      <c r="QH71">
        <v>-2.5819999999999999</v>
      </c>
      <c r="QI71">
        <v>1.143</v>
      </c>
      <c r="QJ71">
        <v>23</v>
      </c>
      <c r="QL71">
        <f t="shared" si="2"/>
        <v>6.8330000000000002</v>
      </c>
    </row>
    <row r="72" spans="1:454">
      <c r="A72" t="s">
        <v>92</v>
      </c>
      <c r="B72">
        <v>5.5410000000000004</v>
      </c>
      <c r="C72">
        <v>0.98899999999999999</v>
      </c>
      <c r="D72">
        <v>3.4180000000000001</v>
      </c>
      <c r="E72">
        <v>4.9480000000000004</v>
      </c>
      <c r="F72">
        <v>5.5659999999999998</v>
      </c>
      <c r="G72">
        <v>6.181</v>
      </c>
      <c r="H72">
        <v>7.335</v>
      </c>
      <c r="I72">
        <v>1.0349999999999999</v>
      </c>
      <c r="J72">
        <v>130</v>
      </c>
      <c r="O72" t="s">
        <v>92</v>
      </c>
      <c r="P72">
        <v>5.9539999999999997</v>
      </c>
      <c r="Q72">
        <v>1.0349999999999999</v>
      </c>
      <c r="R72">
        <v>3.53</v>
      </c>
      <c r="S72">
        <v>5.3140000000000001</v>
      </c>
      <c r="T72">
        <v>6.1479999999999997</v>
      </c>
      <c r="U72">
        <v>6.7869999999999999</v>
      </c>
      <c r="V72">
        <v>7.3159999999999998</v>
      </c>
      <c r="W72">
        <v>1.004</v>
      </c>
      <c r="X72">
        <v>1500</v>
      </c>
      <c r="AC72" t="s">
        <v>92</v>
      </c>
      <c r="AD72">
        <v>6.3959999999999999</v>
      </c>
      <c r="AE72">
        <v>0.60799999999999998</v>
      </c>
      <c r="AF72">
        <v>5.1120000000000001</v>
      </c>
      <c r="AG72">
        <v>5.9829999999999997</v>
      </c>
      <c r="AH72">
        <v>6.4560000000000004</v>
      </c>
      <c r="AI72">
        <v>6.8789999999999996</v>
      </c>
      <c r="AJ72">
        <v>7.33</v>
      </c>
      <c r="AK72">
        <v>1.0009999999999999</v>
      </c>
      <c r="AL72">
        <v>2100</v>
      </c>
      <c r="AQ72" t="s">
        <v>92</v>
      </c>
      <c r="AR72">
        <v>6.4260000000000002</v>
      </c>
      <c r="AS72">
        <v>0.61</v>
      </c>
      <c r="AT72">
        <v>5.08</v>
      </c>
      <c r="AU72">
        <v>6.0229999999999997</v>
      </c>
      <c r="AV72">
        <v>6.4930000000000003</v>
      </c>
      <c r="AW72">
        <v>6.91</v>
      </c>
      <c r="AX72">
        <v>7.3319999999999999</v>
      </c>
      <c r="AY72">
        <v>1.01</v>
      </c>
      <c r="AZ72">
        <v>310</v>
      </c>
      <c r="BE72" t="s">
        <v>92</v>
      </c>
      <c r="BF72">
        <v>6.9409999999999998</v>
      </c>
      <c r="BG72">
        <v>0.35099999999999998</v>
      </c>
      <c r="BH72">
        <v>6.0910000000000002</v>
      </c>
      <c r="BI72">
        <v>6.7350000000000003</v>
      </c>
      <c r="BJ72">
        <v>7.0270000000000001</v>
      </c>
      <c r="BK72">
        <v>7.22</v>
      </c>
      <c r="BL72">
        <v>7.367</v>
      </c>
      <c r="BM72">
        <v>1.0009999999999999</v>
      </c>
      <c r="BN72">
        <v>2600</v>
      </c>
      <c r="BS72" t="s">
        <v>92</v>
      </c>
      <c r="BT72">
        <v>6.4630000000000001</v>
      </c>
      <c r="BU72">
        <v>0.60299999999999998</v>
      </c>
      <c r="BV72">
        <v>5.1619999999999999</v>
      </c>
      <c r="BW72">
        <v>6.0590000000000002</v>
      </c>
      <c r="BX72">
        <v>6.5460000000000003</v>
      </c>
      <c r="BY72">
        <v>6.9390000000000001</v>
      </c>
      <c r="BZ72">
        <v>7.3380000000000001</v>
      </c>
      <c r="CA72">
        <v>1.0209999999999999</v>
      </c>
      <c r="CB72">
        <v>140</v>
      </c>
      <c r="CG72" t="s">
        <v>92</v>
      </c>
      <c r="CH72">
        <v>6.9539999999999997</v>
      </c>
      <c r="CI72">
        <v>0.34699999999999998</v>
      </c>
      <c r="CJ72">
        <v>6.1020000000000003</v>
      </c>
      <c r="CK72">
        <v>6.7670000000000003</v>
      </c>
      <c r="CL72">
        <v>7.0410000000000004</v>
      </c>
      <c r="CM72">
        <v>7.2240000000000002</v>
      </c>
      <c r="CN72">
        <v>7.367</v>
      </c>
      <c r="CO72">
        <v>1.0009999999999999</v>
      </c>
      <c r="CP72">
        <v>2800</v>
      </c>
      <c r="CU72" t="s">
        <v>92</v>
      </c>
      <c r="CV72">
        <v>6.7530000000000001</v>
      </c>
      <c r="CW72">
        <v>0.46200000000000002</v>
      </c>
      <c r="CX72">
        <v>5.6689999999999996</v>
      </c>
      <c r="CY72">
        <v>6.4950000000000001</v>
      </c>
      <c r="CZ72">
        <v>6.84</v>
      </c>
      <c r="DA72">
        <v>7.1109999999999998</v>
      </c>
      <c r="DB72">
        <v>7.3570000000000002</v>
      </c>
      <c r="DC72">
        <v>1.002</v>
      </c>
      <c r="DD72">
        <v>3000</v>
      </c>
      <c r="DI72" t="s">
        <v>92</v>
      </c>
      <c r="DJ72">
        <v>6.4260000000000002</v>
      </c>
      <c r="DK72">
        <v>0.59899999999999998</v>
      </c>
      <c r="DL72">
        <v>5.16</v>
      </c>
      <c r="DM72">
        <v>6.0279999999999996</v>
      </c>
      <c r="DN72">
        <v>6.4950000000000001</v>
      </c>
      <c r="DO72">
        <v>6.9130000000000003</v>
      </c>
      <c r="DP72">
        <v>7.3230000000000004</v>
      </c>
      <c r="DQ72">
        <v>1.004</v>
      </c>
      <c r="DR72">
        <v>570</v>
      </c>
      <c r="DY72" t="s">
        <v>92</v>
      </c>
      <c r="DZ72">
        <v>6.45</v>
      </c>
      <c r="EA72">
        <v>0.60299999999999998</v>
      </c>
      <c r="EB72">
        <v>5.1070000000000002</v>
      </c>
      <c r="EC72">
        <v>6.0529999999999999</v>
      </c>
      <c r="ED72">
        <v>6.524</v>
      </c>
      <c r="EE72">
        <v>6.9340000000000002</v>
      </c>
      <c r="EF72">
        <v>7.3330000000000002</v>
      </c>
      <c r="EG72">
        <v>1.012</v>
      </c>
      <c r="EH72">
        <v>210</v>
      </c>
      <c r="EK72" t="s">
        <v>92</v>
      </c>
      <c r="EL72">
        <v>6.4660000000000002</v>
      </c>
      <c r="EM72">
        <v>0.58799999999999997</v>
      </c>
      <c r="EN72">
        <v>5.1529999999999996</v>
      </c>
      <c r="EO72">
        <v>6.1029999999999998</v>
      </c>
      <c r="EP72">
        <v>6.5289999999999999</v>
      </c>
      <c r="EQ72">
        <v>6.9180000000000001</v>
      </c>
      <c r="ER72">
        <v>7.3410000000000002</v>
      </c>
      <c r="ES72">
        <v>1.008</v>
      </c>
      <c r="ET72">
        <v>380</v>
      </c>
      <c r="EY72" t="s">
        <v>92</v>
      </c>
      <c r="EZ72">
        <v>6.4409999999999998</v>
      </c>
      <c r="FA72">
        <v>0.63100000000000001</v>
      </c>
      <c r="FB72">
        <v>5.0460000000000003</v>
      </c>
      <c r="FC72">
        <v>6.0220000000000002</v>
      </c>
      <c r="FD72">
        <v>6.5250000000000004</v>
      </c>
      <c r="FE72">
        <v>6.9560000000000004</v>
      </c>
      <c r="FF72">
        <v>7.3390000000000004</v>
      </c>
      <c r="FG72">
        <v>1.0009999999999999</v>
      </c>
      <c r="FH72">
        <v>3000</v>
      </c>
      <c r="GA72" t="s">
        <v>92</v>
      </c>
      <c r="GB72">
        <v>6.3019999999999996</v>
      </c>
      <c r="GC72">
        <v>0.61299999999999999</v>
      </c>
      <c r="GD72">
        <v>5.0209999999999999</v>
      </c>
      <c r="GE72">
        <v>5.8869999999999996</v>
      </c>
      <c r="GF72">
        <v>6.3490000000000002</v>
      </c>
      <c r="GG72">
        <v>6.7830000000000004</v>
      </c>
      <c r="GH72">
        <v>7.27</v>
      </c>
      <c r="GI72">
        <v>1.002</v>
      </c>
      <c r="GJ72">
        <v>1800</v>
      </c>
      <c r="GO72" t="s">
        <v>92</v>
      </c>
      <c r="GP72">
        <v>6.4180000000000001</v>
      </c>
      <c r="GQ72">
        <v>0.63200000000000001</v>
      </c>
      <c r="GR72">
        <v>5.0049999999999999</v>
      </c>
      <c r="GS72">
        <v>6.0069999999999997</v>
      </c>
      <c r="GT72">
        <v>6.516</v>
      </c>
      <c r="GU72">
        <v>6.9219999999999997</v>
      </c>
      <c r="GV72">
        <v>7.3280000000000003</v>
      </c>
      <c r="GW72">
        <v>1.002</v>
      </c>
      <c r="GX72">
        <v>1100</v>
      </c>
      <c r="HC72" t="s">
        <v>92</v>
      </c>
      <c r="HD72">
        <v>6.3710000000000004</v>
      </c>
      <c r="HE72">
        <v>0.65200000000000002</v>
      </c>
      <c r="HF72">
        <v>4.9989999999999997</v>
      </c>
      <c r="HG72">
        <v>5.9219999999999997</v>
      </c>
      <c r="HH72">
        <v>6.44</v>
      </c>
      <c r="HI72">
        <v>6.9059999999999997</v>
      </c>
      <c r="HJ72">
        <v>7.335</v>
      </c>
      <c r="HK72">
        <v>1.008</v>
      </c>
      <c r="HL72">
        <v>310</v>
      </c>
      <c r="HP72" s="7"/>
      <c r="HQ72" s="7" t="s">
        <v>92</v>
      </c>
      <c r="HR72" s="7">
        <v>6.5430000000000001</v>
      </c>
      <c r="HS72" s="7">
        <v>0.56100000000000005</v>
      </c>
      <c r="HT72" s="7">
        <v>5.3040000000000003</v>
      </c>
      <c r="HU72" s="7">
        <v>6.1760000000000002</v>
      </c>
      <c r="HV72" s="7">
        <v>6.625</v>
      </c>
      <c r="HW72" s="7">
        <v>7.0019999999999998</v>
      </c>
      <c r="HX72" s="7">
        <v>7.3440000000000003</v>
      </c>
      <c r="HY72" s="7">
        <v>1.0029999999999999</v>
      </c>
      <c r="HZ72" s="7">
        <v>920</v>
      </c>
      <c r="IA72" s="7"/>
      <c r="IE72" t="s">
        <v>92</v>
      </c>
      <c r="IF72">
        <v>6.5209999999999999</v>
      </c>
      <c r="IG72">
        <v>0.56399999999999995</v>
      </c>
      <c r="IH72">
        <v>5.2619999999999996</v>
      </c>
      <c r="II72">
        <v>6.16</v>
      </c>
      <c r="IJ72">
        <v>6.5970000000000004</v>
      </c>
      <c r="IK72">
        <v>6.9710000000000001</v>
      </c>
      <c r="IL72">
        <v>7.335</v>
      </c>
      <c r="IM72">
        <v>1.0049999999999999</v>
      </c>
      <c r="IN72">
        <v>480</v>
      </c>
      <c r="IS72" t="s">
        <v>92</v>
      </c>
      <c r="IT72">
        <v>6.4279999999999999</v>
      </c>
      <c r="IU72">
        <v>0.60099999999999998</v>
      </c>
      <c r="IV72">
        <v>5.1319999999999997</v>
      </c>
      <c r="IW72">
        <v>6.0220000000000002</v>
      </c>
      <c r="IX72">
        <v>6.4980000000000002</v>
      </c>
      <c r="IY72">
        <v>6.9180000000000001</v>
      </c>
      <c r="IZ72">
        <v>7.3250000000000002</v>
      </c>
      <c r="JA72">
        <v>1.0189999999999999</v>
      </c>
      <c r="JB72">
        <v>130</v>
      </c>
      <c r="JF72" t="s">
        <v>92</v>
      </c>
      <c r="JG72">
        <v>6.5010000000000003</v>
      </c>
      <c r="JH72">
        <v>0.57999999999999996</v>
      </c>
      <c r="JI72">
        <v>5.2370000000000001</v>
      </c>
      <c r="JJ72">
        <v>6.109</v>
      </c>
      <c r="JK72">
        <v>6.5629999999999997</v>
      </c>
      <c r="JL72">
        <v>6.984</v>
      </c>
      <c r="JM72">
        <v>7.3360000000000003</v>
      </c>
      <c r="JN72">
        <v>1.0029999999999999</v>
      </c>
      <c r="JO72">
        <v>930</v>
      </c>
      <c r="JT72" t="s">
        <v>92</v>
      </c>
      <c r="JU72">
        <v>6.5010000000000003</v>
      </c>
      <c r="JV72">
        <v>0.57399999999999995</v>
      </c>
      <c r="JW72">
        <v>5.2439999999999998</v>
      </c>
      <c r="JX72">
        <v>6.1319999999999997</v>
      </c>
      <c r="JY72">
        <v>6.5620000000000003</v>
      </c>
      <c r="JZ72">
        <v>6.9619999999999997</v>
      </c>
      <c r="KA72">
        <v>7.3390000000000004</v>
      </c>
      <c r="KB72">
        <v>1.0009999999999999</v>
      </c>
      <c r="KC72">
        <v>3000</v>
      </c>
      <c r="KH72" t="s">
        <v>92</v>
      </c>
      <c r="KI72">
        <v>6.5090000000000003</v>
      </c>
      <c r="KJ72">
        <v>0.56399999999999995</v>
      </c>
      <c r="KK72">
        <v>5.242</v>
      </c>
      <c r="KL72">
        <v>6.1449999999999996</v>
      </c>
      <c r="KM72">
        <v>6.5650000000000004</v>
      </c>
      <c r="KN72">
        <v>6.96</v>
      </c>
      <c r="KO72">
        <v>7.3339999999999996</v>
      </c>
      <c r="KP72">
        <v>1.0009999999999999</v>
      </c>
      <c r="KQ72">
        <v>3000</v>
      </c>
      <c r="KR72">
        <f t="shared" si="3"/>
        <v>671.15492697476896</v>
      </c>
      <c r="KV72" t="s">
        <v>92</v>
      </c>
      <c r="KW72">
        <v>6.6479999999999997</v>
      </c>
      <c r="KX72">
        <v>0.51900000000000002</v>
      </c>
      <c r="KY72">
        <v>5.6219999999999999</v>
      </c>
      <c r="KZ72">
        <v>6.2779999999999996</v>
      </c>
      <c r="LA72">
        <v>6.657</v>
      </c>
      <c r="LB72">
        <v>7.05</v>
      </c>
      <c r="LC72">
        <v>7.5359999999999996</v>
      </c>
      <c r="LD72">
        <v>1.0169999999999999</v>
      </c>
      <c r="LE72">
        <v>120</v>
      </c>
      <c r="LJ72" t="s">
        <v>92</v>
      </c>
      <c r="LK72">
        <v>4.45</v>
      </c>
      <c r="LL72">
        <v>0.27700000000000002</v>
      </c>
      <c r="LM72">
        <v>3.895</v>
      </c>
      <c r="LN72">
        <v>4.2610000000000001</v>
      </c>
      <c r="LO72">
        <v>4.45</v>
      </c>
      <c r="LP72">
        <v>4.6340000000000003</v>
      </c>
      <c r="LQ72">
        <v>5.01</v>
      </c>
      <c r="LR72">
        <v>1.02</v>
      </c>
      <c r="LS72">
        <v>100</v>
      </c>
      <c r="LX72" t="s">
        <v>92</v>
      </c>
      <c r="LY72">
        <v>6.6079999999999997</v>
      </c>
      <c r="LZ72">
        <v>0.56499999999999995</v>
      </c>
      <c r="MA72">
        <v>5.4720000000000004</v>
      </c>
      <c r="MB72">
        <v>6.2089999999999996</v>
      </c>
      <c r="MC72">
        <v>6.6360000000000001</v>
      </c>
      <c r="MD72">
        <v>7.0220000000000002</v>
      </c>
      <c r="ME72">
        <v>7.5839999999999996</v>
      </c>
      <c r="MF72">
        <v>1.1559999999999999</v>
      </c>
      <c r="MG72">
        <v>18</v>
      </c>
      <c r="ML72" t="s">
        <v>92</v>
      </c>
      <c r="MM72">
        <v>5.4530000000000003</v>
      </c>
      <c r="MN72">
        <v>1.0269999999999999</v>
      </c>
      <c r="MO72">
        <v>3.2240000000000002</v>
      </c>
      <c r="MP72">
        <v>4.7990000000000004</v>
      </c>
      <c r="MQ72">
        <v>5.5149999999999997</v>
      </c>
      <c r="MR72">
        <v>6.1790000000000003</v>
      </c>
      <c r="MS72">
        <v>7.2809999999999997</v>
      </c>
      <c r="MT72">
        <v>1.0149999999999999</v>
      </c>
      <c r="MU72">
        <v>330</v>
      </c>
      <c r="MZ72" t="s">
        <v>92</v>
      </c>
      <c r="NA72">
        <v>5.3840000000000003</v>
      </c>
      <c r="NB72">
        <v>0.82699999999999996</v>
      </c>
      <c r="NC72">
        <v>3.8519999999999999</v>
      </c>
      <c r="ND72">
        <v>4.7519999999999998</v>
      </c>
      <c r="NE72">
        <v>5.3460000000000001</v>
      </c>
      <c r="NF72">
        <v>6.0309999999999997</v>
      </c>
      <c r="NG72">
        <v>6.9390000000000001</v>
      </c>
      <c r="NH72">
        <v>1.6319999999999999</v>
      </c>
      <c r="NI72">
        <v>6</v>
      </c>
      <c r="NM72" t="s">
        <v>92</v>
      </c>
      <c r="NN72">
        <v>5.0599999999999996</v>
      </c>
      <c r="NO72">
        <v>0.98599999999999999</v>
      </c>
      <c r="NP72">
        <v>3.01</v>
      </c>
      <c r="NQ72">
        <v>4.4130000000000003</v>
      </c>
      <c r="NR72">
        <v>5.0720000000000001</v>
      </c>
      <c r="NS72">
        <v>5.7640000000000002</v>
      </c>
      <c r="NT72">
        <v>6.8710000000000004</v>
      </c>
      <c r="NU72">
        <v>1.028</v>
      </c>
      <c r="NV72">
        <v>170</v>
      </c>
      <c r="NY72" t="s">
        <v>92</v>
      </c>
      <c r="NZ72">
        <v>5.7389999999999999</v>
      </c>
      <c r="OA72">
        <v>1.0860000000000001</v>
      </c>
      <c r="OB72">
        <v>3.58</v>
      </c>
      <c r="OC72">
        <v>5.0019999999999998</v>
      </c>
      <c r="OD72">
        <v>5.7469999999999999</v>
      </c>
      <c r="OE72">
        <v>6.5229999999999997</v>
      </c>
      <c r="OF72">
        <v>7.6589999999999998</v>
      </c>
      <c r="OG72">
        <v>1.0309999999999999</v>
      </c>
      <c r="OH72">
        <v>240</v>
      </c>
      <c r="OP72" t="s">
        <v>92</v>
      </c>
      <c r="OQ72">
        <v>6.274</v>
      </c>
      <c r="OR72">
        <v>0.92400000000000004</v>
      </c>
      <c r="OS72">
        <v>4.1020000000000003</v>
      </c>
      <c r="OT72">
        <v>5.6840000000000002</v>
      </c>
      <c r="OU72">
        <v>6.4290000000000003</v>
      </c>
      <c r="OV72">
        <v>6.992</v>
      </c>
      <c r="OW72">
        <v>7.6360000000000001</v>
      </c>
      <c r="OX72">
        <v>1.133</v>
      </c>
      <c r="OY72">
        <v>25</v>
      </c>
      <c r="PB72" t="s">
        <v>92</v>
      </c>
      <c r="PC72">
        <v>3.7530000000000001</v>
      </c>
      <c r="PD72">
        <v>0.88200000000000001</v>
      </c>
      <c r="PE72">
        <v>1.86</v>
      </c>
      <c r="PF72">
        <v>3.21</v>
      </c>
      <c r="PG72">
        <v>3.83</v>
      </c>
      <c r="PH72">
        <v>4.3890000000000002</v>
      </c>
      <c r="PI72">
        <v>5.2569999999999997</v>
      </c>
      <c r="PJ72">
        <v>1.091</v>
      </c>
      <c r="PK72">
        <v>32</v>
      </c>
      <c r="PN72" t="s">
        <v>92</v>
      </c>
      <c r="PO72">
        <v>4.4340000000000002</v>
      </c>
      <c r="PP72">
        <v>0.75800000000000001</v>
      </c>
      <c r="PQ72">
        <v>2.91</v>
      </c>
      <c r="PR72">
        <v>3.9329999999999998</v>
      </c>
      <c r="PS72">
        <v>4.4880000000000004</v>
      </c>
      <c r="PT72">
        <v>4.97</v>
      </c>
      <c r="PU72">
        <v>5.84</v>
      </c>
      <c r="PV72">
        <v>1.0549999999999999</v>
      </c>
      <c r="PW72">
        <v>45</v>
      </c>
      <c r="QA72" t="s">
        <v>92</v>
      </c>
      <c r="QB72">
        <v>2.2130000000000001</v>
      </c>
      <c r="QC72">
        <v>0.41299999999999998</v>
      </c>
      <c r="QD72">
        <v>1.522</v>
      </c>
      <c r="QE72">
        <v>1.8939999999999999</v>
      </c>
      <c r="QF72">
        <v>2.1970000000000001</v>
      </c>
      <c r="QG72">
        <v>2.5030000000000001</v>
      </c>
      <c r="QH72">
        <v>3.0640000000000001</v>
      </c>
      <c r="QI72">
        <v>1.038</v>
      </c>
      <c r="QJ72">
        <v>62</v>
      </c>
      <c r="QL72">
        <f t="shared" ref="QL72:QL123" si="4">PO72-QB72</f>
        <v>2.2210000000000001</v>
      </c>
    </row>
    <row r="73" spans="1:454">
      <c r="A73" t="s">
        <v>93</v>
      </c>
      <c r="B73">
        <v>6.4420000000000002</v>
      </c>
      <c r="C73">
        <v>1.087</v>
      </c>
      <c r="D73">
        <v>4.1520000000000001</v>
      </c>
      <c r="E73">
        <v>5.7569999999999997</v>
      </c>
      <c r="F73">
        <v>6.4909999999999997</v>
      </c>
      <c r="G73">
        <v>7.2320000000000002</v>
      </c>
      <c r="H73">
        <v>8.3149999999999995</v>
      </c>
      <c r="I73">
        <v>1.02</v>
      </c>
      <c r="J73">
        <v>740</v>
      </c>
      <c r="O73" t="s">
        <v>93</v>
      </c>
      <c r="P73">
        <v>6.2050000000000001</v>
      </c>
      <c r="Q73">
        <v>0.93300000000000005</v>
      </c>
      <c r="R73">
        <v>3.99</v>
      </c>
      <c r="S73">
        <v>5.665</v>
      </c>
      <c r="T73">
        <v>6.415</v>
      </c>
      <c r="U73">
        <v>6.9560000000000004</v>
      </c>
      <c r="V73">
        <v>7.34</v>
      </c>
      <c r="W73">
        <v>1.0009999999999999</v>
      </c>
      <c r="X73">
        <v>3000</v>
      </c>
      <c r="AC73" t="s">
        <v>93</v>
      </c>
      <c r="AD73">
        <v>6.4509999999999996</v>
      </c>
      <c r="AE73">
        <v>0.70599999999999996</v>
      </c>
      <c r="AF73">
        <v>4.7939999999999996</v>
      </c>
      <c r="AG73">
        <v>6.0259999999999998</v>
      </c>
      <c r="AH73">
        <v>6.5810000000000004</v>
      </c>
      <c r="AI73">
        <v>7.032</v>
      </c>
      <c r="AJ73">
        <v>7.3579999999999997</v>
      </c>
      <c r="AK73">
        <v>1.002</v>
      </c>
      <c r="AL73">
        <v>1500</v>
      </c>
      <c r="AQ73" t="s">
        <v>93</v>
      </c>
      <c r="AR73">
        <v>6.45</v>
      </c>
      <c r="AS73">
        <v>0.69599999999999995</v>
      </c>
      <c r="AT73">
        <v>4.8810000000000002</v>
      </c>
      <c r="AU73">
        <v>6.0129999999999999</v>
      </c>
      <c r="AV73">
        <v>6.5780000000000003</v>
      </c>
      <c r="AW73">
        <v>7.0309999999999997</v>
      </c>
      <c r="AX73">
        <v>7.3460000000000001</v>
      </c>
      <c r="AY73">
        <v>1.0049999999999999</v>
      </c>
      <c r="AZ73">
        <v>430</v>
      </c>
      <c r="BE73" t="s">
        <v>93</v>
      </c>
      <c r="BF73">
        <v>6.7560000000000002</v>
      </c>
      <c r="BG73">
        <v>0.51500000000000001</v>
      </c>
      <c r="BH73">
        <v>5.53</v>
      </c>
      <c r="BI73">
        <v>6.4560000000000004</v>
      </c>
      <c r="BJ73">
        <v>6.891</v>
      </c>
      <c r="BK73">
        <v>7.1589999999999998</v>
      </c>
      <c r="BL73">
        <v>7.3579999999999997</v>
      </c>
      <c r="BM73">
        <v>1.0209999999999999</v>
      </c>
      <c r="BN73">
        <v>130</v>
      </c>
      <c r="BS73" t="s">
        <v>93</v>
      </c>
      <c r="BT73">
        <v>6.4050000000000002</v>
      </c>
      <c r="BU73">
        <v>0.69799999999999995</v>
      </c>
      <c r="BV73">
        <v>4.8170000000000002</v>
      </c>
      <c r="BW73">
        <v>5.95</v>
      </c>
      <c r="BX73">
        <v>6.5389999999999997</v>
      </c>
      <c r="BY73">
        <v>6.9740000000000002</v>
      </c>
      <c r="BZ73">
        <v>7.3390000000000004</v>
      </c>
      <c r="CA73">
        <v>1.0089999999999999</v>
      </c>
      <c r="CB73">
        <v>320</v>
      </c>
      <c r="CG73" t="s">
        <v>93</v>
      </c>
      <c r="CH73">
        <v>6.8010000000000002</v>
      </c>
      <c r="CI73">
        <v>0.48099999999999998</v>
      </c>
      <c r="CJ73">
        <v>5.5839999999999996</v>
      </c>
      <c r="CK73">
        <v>6.5339999999999998</v>
      </c>
      <c r="CL73">
        <v>6.923</v>
      </c>
      <c r="CM73">
        <v>7.1740000000000004</v>
      </c>
      <c r="CN73">
        <v>7.3620000000000001</v>
      </c>
      <c r="CO73">
        <v>1.0029999999999999</v>
      </c>
      <c r="CP73">
        <v>960</v>
      </c>
      <c r="CU73" t="s">
        <v>93</v>
      </c>
      <c r="CV73">
        <v>6.9249999999999998</v>
      </c>
      <c r="CW73">
        <v>0.49299999999999999</v>
      </c>
      <c r="CX73">
        <v>5.548</v>
      </c>
      <c r="CY73">
        <v>6.72</v>
      </c>
      <c r="CZ73">
        <v>7.093</v>
      </c>
      <c r="DA73">
        <v>7.3019999999999996</v>
      </c>
      <c r="DB73">
        <v>7.3789999999999996</v>
      </c>
      <c r="DC73">
        <v>1.008</v>
      </c>
      <c r="DD73">
        <v>270</v>
      </c>
      <c r="DI73" t="s">
        <v>93</v>
      </c>
      <c r="DJ73">
        <v>6.5090000000000003</v>
      </c>
      <c r="DK73">
        <v>0.68</v>
      </c>
      <c r="DL73">
        <v>4.9189999999999996</v>
      </c>
      <c r="DM73">
        <v>6.1139999999999999</v>
      </c>
      <c r="DN73">
        <v>6.641</v>
      </c>
      <c r="DO73">
        <v>7.0709999999999997</v>
      </c>
      <c r="DP73">
        <v>7.3540000000000001</v>
      </c>
      <c r="DQ73">
        <v>1.002</v>
      </c>
      <c r="DR73">
        <v>1200</v>
      </c>
      <c r="DY73" t="s">
        <v>93</v>
      </c>
      <c r="DZ73">
        <v>6.5759999999999996</v>
      </c>
      <c r="EA73">
        <v>0.627</v>
      </c>
      <c r="EB73">
        <v>5.0659999999999998</v>
      </c>
      <c r="EC73">
        <v>6.2080000000000002</v>
      </c>
      <c r="ED73">
        <v>6.7050000000000001</v>
      </c>
      <c r="EE73">
        <v>7.0860000000000003</v>
      </c>
      <c r="EF73">
        <v>7.3550000000000004</v>
      </c>
      <c r="EG73">
        <v>1.0029999999999999</v>
      </c>
      <c r="EH73">
        <v>700</v>
      </c>
      <c r="EK73" t="s">
        <v>93</v>
      </c>
      <c r="EL73">
        <v>6.4379999999999997</v>
      </c>
      <c r="EM73">
        <v>0.67700000000000005</v>
      </c>
      <c r="EN73">
        <v>4.899</v>
      </c>
      <c r="EO73">
        <v>6.0149999999999997</v>
      </c>
      <c r="EP73">
        <v>6.5789999999999997</v>
      </c>
      <c r="EQ73">
        <v>6.9909999999999997</v>
      </c>
      <c r="ER73">
        <v>7.3390000000000004</v>
      </c>
      <c r="ES73">
        <v>1.006</v>
      </c>
      <c r="ET73">
        <v>450</v>
      </c>
      <c r="EY73" t="s">
        <v>93</v>
      </c>
      <c r="EZ73">
        <v>6.4850000000000003</v>
      </c>
      <c r="FA73">
        <v>0.69899999999999995</v>
      </c>
      <c r="FB73">
        <v>4.7670000000000003</v>
      </c>
      <c r="FC73">
        <v>6.0410000000000004</v>
      </c>
      <c r="FD73">
        <v>6.6449999999999996</v>
      </c>
      <c r="FE73">
        <v>7.048</v>
      </c>
      <c r="FF73">
        <v>7.3470000000000004</v>
      </c>
      <c r="FG73">
        <v>1.0009999999999999</v>
      </c>
      <c r="FH73">
        <v>3000</v>
      </c>
      <c r="GA73" t="s">
        <v>93</v>
      </c>
      <c r="GB73">
        <v>5.74</v>
      </c>
      <c r="GC73">
        <v>0.67900000000000005</v>
      </c>
      <c r="GD73">
        <v>4.43</v>
      </c>
      <c r="GE73">
        <v>5.2590000000000003</v>
      </c>
      <c r="GF73">
        <v>5.7329999999999997</v>
      </c>
      <c r="GG73">
        <v>6.2030000000000003</v>
      </c>
      <c r="GH73">
        <v>7.06</v>
      </c>
      <c r="GI73">
        <v>1.0069999999999999</v>
      </c>
      <c r="GJ73">
        <v>320</v>
      </c>
      <c r="GO73" t="s">
        <v>93</v>
      </c>
      <c r="GP73">
        <v>6.3840000000000003</v>
      </c>
      <c r="GQ73">
        <v>0.72799999999999998</v>
      </c>
      <c r="GR73">
        <v>4.702</v>
      </c>
      <c r="GS73">
        <v>5.9249999999999998</v>
      </c>
      <c r="GT73">
        <v>6.5279999999999996</v>
      </c>
      <c r="GU73">
        <v>6.9749999999999996</v>
      </c>
      <c r="GV73">
        <v>7.3460000000000001</v>
      </c>
      <c r="GW73">
        <v>1.0029999999999999</v>
      </c>
      <c r="GX73">
        <v>900</v>
      </c>
      <c r="HC73" t="s">
        <v>93</v>
      </c>
      <c r="HD73">
        <v>6.3719999999999999</v>
      </c>
      <c r="HE73">
        <v>0.72099999999999997</v>
      </c>
      <c r="HF73">
        <v>4.6980000000000004</v>
      </c>
      <c r="HG73">
        <v>5.94</v>
      </c>
      <c r="HH73">
        <v>6.4909999999999997</v>
      </c>
      <c r="HI73">
        <v>6.9480000000000004</v>
      </c>
      <c r="HJ73">
        <v>7.3419999999999996</v>
      </c>
      <c r="HK73">
        <v>1.0029999999999999</v>
      </c>
      <c r="HL73">
        <v>680</v>
      </c>
      <c r="HP73" s="7"/>
      <c r="HQ73" s="7" t="s">
        <v>93</v>
      </c>
      <c r="HR73" s="7">
        <v>6.468</v>
      </c>
      <c r="HS73" s="7">
        <v>0.66500000000000004</v>
      </c>
      <c r="HT73" s="7">
        <v>4.9610000000000003</v>
      </c>
      <c r="HU73" s="7">
        <v>6.0469999999999997</v>
      </c>
      <c r="HV73" s="7">
        <v>6.5759999999999996</v>
      </c>
      <c r="HW73" s="7">
        <v>7.0190000000000001</v>
      </c>
      <c r="HX73" s="7">
        <v>7.3490000000000002</v>
      </c>
      <c r="HY73" s="7">
        <v>1.0029999999999999</v>
      </c>
      <c r="HZ73" s="7">
        <v>810</v>
      </c>
      <c r="IA73" s="7"/>
      <c r="IE73" t="s">
        <v>93</v>
      </c>
      <c r="IF73">
        <v>6.4580000000000002</v>
      </c>
      <c r="IG73">
        <v>0.64900000000000002</v>
      </c>
      <c r="IH73">
        <v>4.99</v>
      </c>
      <c r="II73">
        <v>6.0229999999999997</v>
      </c>
      <c r="IJ73">
        <v>6.5519999999999996</v>
      </c>
      <c r="IK73">
        <v>6.9939999999999998</v>
      </c>
      <c r="IL73">
        <v>7.3479999999999999</v>
      </c>
      <c r="IM73">
        <v>1.004</v>
      </c>
      <c r="IN73">
        <v>550</v>
      </c>
      <c r="IS73" t="s">
        <v>93</v>
      </c>
      <c r="IT73">
        <v>6.46</v>
      </c>
      <c r="IU73">
        <v>0.66</v>
      </c>
      <c r="IV73">
        <v>4.9459999999999997</v>
      </c>
      <c r="IW73">
        <v>6.0389999999999997</v>
      </c>
      <c r="IX73">
        <v>6.5890000000000004</v>
      </c>
      <c r="IY73">
        <v>6.9969999999999999</v>
      </c>
      <c r="IZ73">
        <v>7.343</v>
      </c>
      <c r="JA73">
        <v>1.0149999999999999</v>
      </c>
      <c r="JB73">
        <v>180</v>
      </c>
      <c r="JF73" t="s">
        <v>93</v>
      </c>
      <c r="JG73">
        <v>6.5629999999999997</v>
      </c>
      <c r="JH73">
        <v>0.59499999999999997</v>
      </c>
      <c r="JI73">
        <v>5.194</v>
      </c>
      <c r="JJ73">
        <v>6.19</v>
      </c>
      <c r="JK73">
        <v>6.6639999999999997</v>
      </c>
      <c r="JL73">
        <v>7.0460000000000003</v>
      </c>
      <c r="JM73">
        <v>7.343</v>
      </c>
      <c r="JN73">
        <v>1.0009999999999999</v>
      </c>
      <c r="JO73">
        <v>3000</v>
      </c>
      <c r="JT73" t="s">
        <v>93</v>
      </c>
      <c r="JU73">
        <v>6.5389999999999997</v>
      </c>
      <c r="JV73">
        <v>0.63400000000000001</v>
      </c>
      <c r="JW73">
        <v>5.0259999999999998</v>
      </c>
      <c r="JX73">
        <v>6.1360000000000001</v>
      </c>
      <c r="JY73">
        <v>6.665</v>
      </c>
      <c r="JZ73">
        <v>7.0529999999999999</v>
      </c>
      <c r="KA73">
        <v>7.35</v>
      </c>
      <c r="KB73">
        <v>1.0009999999999999</v>
      </c>
      <c r="KC73">
        <v>3000</v>
      </c>
      <c r="KH73" t="s">
        <v>93</v>
      </c>
      <c r="KI73">
        <v>6.56</v>
      </c>
      <c r="KJ73">
        <v>0.60799999999999998</v>
      </c>
      <c r="KK73">
        <v>5.1470000000000002</v>
      </c>
      <c r="KL73">
        <v>6.1859999999999999</v>
      </c>
      <c r="KM73">
        <v>6.6710000000000003</v>
      </c>
      <c r="KN73">
        <v>7.0540000000000003</v>
      </c>
      <c r="KO73">
        <v>7.3529999999999998</v>
      </c>
      <c r="KP73">
        <v>1.002</v>
      </c>
      <c r="KQ73">
        <v>1700</v>
      </c>
      <c r="KR73">
        <f t="shared" si="3"/>
        <v>706.27169459536572</v>
      </c>
      <c r="KV73" t="s">
        <v>93</v>
      </c>
      <c r="KW73">
        <v>7.8029999999999999</v>
      </c>
      <c r="KX73">
        <v>0.66300000000000003</v>
      </c>
      <c r="KY73">
        <v>6.4829999999999997</v>
      </c>
      <c r="KZ73">
        <v>7.3380000000000001</v>
      </c>
      <c r="LA73">
        <v>7.8090000000000002</v>
      </c>
      <c r="LB73">
        <v>8.3010000000000002</v>
      </c>
      <c r="LC73">
        <v>8.9969999999999999</v>
      </c>
      <c r="LD73">
        <v>1.0109999999999999</v>
      </c>
      <c r="LE73">
        <v>190</v>
      </c>
      <c r="LJ73" t="s">
        <v>93</v>
      </c>
      <c r="LK73">
        <v>5.1059999999999999</v>
      </c>
      <c r="LL73">
        <v>0.311</v>
      </c>
      <c r="LM73">
        <v>4.49</v>
      </c>
      <c r="LN73">
        <v>4.899</v>
      </c>
      <c r="LO73">
        <v>5.1059999999999999</v>
      </c>
      <c r="LP73">
        <v>5.3120000000000003</v>
      </c>
      <c r="LQ73">
        <v>5.7190000000000003</v>
      </c>
      <c r="LR73">
        <v>1.0249999999999999</v>
      </c>
      <c r="LS73">
        <v>85</v>
      </c>
      <c r="LX73" t="s">
        <v>93</v>
      </c>
      <c r="LY73">
        <v>7.9169999999999998</v>
      </c>
      <c r="LZ73">
        <v>0.78900000000000003</v>
      </c>
      <c r="MA73">
        <v>6.3819999999999997</v>
      </c>
      <c r="MB73">
        <v>7.3630000000000004</v>
      </c>
      <c r="MC73">
        <v>7.9290000000000003</v>
      </c>
      <c r="MD73">
        <v>8.4779999999999998</v>
      </c>
      <c r="ME73">
        <v>9.3800000000000008</v>
      </c>
      <c r="MF73">
        <v>1.206</v>
      </c>
      <c r="MG73">
        <v>14</v>
      </c>
      <c r="ML73" t="s">
        <v>93</v>
      </c>
      <c r="MM73">
        <v>6.4809999999999999</v>
      </c>
      <c r="MN73">
        <v>1.099</v>
      </c>
      <c r="MO73">
        <v>4.1550000000000002</v>
      </c>
      <c r="MP73">
        <v>5.7720000000000002</v>
      </c>
      <c r="MQ73">
        <v>6.5229999999999997</v>
      </c>
      <c r="MR73">
        <v>7.2519999999999998</v>
      </c>
      <c r="MS73">
        <v>8.4830000000000005</v>
      </c>
      <c r="MT73">
        <v>1.012</v>
      </c>
      <c r="MU73">
        <v>340</v>
      </c>
      <c r="MZ73" t="s">
        <v>93</v>
      </c>
      <c r="NA73">
        <v>6.3940000000000001</v>
      </c>
      <c r="NB73">
        <v>0.91100000000000003</v>
      </c>
      <c r="NC73">
        <v>4.7430000000000003</v>
      </c>
      <c r="ND73">
        <v>5.71</v>
      </c>
      <c r="NE73">
        <v>6.3579999999999997</v>
      </c>
      <c r="NF73">
        <v>7.0780000000000003</v>
      </c>
      <c r="NG73">
        <v>8.1609999999999996</v>
      </c>
      <c r="NH73">
        <v>1.593</v>
      </c>
      <c r="NI73">
        <v>7</v>
      </c>
      <c r="NM73" t="s">
        <v>93</v>
      </c>
      <c r="NN73">
        <v>6.5869999999999997</v>
      </c>
      <c r="NO73">
        <v>1.1240000000000001</v>
      </c>
      <c r="NP73">
        <v>4.3650000000000002</v>
      </c>
      <c r="NQ73">
        <v>5.82</v>
      </c>
      <c r="NR73">
        <v>6.5549999999999997</v>
      </c>
      <c r="NS73">
        <v>7.3730000000000002</v>
      </c>
      <c r="NT73">
        <v>8.7089999999999996</v>
      </c>
      <c r="NU73">
        <v>1.028</v>
      </c>
      <c r="NV73">
        <v>140</v>
      </c>
      <c r="NY73" t="s">
        <v>93</v>
      </c>
      <c r="NZ73">
        <v>7.75</v>
      </c>
      <c r="OA73">
        <v>1.2809999999999999</v>
      </c>
      <c r="OB73">
        <v>5.1779999999999999</v>
      </c>
      <c r="OC73">
        <v>6.8380000000000001</v>
      </c>
      <c r="OD73">
        <v>7.8129999999999997</v>
      </c>
      <c r="OE73">
        <v>8.6980000000000004</v>
      </c>
      <c r="OF73">
        <v>9.9600000000000009</v>
      </c>
      <c r="OG73">
        <v>1.0409999999999999</v>
      </c>
      <c r="OH73">
        <v>70</v>
      </c>
      <c r="OP73" t="s">
        <v>93</v>
      </c>
      <c r="OQ73">
        <v>8.16</v>
      </c>
      <c r="OR73">
        <v>0.98299999999999998</v>
      </c>
      <c r="OS73">
        <v>5.9039999999999999</v>
      </c>
      <c r="OT73">
        <v>7.5149999999999997</v>
      </c>
      <c r="OU73">
        <v>8.3059999999999992</v>
      </c>
      <c r="OV73">
        <v>8.9060000000000006</v>
      </c>
      <c r="OW73">
        <v>9.6839999999999993</v>
      </c>
      <c r="OX73">
        <v>1.101</v>
      </c>
      <c r="OY73">
        <v>34</v>
      </c>
      <c r="PB73" t="s">
        <v>93</v>
      </c>
      <c r="PC73">
        <v>4.4660000000000002</v>
      </c>
      <c r="PD73">
        <v>0.877</v>
      </c>
      <c r="PE73">
        <v>2.581</v>
      </c>
      <c r="PF73">
        <v>3.9209999999999998</v>
      </c>
      <c r="PG73">
        <v>4.54</v>
      </c>
      <c r="PH73">
        <v>5.0960000000000001</v>
      </c>
      <c r="PI73">
        <v>5.9580000000000002</v>
      </c>
      <c r="PJ73">
        <v>1.0820000000000001</v>
      </c>
      <c r="PK73">
        <v>34</v>
      </c>
      <c r="PN73" t="s">
        <v>93</v>
      </c>
      <c r="PO73">
        <v>4.6639999999999997</v>
      </c>
      <c r="PP73">
        <v>0.76600000000000001</v>
      </c>
      <c r="PQ73">
        <v>3.1269999999999998</v>
      </c>
      <c r="PR73">
        <v>4.1589999999999998</v>
      </c>
      <c r="PS73">
        <v>4.7149999999999999</v>
      </c>
      <c r="PT73">
        <v>5.2039999999999997</v>
      </c>
      <c r="PU73">
        <v>6.0869999999999997</v>
      </c>
      <c r="PV73">
        <v>1.054</v>
      </c>
      <c r="PW73">
        <v>45</v>
      </c>
      <c r="QA73" t="s">
        <v>93</v>
      </c>
      <c r="QB73">
        <v>2.9790000000000001</v>
      </c>
      <c r="QC73">
        <v>0.4</v>
      </c>
      <c r="QD73">
        <v>2.262</v>
      </c>
      <c r="QE73">
        <v>2.6829999999999998</v>
      </c>
      <c r="QF73">
        <v>2.976</v>
      </c>
      <c r="QG73">
        <v>3.2589999999999999</v>
      </c>
      <c r="QH73">
        <v>3.7909999999999999</v>
      </c>
      <c r="QI73">
        <v>1.024</v>
      </c>
      <c r="QJ73">
        <v>100</v>
      </c>
      <c r="QL73">
        <f t="shared" si="4"/>
        <v>1.6849999999999996</v>
      </c>
    </row>
    <row r="74" spans="1:454">
      <c r="A74" t="s">
        <v>94</v>
      </c>
      <c r="B74">
        <v>2.7360000000000002</v>
      </c>
      <c r="C74">
        <v>1.034</v>
      </c>
      <c r="D74">
        <v>0.58299999999999996</v>
      </c>
      <c r="E74">
        <v>2.0630000000000002</v>
      </c>
      <c r="F74">
        <v>2.7280000000000002</v>
      </c>
      <c r="G74">
        <v>3.427</v>
      </c>
      <c r="H74">
        <v>4.6859999999999999</v>
      </c>
      <c r="I74">
        <v>1.06</v>
      </c>
      <c r="J74">
        <v>45</v>
      </c>
      <c r="O74" t="s">
        <v>94</v>
      </c>
      <c r="P74">
        <v>2.5880000000000001</v>
      </c>
      <c r="Q74">
        <v>1.1870000000000001</v>
      </c>
      <c r="R74">
        <v>0.22500000000000001</v>
      </c>
      <c r="S74">
        <v>1.804</v>
      </c>
      <c r="T74">
        <v>2.6440000000000001</v>
      </c>
      <c r="U74">
        <v>3.43</v>
      </c>
      <c r="V74">
        <v>4.7830000000000004</v>
      </c>
      <c r="W74">
        <v>1.0049999999999999</v>
      </c>
      <c r="X74">
        <v>2100</v>
      </c>
      <c r="AC74" t="s">
        <v>94</v>
      </c>
      <c r="AD74">
        <v>3.6379999999999999</v>
      </c>
      <c r="AE74">
        <v>0.76600000000000001</v>
      </c>
      <c r="AF74">
        <v>2.1040000000000001</v>
      </c>
      <c r="AG74">
        <v>3.133</v>
      </c>
      <c r="AH74">
        <v>3.6360000000000001</v>
      </c>
      <c r="AI74">
        <v>4.16</v>
      </c>
      <c r="AJ74">
        <v>5.085</v>
      </c>
      <c r="AK74">
        <v>1.002</v>
      </c>
      <c r="AL74">
        <v>2900</v>
      </c>
      <c r="AQ74" t="s">
        <v>94</v>
      </c>
      <c r="AR74">
        <v>3.7490000000000001</v>
      </c>
      <c r="AS74">
        <v>0.73799999999999999</v>
      </c>
      <c r="AT74">
        <v>2.2989999999999999</v>
      </c>
      <c r="AU74">
        <v>3.2589999999999999</v>
      </c>
      <c r="AV74">
        <v>3.74</v>
      </c>
      <c r="AW74">
        <v>4.2380000000000004</v>
      </c>
      <c r="AX74">
        <v>5.1820000000000004</v>
      </c>
      <c r="AY74">
        <v>1.012</v>
      </c>
      <c r="AZ74">
        <v>180</v>
      </c>
      <c r="BE74" t="s">
        <v>94</v>
      </c>
      <c r="BF74">
        <v>4.2789999999999999</v>
      </c>
      <c r="BG74">
        <v>0.67200000000000004</v>
      </c>
      <c r="BH74">
        <v>2.96</v>
      </c>
      <c r="BI74">
        <v>3.8359999999999999</v>
      </c>
      <c r="BJ74">
        <v>4.28</v>
      </c>
      <c r="BK74">
        <v>4.726</v>
      </c>
      <c r="BL74">
        <v>5.5789999999999997</v>
      </c>
      <c r="BM74">
        <v>1.006</v>
      </c>
      <c r="BN74">
        <v>3000</v>
      </c>
      <c r="BS74" t="s">
        <v>94</v>
      </c>
      <c r="BT74">
        <v>3.81</v>
      </c>
      <c r="BU74">
        <v>0.70599999999999996</v>
      </c>
      <c r="BV74">
        <v>2.39</v>
      </c>
      <c r="BW74">
        <v>3.3450000000000002</v>
      </c>
      <c r="BX74">
        <v>3.8170000000000002</v>
      </c>
      <c r="BY74">
        <v>4.2969999999999997</v>
      </c>
      <c r="BZ74">
        <v>5.1509999999999998</v>
      </c>
      <c r="CA74">
        <v>1.052</v>
      </c>
      <c r="CB74">
        <v>61</v>
      </c>
      <c r="CG74" t="s">
        <v>94</v>
      </c>
      <c r="CH74">
        <v>4.282</v>
      </c>
      <c r="CI74">
        <v>0.69</v>
      </c>
      <c r="CJ74">
        <v>2.9470000000000001</v>
      </c>
      <c r="CK74">
        <v>3.8279999999999998</v>
      </c>
      <c r="CL74">
        <v>4.2759999999999998</v>
      </c>
      <c r="CM74">
        <v>4.7439999999999998</v>
      </c>
      <c r="CN74">
        <v>5.6390000000000002</v>
      </c>
      <c r="CO74">
        <v>1.0049999999999999</v>
      </c>
      <c r="CP74">
        <v>430</v>
      </c>
      <c r="CU74" t="s">
        <v>94</v>
      </c>
      <c r="CV74">
        <v>3.613</v>
      </c>
      <c r="CW74">
        <v>0.8</v>
      </c>
      <c r="CX74">
        <v>1.9810000000000001</v>
      </c>
      <c r="CY74">
        <v>3.1160000000000001</v>
      </c>
      <c r="CZ74">
        <v>3.609</v>
      </c>
      <c r="DA74">
        <v>4.1589999999999998</v>
      </c>
      <c r="DB74">
        <v>5.1239999999999997</v>
      </c>
      <c r="DC74">
        <v>1.0049999999999999</v>
      </c>
      <c r="DD74">
        <v>450</v>
      </c>
      <c r="DI74" t="s">
        <v>94</v>
      </c>
      <c r="DJ74">
        <v>3.71</v>
      </c>
      <c r="DK74">
        <v>0.77300000000000002</v>
      </c>
      <c r="DL74">
        <v>2.1339999999999999</v>
      </c>
      <c r="DM74">
        <v>3.2010000000000001</v>
      </c>
      <c r="DN74">
        <v>3.73</v>
      </c>
      <c r="DO74">
        <v>4.2380000000000004</v>
      </c>
      <c r="DP74">
        <v>5.2229999999999999</v>
      </c>
      <c r="DQ74">
        <v>1.006</v>
      </c>
      <c r="DR74">
        <v>1600</v>
      </c>
      <c r="DY74" t="s">
        <v>94</v>
      </c>
      <c r="DZ74">
        <v>3.754</v>
      </c>
      <c r="EA74">
        <v>0.76300000000000001</v>
      </c>
      <c r="EB74">
        <v>2.2330000000000001</v>
      </c>
      <c r="EC74">
        <v>3.2570000000000001</v>
      </c>
      <c r="ED74">
        <v>3.7669999999999999</v>
      </c>
      <c r="EE74">
        <v>4.2619999999999996</v>
      </c>
      <c r="EF74">
        <v>5.2350000000000003</v>
      </c>
      <c r="EG74">
        <v>1.004</v>
      </c>
      <c r="EH74">
        <v>660</v>
      </c>
      <c r="EK74" t="s">
        <v>94</v>
      </c>
      <c r="EL74">
        <v>3.45</v>
      </c>
      <c r="EM74">
        <v>0.79</v>
      </c>
      <c r="EN74">
        <v>1.859</v>
      </c>
      <c r="EO74">
        <v>2.92</v>
      </c>
      <c r="EP74">
        <v>3.444</v>
      </c>
      <c r="EQ74">
        <v>3.9830000000000001</v>
      </c>
      <c r="ER74">
        <v>4.96</v>
      </c>
      <c r="ES74">
        <v>1.028</v>
      </c>
      <c r="ET74">
        <v>100</v>
      </c>
      <c r="EY74" t="s">
        <v>94</v>
      </c>
      <c r="EZ74">
        <v>3.4489999999999998</v>
      </c>
      <c r="FA74">
        <v>0.86399999999999999</v>
      </c>
      <c r="FB74">
        <v>1.6879999999999999</v>
      </c>
      <c r="FC74">
        <v>2.8730000000000002</v>
      </c>
      <c r="FD74">
        <v>3.4809999999999999</v>
      </c>
      <c r="FE74">
        <v>4.0129999999999999</v>
      </c>
      <c r="FF74">
        <v>5.0910000000000002</v>
      </c>
      <c r="FG74">
        <v>1.018</v>
      </c>
      <c r="FH74">
        <v>590</v>
      </c>
      <c r="GA74" t="s">
        <v>94</v>
      </c>
      <c r="GB74">
        <v>4.6920000000000002</v>
      </c>
      <c r="GC74">
        <v>0.66200000000000003</v>
      </c>
      <c r="GD74">
        <v>3.375</v>
      </c>
      <c r="GE74">
        <v>4.2560000000000002</v>
      </c>
      <c r="GF74">
        <v>4.7</v>
      </c>
      <c r="GG74">
        <v>5.1429999999999998</v>
      </c>
      <c r="GH74">
        <v>5.976</v>
      </c>
      <c r="GI74">
        <v>1.006</v>
      </c>
      <c r="GJ74">
        <v>390</v>
      </c>
      <c r="GO74" t="s">
        <v>94</v>
      </c>
      <c r="GP74">
        <v>3.625</v>
      </c>
      <c r="GQ74">
        <v>0.86</v>
      </c>
      <c r="GR74">
        <v>1.8420000000000001</v>
      </c>
      <c r="GS74">
        <v>3.0579999999999998</v>
      </c>
      <c r="GT74">
        <v>3.669</v>
      </c>
      <c r="GU74">
        <v>4.2240000000000002</v>
      </c>
      <c r="GV74">
        <v>5.2560000000000002</v>
      </c>
      <c r="GW74">
        <v>1.02</v>
      </c>
      <c r="GX74">
        <v>290</v>
      </c>
      <c r="HC74" t="s">
        <v>94</v>
      </c>
      <c r="HD74">
        <v>3.5880000000000001</v>
      </c>
      <c r="HE74">
        <v>0.83499999999999996</v>
      </c>
      <c r="HF74">
        <v>1.952</v>
      </c>
      <c r="HG74">
        <v>3.0329999999999999</v>
      </c>
      <c r="HH74">
        <v>3.5950000000000002</v>
      </c>
      <c r="HI74">
        <v>4.157</v>
      </c>
      <c r="HJ74">
        <v>5.2460000000000004</v>
      </c>
      <c r="HK74">
        <v>1.0069999999999999</v>
      </c>
      <c r="HL74">
        <v>610</v>
      </c>
      <c r="HP74" s="7"/>
      <c r="HQ74" s="7" t="s">
        <v>94</v>
      </c>
      <c r="HR74" s="7">
        <v>3.85</v>
      </c>
      <c r="HS74" s="7">
        <v>0.69199999999999995</v>
      </c>
      <c r="HT74" s="7">
        <v>2.4630000000000001</v>
      </c>
      <c r="HU74" s="7">
        <v>3.3959999999999999</v>
      </c>
      <c r="HV74" s="7">
        <v>3.85</v>
      </c>
      <c r="HW74" s="7">
        <v>4.3259999999999996</v>
      </c>
      <c r="HX74" s="7">
        <v>5.2080000000000002</v>
      </c>
      <c r="HY74" s="7">
        <v>1.0029999999999999</v>
      </c>
      <c r="HZ74" s="7">
        <v>890</v>
      </c>
      <c r="IA74" s="7"/>
      <c r="IE74" t="s">
        <v>94</v>
      </c>
      <c r="IF74">
        <v>4.2240000000000002</v>
      </c>
      <c r="IG74">
        <v>0.59299999999999997</v>
      </c>
      <c r="IH74">
        <v>3.1259999999999999</v>
      </c>
      <c r="II74">
        <v>3.8130000000000002</v>
      </c>
      <c r="IJ74">
        <v>4.2220000000000004</v>
      </c>
      <c r="IK74">
        <v>4.6230000000000002</v>
      </c>
      <c r="IL74">
        <v>5.399</v>
      </c>
      <c r="IM74">
        <v>1.012</v>
      </c>
      <c r="IN74">
        <v>170</v>
      </c>
      <c r="IS74" t="s">
        <v>94</v>
      </c>
      <c r="IT74">
        <v>4.1150000000000002</v>
      </c>
      <c r="IU74">
        <v>0.63</v>
      </c>
      <c r="IV74">
        <v>2.899</v>
      </c>
      <c r="IW74">
        <v>3.6819999999999999</v>
      </c>
      <c r="IX74">
        <v>4.0999999999999996</v>
      </c>
      <c r="IY74">
        <v>4.5519999999999996</v>
      </c>
      <c r="IZ74">
        <v>5.3280000000000003</v>
      </c>
      <c r="JA74">
        <v>1.0349999999999999</v>
      </c>
      <c r="JB74">
        <v>63</v>
      </c>
      <c r="JF74" t="s">
        <v>94</v>
      </c>
      <c r="JG74">
        <v>4.18</v>
      </c>
      <c r="JH74">
        <v>0.67900000000000005</v>
      </c>
      <c r="JI74">
        <v>2.8159999999999998</v>
      </c>
      <c r="JJ74">
        <v>3.7330000000000001</v>
      </c>
      <c r="JK74">
        <v>4.1779999999999999</v>
      </c>
      <c r="JL74">
        <v>4.6230000000000002</v>
      </c>
      <c r="JM74">
        <v>5.5170000000000003</v>
      </c>
      <c r="JN74">
        <v>1.0109999999999999</v>
      </c>
      <c r="JO74">
        <v>250</v>
      </c>
      <c r="JT74" t="s">
        <v>94</v>
      </c>
      <c r="JU74">
        <v>4.1539999999999999</v>
      </c>
      <c r="JV74">
        <v>0.64700000000000002</v>
      </c>
      <c r="JW74">
        <v>2.9020000000000001</v>
      </c>
      <c r="JX74">
        <v>3.7149999999999999</v>
      </c>
      <c r="JY74">
        <v>4.157</v>
      </c>
      <c r="JZ74">
        <v>4.5970000000000004</v>
      </c>
      <c r="KA74">
        <v>5.4059999999999997</v>
      </c>
      <c r="KB74">
        <v>1.0009999999999999</v>
      </c>
      <c r="KC74">
        <v>3000</v>
      </c>
      <c r="KH74" t="s">
        <v>94</v>
      </c>
      <c r="KI74">
        <v>4.1319999999999997</v>
      </c>
      <c r="KJ74">
        <v>0.67100000000000004</v>
      </c>
      <c r="KK74">
        <v>2.7850000000000001</v>
      </c>
      <c r="KL74">
        <v>3.6869999999999998</v>
      </c>
      <c r="KM74">
        <v>4.1289999999999996</v>
      </c>
      <c r="KN74">
        <v>4.58</v>
      </c>
      <c r="KO74">
        <v>5.4340000000000002</v>
      </c>
      <c r="KP74">
        <v>1.0009999999999999</v>
      </c>
      <c r="KQ74">
        <v>3000</v>
      </c>
      <c r="KR74">
        <f t="shared" si="3"/>
        <v>62.302403219421535</v>
      </c>
      <c r="KV74" t="s">
        <v>94</v>
      </c>
      <c r="KW74">
        <v>3.601</v>
      </c>
      <c r="KX74">
        <v>0.68200000000000005</v>
      </c>
      <c r="KY74">
        <v>2.2090000000000001</v>
      </c>
      <c r="KZ74">
        <v>3.1469999999999998</v>
      </c>
      <c r="LA74">
        <v>3.6360000000000001</v>
      </c>
      <c r="LB74">
        <v>4.0640000000000001</v>
      </c>
      <c r="LC74">
        <v>4.8929999999999998</v>
      </c>
      <c r="LD74">
        <v>1.016</v>
      </c>
      <c r="LE74">
        <v>140</v>
      </c>
      <c r="LJ74" t="s">
        <v>94</v>
      </c>
      <c r="LK74">
        <v>2.718</v>
      </c>
      <c r="LL74">
        <v>0.42</v>
      </c>
      <c r="LM74">
        <v>1.9</v>
      </c>
      <c r="LN74">
        <v>2.4369999999999998</v>
      </c>
      <c r="LO74">
        <v>2.7290000000000001</v>
      </c>
      <c r="LP74">
        <v>3.0049999999999999</v>
      </c>
      <c r="LQ74">
        <v>3.5369999999999999</v>
      </c>
      <c r="LR74">
        <v>1.002</v>
      </c>
      <c r="LS74">
        <v>1800</v>
      </c>
      <c r="LX74" t="s">
        <v>94</v>
      </c>
      <c r="LY74">
        <v>3.1579999999999999</v>
      </c>
      <c r="LZ74">
        <v>0.752</v>
      </c>
      <c r="MA74">
        <v>1.488</v>
      </c>
      <c r="MB74">
        <v>2.7090000000000001</v>
      </c>
      <c r="MC74">
        <v>3.1960000000000002</v>
      </c>
      <c r="MD74">
        <v>3.6789999999999998</v>
      </c>
      <c r="ME74">
        <v>4.5019999999999998</v>
      </c>
      <c r="MF74">
        <v>1.0469999999999999</v>
      </c>
      <c r="MG74">
        <v>65</v>
      </c>
      <c r="ML74" t="s">
        <v>94</v>
      </c>
      <c r="MM74">
        <v>2.7429999999999999</v>
      </c>
      <c r="MN74">
        <v>1.0349999999999999</v>
      </c>
      <c r="MO74">
        <v>0.49399999999999999</v>
      </c>
      <c r="MP74">
        <v>2.0939999999999999</v>
      </c>
      <c r="MQ74">
        <v>2.82</v>
      </c>
      <c r="MR74">
        <v>3.4689999999999999</v>
      </c>
      <c r="MS74">
        <v>4.5629999999999997</v>
      </c>
      <c r="MT74">
        <v>1.014</v>
      </c>
      <c r="MU74">
        <v>260</v>
      </c>
      <c r="MZ74" t="s">
        <v>94</v>
      </c>
      <c r="NA74">
        <v>2.7210000000000001</v>
      </c>
      <c r="NB74">
        <v>0.85</v>
      </c>
      <c r="NC74">
        <v>1.1240000000000001</v>
      </c>
      <c r="ND74">
        <v>2.141</v>
      </c>
      <c r="NE74">
        <v>2.7109999999999999</v>
      </c>
      <c r="NF74">
        <v>3.2949999999999999</v>
      </c>
      <c r="NG74">
        <v>4.3970000000000002</v>
      </c>
      <c r="NH74">
        <v>1.298</v>
      </c>
      <c r="NI74">
        <v>11</v>
      </c>
      <c r="NM74" t="s">
        <v>94</v>
      </c>
      <c r="NN74">
        <v>1.032</v>
      </c>
      <c r="NO74">
        <v>0.91300000000000003</v>
      </c>
      <c r="NP74">
        <v>-1.028</v>
      </c>
      <c r="NQ74">
        <v>0.48599999999999999</v>
      </c>
      <c r="NR74">
        <v>1.125</v>
      </c>
      <c r="NS74">
        <v>1.6519999999999999</v>
      </c>
      <c r="NT74">
        <v>2.5979999999999999</v>
      </c>
      <c r="NU74">
        <v>1.036</v>
      </c>
      <c r="NV74">
        <v>63</v>
      </c>
      <c r="NY74" t="s">
        <v>94</v>
      </c>
      <c r="NZ74">
        <v>0.433</v>
      </c>
      <c r="OA74">
        <v>1.1459999999999999</v>
      </c>
      <c r="OB74">
        <v>-1.869</v>
      </c>
      <c r="OC74">
        <v>-0.38700000000000001</v>
      </c>
      <c r="OD74">
        <v>0.47599999999999998</v>
      </c>
      <c r="OE74">
        <v>1.302</v>
      </c>
      <c r="OF74">
        <v>2.4159999999999999</v>
      </c>
      <c r="OG74">
        <v>1.0860000000000001</v>
      </c>
      <c r="OH74">
        <v>32</v>
      </c>
      <c r="OP74" t="s">
        <v>94</v>
      </c>
      <c r="OQ74">
        <v>1.3009999999999999</v>
      </c>
      <c r="OR74">
        <v>0.93300000000000005</v>
      </c>
      <c r="OS74">
        <v>-0.83899999999999997</v>
      </c>
      <c r="OT74">
        <v>0.74099999999999999</v>
      </c>
      <c r="OU74">
        <v>1.482</v>
      </c>
      <c r="OV74">
        <v>2.036</v>
      </c>
      <c r="OW74">
        <v>2.6070000000000002</v>
      </c>
      <c r="OX74">
        <v>1.171</v>
      </c>
      <c r="OY74">
        <v>18</v>
      </c>
      <c r="PB74" t="s">
        <v>94</v>
      </c>
      <c r="PC74">
        <v>1.871</v>
      </c>
      <c r="PD74">
        <v>0.93700000000000006</v>
      </c>
      <c r="PE74">
        <v>-0.1</v>
      </c>
      <c r="PF74">
        <v>1.288</v>
      </c>
      <c r="PG74">
        <v>1.9350000000000001</v>
      </c>
      <c r="PH74">
        <v>2.556</v>
      </c>
      <c r="PI74">
        <v>3.4980000000000002</v>
      </c>
      <c r="PJ74">
        <v>1.0860000000000001</v>
      </c>
      <c r="PK74">
        <v>30</v>
      </c>
      <c r="PN74" t="s">
        <v>94</v>
      </c>
      <c r="PO74">
        <v>2.5510000000000002</v>
      </c>
      <c r="PP74">
        <v>0.76800000000000002</v>
      </c>
      <c r="PQ74">
        <v>0.95</v>
      </c>
      <c r="PR74">
        <v>2.0449999999999999</v>
      </c>
      <c r="PS74">
        <v>2.6019999999999999</v>
      </c>
      <c r="PT74">
        <v>3.0880000000000001</v>
      </c>
      <c r="PU74">
        <v>3.9489999999999998</v>
      </c>
      <c r="PV74">
        <v>1.048</v>
      </c>
      <c r="PW74">
        <v>56</v>
      </c>
      <c r="QA74" t="s">
        <v>94</v>
      </c>
      <c r="QB74">
        <v>-4.0670000000000002</v>
      </c>
      <c r="QC74">
        <v>0.81899999999999995</v>
      </c>
      <c r="QD74">
        <v>-5.5289999999999999</v>
      </c>
      <c r="QE74">
        <v>-4.6550000000000002</v>
      </c>
      <c r="QF74">
        <v>-4.1260000000000003</v>
      </c>
      <c r="QG74">
        <v>-3.5369999999999999</v>
      </c>
      <c r="QH74">
        <v>-2.3220000000000001</v>
      </c>
      <c r="QI74">
        <v>1.143</v>
      </c>
      <c r="QJ74">
        <v>23</v>
      </c>
      <c r="QL74">
        <f t="shared" si="4"/>
        <v>6.6180000000000003</v>
      </c>
    </row>
    <row r="75" spans="1:454">
      <c r="A75" t="s">
        <v>95</v>
      </c>
      <c r="B75">
        <v>4.6070000000000002</v>
      </c>
      <c r="C75">
        <v>1.06</v>
      </c>
      <c r="D75">
        <v>2.3130000000000002</v>
      </c>
      <c r="E75">
        <v>3.923</v>
      </c>
      <c r="F75">
        <v>4.6920000000000002</v>
      </c>
      <c r="G75">
        <v>5.327</v>
      </c>
      <c r="H75">
        <v>6.5359999999999996</v>
      </c>
      <c r="I75">
        <v>1.0069999999999999</v>
      </c>
      <c r="J75">
        <v>2800</v>
      </c>
      <c r="O75" t="s">
        <v>95</v>
      </c>
      <c r="P75">
        <v>2.3889999999999998</v>
      </c>
      <c r="Q75">
        <v>1.2290000000000001</v>
      </c>
      <c r="R75">
        <v>0.313</v>
      </c>
      <c r="S75">
        <v>1.48</v>
      </c>
      <c r="T75">
        <v>2.2930000000000001</v>
      </c>
      <c r="U75">
        <v>3.2149999999999999</v>
      </c>
      <c r="V75">
        <v>4.9550000000000001</v>
      </c>
      <c r="W75">
        <v>1.0009999999999999</v>
      </c>
      <c r="X75">
        <v>2200</v>
      </c>
      <c r="AC75" t="s">
        <v>95</v>
      </c>
      <c r="AD75">
        <v>4.0369999999999999</v>
      </c>
      <c r="AE75">
        <v>0.878</v>
      </c>
      <c r="AF75">
        <v>2.391</v>
      </c>
      <c r="AG75">
        <v>3.4319999999999999</v>
      </c>
      <c r="AH75">
        <v>4.0010000000000003</v>
      </c>
      <c r="AI75">
        <v>4.6139999999999999</v>
      </c>
      <c r="AJ75">
        <v>5.8019999999999996</v>
      </c>
      <c r="AK75">
        <v>1.006</v>
      </c>
      <c r="AL75">
        <v>350</v>
      </c>
      <c r="AQ75" t="s">
        <v>95</v>
      </c>
      <c r="AR75">
        <v>4.0410000000000004</v>
      </c>
      <c r="AS75">
        <v>0.873</v>
      </c>
      <c r="AT75">
        <v>2.3980000000000001</v>
      </c>
      <c r="AU75">
        <v>3.4279999999999999</v>
      </c>
      <c r="AV75">
        <v>4.0090000000000003</v>
      </c>
      <c r="AW75">
        <v>4.6210000000000004</v>
      </c>
      <c r="AX75">
        <v>5.8129999999999997</v>
      </c>
      <c r="AY75">
        <v>1.0169999999999999</v>
      </c>
      <c r="AZ75">
        <v>130</v>
      </c>
      <c r="BE75" t="s">
        <v>95</v>
      </c>
      <c r="BF75">
        <v>4.5780000000000003</v>
      </c>
      <c r="BG75">
        <v>0.80700000000000005</v>
      </c>
      <c r="BH75">
        <v>3.0329999999999999</v>
      </c>
      <c r="BI75">
        <v>4.0149999999999997</v>
      </c>
      <c r="BJ75">
        <v>4.5490000000000004</v>
      </c>
      <c r="BK75">
        <v>5.1029999999999998</v>
      </c>
      <c r="BL75">
        <v>6.2290000000000001</v>
      </c>
      <c r="BM75">
        <v>1.05</v>
      </c>
      <c r="BN75">
        <v>46</v>
      </c>
      <c r="BS75" t="s">
        <v>95</v>
      </c>
      <c r="BT75">
        <v>3.8570000000000002</v>
      </c>
      <c r="BU75">
        <v>0.80300000000000005</v>
      </c>
      <c r="BV75">
        <v>2.3410000000000002</v>
      </c>
      <c r="BW75">
        <v>3.319</v>
      </c>
      <c r="BX75">
        <v>3.8290000000000002</v>
      </c>
      <c r="BY75">
        <v>4.3949999999999996</v>
      </c>
      <c r="BZ75">
        <v>5.4640000000000004</v>
      </c>
      <c r="CA75">
        <v>1.0189999999999999</v>
      </c>
      <c r="CB75">
        <v>130</v>
      </c>
      <c r="CG75" t="s">
        <v>95</v>
      </c>
      <c r="CH75">
        <v>4.6879999999999997</v>
      </c>
      <c r="CI75">
        <v>0.80200000000000005</v>
      </c>
      <c r="CJ75">
        <v>3.0670000000000002</v>
      </c>
      <c r="CK75">
        <v>4.1639999999999997</v>
      </c>
      <c r="CL75">
        <v>4.6890000000000001</v>
      </c>
      <c r="CM75">
        <v>5.234</v>
      </c>
      <c r="CN75">
        <v>6.2460000000000004</v>
      </c>
      <c r="CO75">
        <v>1.0249999999999999</v>
      </c>
      <c r="CP75">
        <v>90</v>
      </c>
      <c r="CU75" t="s">
        <v>95</v>
      </c>
      <c r="CV75">
        <v>4.9429999999999996</v>
      </c>
      <c r="CW75">
        <v>1.032</v>
      </c>
      <c r="CX75">
        <v>2.9409999999999998</v>
      </c>
      <c r="CY75">
        <v>4.1710000000000003</v>
      </c>
      <c r="CZ75">
        <v>4.9429999999999996</v>
      </c>
      <c r="DA75">
        <v>5.7770000000000001</v>
      </c>
      <c r="DB75">
        <v>6.6440000000000001</v>
      </c>
      <c r="DC75">
        <v>1.024</v>
      </c>
      <c r="DD75">
        <v>98</v>
      </c>
      <c r="DI75" t="s">
        <v>95</v>
      </c>
      <c r="DJ75">
        <v>4.18</v>
      </c>
      <c r="DK75">
        <v>0.88800000000000001</v>
      </c>
      <c r="DL75">
        <v>2.4950000000000001</v>
      </c>
      <c r="DM75">
        <v>3.5579999999999998</v>
      </c>
      <c r="DN75">
        <v>4.16</v>
      </c>
      <c r="DO75">
        <v>4.8019999999999996</v>
      </c>
      <c r="DP75">
        <v>5.899</v>
      </c>
      <c r="DQ75">
        <v>1.0049999999999999</v>
      </c>
      <c r="DR75">
        <v>490</v>
      </c>
      <c r="DY75" t="s">
        <v>95</v>
      </c>
      <c r="DZ75">
        <v>4.306</v>
      </c>
      <c r="EA75">
        <v>0.88</v>
      </c>
      <c r="EB75">
        <v>2.6539999999999999</v>
      </c>
      <c r="EC75">
        <v>3.7080000000000002</v>
      </c>
      <c r="ED75">
        <v>4.2930000000000001</v>
      </c>
      <c r="EE75">
        <v>4.9009999999999998</v>
      </c>
      <c r="EF75">
        <v>6.0819999999999999</v>
      </c>
      <c r="EG75">
        <v>1.0169999999999999</v>
      </c>
      <c r="EH75">
        <v>130</v>
      </c>
      <c r="EK75" t="s">
        <v>95</v>
      </c>
      <c r="EL75">
        <v>2.8639999999999999</v>
      </c>
      <c r="EM75">
        <v>0.76900000000000002</v>
      </c>
      <c r="EN75">
        <v>1.423</v>
      </c>
      <c r="EO75">
        <v>2.323</v>
      </c>
      <c r="EP75">
        <v>2.867</v>
      </c>
      <c r="EQ75">
        <v>3.4020000000000001</v>
      </c>
      <c r="ER75">
        <v>4.4189999999999996</v>
      </c>
      <c r="ES75">
        <v>1.0049999999999999</v>
      </c>
      <c r="ET75">
        <v>460</v>
      </c>
      <c r="EY75" t="s">
        <v>95</v>
      </c>
      <c r="EZ75">
        <v>3.4279999999999999</v>
      </c>
      <c r="FA75">
        <v>0.875</v>
      </c>
      <c r="FB75">
        <v>1.7749999999999999</v>
      </c>
      <c r="FC75">
        <v>2.83</v>
      </c>
      <c r="FD75">
        <v>3.4260000000000002</v>
      </c>
      <c r="FE75">
        <v>3.9870000000000001</v>
      </c>
      <c r="FF75">
        <v>5.2610000000000001</v>
      </c>
      <c r="FG75">
        <v>1.002</v>
      </c>
      <c r="FH75">
        <v>2400</v>
      </c>
      <c r="GA75" t="s">
        <v>95</v>
      </c>
      <c r="GB75">
        <v>3.9359999999999999</v>
      </c>
      <c r="GC75">
        <v>0.70799999999999996</v>
      </c>
      <c r="GD75">
        <v>2.556</v>
      </c>
      <c r="GE75">
        <v>3.47</v>
      </c>
      <c r="GF75">
        <v>3.9340000000000002</v>
      </c>
      <c r="GG75">
        <v>4.4260000000000002</v>
      </c>
      <c r="GH75">
        <v>5.3010000000000002</v>
      </c>
      <c r="GI75">
        <v>1.004</v>
      </c>
      <c r="GJ75">
        <v>520</v>
      </c>
      <c r="GO75" t="s">
        <v>95</v>
      </c>
      <c r="GP75">
        <v>3.593</v>
      </c>
      <c r="GQ75">
        <v>0.85799999999999998</v>
      </c>
      <c r="GR75">
        <v>1.881</v>
      </c>
      <c r="GS75">
        <v>3.0009999999999999</v>
      </c>
      <c r="GT75">
        <v>3.6070000000000002</v>
      </c>
      <c r="GU75">
        <v>4.1769999999999996</v>
      </c>
      <c r="GV75">
        <v>5.29</v>
      </c>
      <c r="GW75">
        <v>1.006</v>
      </c>
      <c r="GX75">
        <v>380</v>
      </c>
      <c r="HC75" t="s">
        <v>95</v>
      </c>
      <c r="HD75">
        <v>3.621</v>
      </c>
      <c r="HE75">
        <v>0.88500000000000001</v>
      </c>
      <c r="HF75">
        <v>1.9690000000000001</v>
      </c>
      <c r="HG75">
        <v>3.0059999999999998</v>
      </c>
      <c r="HH75">
        <v>3.625</v>
      </c>
      <c r="HI75">
        <v>4.1890000000000001</v>
      </c>
      <c r="HJ75">
        <v>5.3890000000000002</v>
      </c>
      <c r="HK75">
        <v>1.0109999999999999</v>
      </c>
      <c r="HL75">
        <v>260</v>
      </c>
      <c r="HP75" s="7"/>
      <c r="HQ75" s="7" t="s">
        <v>95</v>
      </c>
      <c r="HR75" s="7">
        <v>3.5939999999999999</v>
      </c>
      <c r="HS75" s="7">
        <v>0.81399999999999995</v>
      </c>
      <c r="HT75" s="7">
        <v>2.1349999999999998</v>
      </c>
      <c r="HU75" s="7">
        <v>3.016</v>
      </c>
      <c r="HV75" s="7">
        <v>3.577</v>
      </c>
      <c r="HW75" s="7">
        <v>4.1289999999999996</v>
      </c>
      <c r="HX75" s="7">
        <v>5.2519999999999998</v>
      </c>
      <c r="HY75" s="7">
        <v>1.002</v>
      </c>
      <c r="HZ75" s="7">
        <v>1600</v>
      </c>
      <c r="IA75" s="7"/>
      <c r="IE75" t="s">
        <v>95</v>
      </c>
      <c r="IF75">
        <v>3.6869999999999998</v>
      </c>
      <c r="IG75">
        <v>0.68</v>
      </c>
      <c r="IH75">
        <v>2.3559999999999999</v>
      </c>
      <c r="II75">
        <v>3.2330000000000001</v>
      </c>
      <c r="IJ75">
        <v>3.665</v>
      </c>
      <c r="IK75">
        <v>4.1360000000000001</v>
      </c>
      <c r="IL75">
        <v>5.0549999999999997</v>
      </c>
      <c r="IM75">
        <v>1.0049999999999999</v>
      </c>
      <c r="IN75">
        <v>460</v>
      </c>
      <c r="IS75" t="s">
        <v>95</v>
      </c>
      <c r="IT75">
        <v>3.8</v>
      </c>
      <c r="IU75">
        <v>0.73699999999999999</v>
      </c>
      <c r="IV75">
        <v>2.4889999999999999</v>
      </c>
      <c r="IW75">
        <v>3.27</v>
      </c>
      <c r="IX75">
        <v>3.78</v>
      </c>
      <c r="IY75">
        <v>4.2709999999999999</v>
      </c>
      <c r="IZ75">
        <v>5.3410000000000002</v>
      </c>
      <c r="JA75">
        <v>1.0309999999999999</v>
      </c>
      <c r="JB75">
        <v>79</v>
      </c>
      <c r="JF75" t="s">
        <v>95</v>
      </c>
      <c r="JG75">
        <v>3.9609999999999999</v>
      </c>
      <c r="JH75">
        <v>0.79400000000000004</v>
      </c>
      <c r="JI75">
        <v>2.4350000000000001</v>
      </c>
      <c r="JJ75">
        <v>3.4279999999999999</v>
      </c>
      <c r="JK75">
        <v>3.9430000000000001</v>
      </c>
      <c r="JL75">
        <v>4.4740000000000002</v>
      </c>
      <c r="JM75">
        <v>5.6020000000000003</v>
      </c>
      <c r="JN75">
        <v>1.002</v>
      </c>
      <c r="JO75">
        <v>1600</v>
      </c>
      <c r="JT75" t="s">
        <v>95</v>
      </c>
      <c r="JU75">
        <v>3.94</v>
      </c>
      <c r="JV75">
        <v>0.77600000000000002</v>
      </c>
      <c r="JW75">
        <v>2.456</v>
      </c>
      <c r="JX75">
        <v>3.4209999999999998</v>
      </c>
      <c r="JY75">
        <v>3.9289999999999998</v>
      </c>
      <c r="JZ75">
        <v>4.4640000000000004</v>
      </c>
      <c r="KA75">
        <v>5.4710000000000001</v>
      </c>
      <c r="KB75">
        <v>1.0029999999999999</v>
      </c>
      <c r="KC75">
        <v>970</v>
      </c>
      <c r="KH75" t="s">
        <v>95</v>
      </c>
      <c r="KI75">
        <v>3.8410000000000002</v>
      </c>
      <c r="KJ75">
        <v>0.76100000000000001</v>
      </c>
      <c r="KK75">
        <v>2.383</v>
      </c>
      <c r="KL75">
        <v>3.331</v>
      </c>
      <c r="KM75">
        <v>3.8210000000000002</v>
      </c>
      <c r="KN75">
        <v>4.3310000000000004</v>
      </c>
      <c r="KO75">
        <v>5.4160000000000004</v>
      </c>
      <c r="KP75">
        <v>1.004</v>
      </c>
      <c r="KQ75">
        <v>950</v>
      </c>
      <c r="KR75">
        <f t="shared" si="3"/>
        <v>46.572023184722411</v>
      </c>
      <c r="KV75" t="s">
        <v>95</v>
      </c>
      <c r="KW75">
        <v>6.1449999999999996</v>
      </c>
      <c r="KX75">
        <v>0.48699999999999999</v>
      </c>
      <c r="KY75">
        <v>5.2009999999999996</v>
      </c>
      <c r="KZ75">
        <v>5.7889999999999997</v>
      </c>
      <c r="LA75">
        <v>6.1580000000000004</v>
      </c>
      <c r="LB75">
        <v>6.5209999999999999</v>
      </c>
      <c r="LC75">
        <v>7.0010000000000003</v>
      </c>
      <c r="LD75">
        <v>1.0189999999999999</v>
      </c>
      <c r="LE75">
        <v>110</v>
      </c>
      <c r="LJ75" t="s">
        <v>95</v>
      </c>
      <c r="LK75">
        <v>4.1639999999999997</v>
      </c>
      <c r="LL75">
        <v>0.27900000000000003</v>
      </c>
      <c r="LM75">
        <v>3.6240000000000001</v>
      </c>
      <c r="LN75">
        <v>3.9750000000000001</v>
      </c>
      <c r="LO75">
        <v>4.1680000000000001</v>
      </c>
      <c r="LP75">
        <v>4.3460000000000001</v>
      </c>
      <c r="LQ75">
        <v>4.7190000000000003</v>
      </c>
      <c r="LR75">
        <v>1.016</v>
      </c>
      <c r="LS75">
        <v>130</v>
      </c>
      <c r="LX75" t="s">
        <v>95</v>
      </c>
      <c r="LY75">
        <v>6.0389999999999997</v>
      </c>
      <c r="LZ75">
        <v>0.50600000000000001</v>
      </c>
      <c r="MA75">
        <v>5.016</v>
      </c>
      <c r="MB75">
        <v>5.6849999999999996</v>
      </c>
      <c r="MC75">
        <v>6.056</v>
      </c>
      <c r="MD75">
        <v>6.4089999999999998</v>
      </c>
      <c r="ME75">
        <v>6.9320000000000004</v>
      </c>
      <c r="MF75">
        <v>1.105</v>
      </c>
      <c r="MG75">
        <v>24</v>
      </c>
      <c r="ML75" t="s">
        <v>95</v>
      </c>
      <c r="MM75">
        <v>5.0060000000000002</v>
      </c>
      <c r="MN75">
        <v>1.008</v>
      </c>
      <c r="MO75">
        <v>2.8069999999999999</v>
      </c>
      <c r="MP75">
        <v>4.3659999999999997</v>
      </c>
      <c r="MQ75">
        <v>5.0750000000000002</v>
      </c>
      <c r="MR75">
        <v>5.7190000000000003</v>
      </c>
      <c r="MS75">
        <v>6.7779999999999996</v>
      </c>
      <c r="MT75">
        <v>1.016</v>
      </c>
      <c r="MU75">
        <v>330</v>
      </c>
      <c r="MZ75" t="s">
        <v>95</v>
      </c>
      <c r="NA75">
        <v>4.9450000000000003</v>
      </c>
      <c r="NB75">
        <v>0.80500000000000005</v>
      </c>
      <c r="NC75">
        <v>3.4390000000000001</v>
      </c>
      <c r="ND75">
        <v>4.3330000000000002</v>
      </c>
      <c r="NE75">
        <v>4.899</v>
      </c>
      <c r="NF75">
        <v>5.5540000000000003</v>
      </c>
      <c r="NG75">
        <v>6.4660000000000002</v>
      </c>
      <c r="NH75">
        <v>1.619</v>
      </c>
      <c r="NI75">
        <v>7</v>
      </c>
      <c r="NM75" t="s">
        <v>95</v>
      </c>
      <c r="NN75">
        <v>4.3949999999999996</v>
      </c>
      <c r="NO75">
        <v>0.94099999999999995</v>
      </c>
      <c r="NP75">
        <v>2.3889999999999998</v>
      </c>
      <c r="NQ75">
        <v>3.782</v>
      </c>
      <c r="NR75">
        <v>4.4260000000000002</v>
      </c>
      <c r="NS75">
        <v>5.0739999999999998</v>
      </c>
      <c r="NT75">
        <v>6.0919999999999996</v>
      </c>
      <c r="NU75">
        <v>1.028</v>
      </c>
      <c r="NV75">
        <v>180</v>
      </c>
      <c r="NY75" t="s">
        <v>95</v>
      </c>
      <c r="NZ75">
        <v>4.8630000000000004</v>
      </c>
      <c r="OA75">
        <v>1.0329999999999999</v>
      </c>
      <c r="OB75">
        <v>2.82</v>
      </c>
      <c r="OC75">
        <v>4.1660000000000004</v>
      </c>
      <c r="OD75">
        <v>4.8579999999999997</v>
      </c>
      <c r="OE75">
        <v>5.6029999999999998</v>
      </c>
      <c r="OF75">
        <v>6.7240000000000002</v>
      </c>
      <c r="OG75">
        <v>1.014</v>
      </c>
      <c r="OH75">
        <v>360</v>
      </c>
      <c r="OP75" t="s">
        <v>95</v>
      </c>
      <c r="OQ75">
        <v>5.4530000000000003</v>
      </c>
      <c r="OR75">
        <v>0.90800000000000003</v>
      </c>
      <c r="OS75">
        <v>3.323</v>
      </c>
      <c r="OT75">
        <v>4.8659999999999997</v>
      </c>
      <c r="OU75">
        <v>5.6260000000000003</v>
      </c>
      <c r="OV75">
        <v>6.1509999999999998</v>
      </c>
      <c r="OW75">
        <v>6.758</v>
      </c>
      <c r="OX75">
        <v>1.147</v>
      </c>
      <c r="OY75">
        <v>23</v>
      </c>
      <c r="PB75" t="s">
        <v>95</v>
      </c>
      <c r="PC75">
        <v>3.4420000000000002</v>
      </c>
      <c r="PD75">
        <v>0.88700000000000001</v>
      </c>
      <c r="PE75">
        <v>1.548</v>
      </c>
      <c r="PF75">
        <v>2.8919999999999999</v>
      </c>
      <c r="PG75">
        <v>3.5179999999999998</v>
      </c>
      <c r="PH75">
        <v>4.093</v>
      </c>
      <c r="PI75">
        <v>4.9480000000000004</v>
      </c>
      <c r="PJ75">
        <v>1.095</v>
      </c>
      <c r="PK75">
        <v>32</v>
      </c>
      <c r="PN75" t="s">
        <v>95</v>
      </c>
      <c r="PO75">
        <v>4.8929999999999998</v>
      </c>
      <c r="PP75">
        <v>0.77600000000000002</v>
      </c>
      <c r="PQ75">
        <v>3.3410000000000002</v>
      </c>
      <c r="PR75">
        <v>4.3719999999999999</v>
      </c>
      <c r="PS75">
        <v>4.9359999999999999</v>
      </c>
      <c r="PT75">
        <v>5.4390000000000001</v>
      </c>
      <c r="PU75">
        <v>6.3369999999999997</v>
      </c>
      <c r="PV75">
        <v>1.054</v>
      </c>
      <c r="PW75">
        <v>46</v>
      </c>
      <c r="QA75" t="s">
        <v>95</v>
      </c>
      <c r="QB75">
        <v>3.7450000000000001</v>
      </c>
      <c r="QC75">
        <v>0.40200000000000002</v>
      </c>
      <c r="QD75">
        <v>2.9809999999999999</v>
      </c>
      <c r="QE75">
        <v>3.4550000000000001</v>
      </c>
      <c r="QF75">
        <v>3.76</v>
      </c>
      <c r="QG75">
        <v>4.0199999999999996</v>
      </c>
      <c r="QH75">
        <v>4.5389999999999997</v>
      </c>
      <c r="QI75">
        <v>1.016</v>
      </c>
      <c r="QJ75">
        <v>220</v>
      </c>
      <c r="QL75">
        <f t="shared" si="4"/>
        <v>1.1479999999999997</v>
      </c>
    </row>
    <row r="76" spans="1:454">
      <c r="A76" t="s">
        <v>96</v>
      </c>
      <c r="B76">
        <v>4.4240000000000004</v>
      </c>
      <c r="C76">
        <v>0.95599999999999996</v>
      </c>
      <c r="D76">
        <v>2.4529999999999998</v>
      </c>
      <c r="E76">
        <v>3.8340000000000001</v>
      </c>
      <c r="F76">
        <v>4.4859999999999998</v>
      </c>
      <c r="G76">
        <v>5.0510000000000002</v>
      </c>
      <c r="H76">
        <v>6.234</v>
      </c>
      <c r="I76">
        <v>1.093</v>
      </c>
      <c r="J76">
        <v>40</v>
      </c>
      <c r="O76" t="s">
        <v>96</v>
      </c>
      <c r="P76">
        <v>4.5270000000000001</v>
      </c>
      <c r="Q76">
        <v>1.627</v>
      </c>
      <c r="R76">
        <v>1.145</v>
      </c>
      <c r="S76">
        <v>3.4039999999999999</v>
      </c>
      <c r="T76">
        <v>4.6269999999999998</v>
      </c>
      <c r="U76">
        <v>5.77</v>
      </c>
      <c r="V76">
        <v>7.1760000000000002</v>
      </c>
      <c r="W76">
        <v>1.03</v>
      </c>
      <c r="X76">
        <v>140</v>
      </c>
      <c r="AC76" t="s">
        <v>96</v>
      </c>
      <c r="AD76">
        <v>5.5069999999999997</v>
      </c>
      <c r="AE76">
        <v>0.999</v>
      </c>
      <c r="AF76">
        <v>3.444</v>
      </c>
      <c r="AG76">
        <v>4.8040000000000003</v>
      </c>
      <c r="AH76">
        <v>5.5389999999999997</v>
      </c>
      <c r="AI76">
        <v>6.2759999999999998</v>
      </c>
      <c r="AJ76">
        <v>7.2249999999999996</v>
      </c>
      <c r="AK76">
        <v>1.0149999999999999</v>
      </c>
      <c r="AL76">
        <v>140</v>
      </c>
      <c r="AQ76" t="s">
        <v>96</v>
      </c>
      <c r="AR76">
        <v>5.6429999999999998</v>
      </c>
      <c r="AS76">
        <v>0.97099999999999997</v>
      </c>
      <c r="AT76">
        <v>3.6070000000000002</v>
      </c>
      <c r="AU76">
        <v>4.9829999999999997</v>
      </c>
      <c r="AV76">
        <v>5.6950000000000003</v>
      </c>
      <c r="AW76">
        <v>6.383</v>
      </c>
      <c r="AX76">
        <v>7.2640000000000002</v>
      </c>
      <c r="AY76">
        <v>1.014</v>
      </c>
      <c r="AZ76">
        <v>200</v>
      </c>
      <c r="BE76" t="s">
        <v>96</v>
      </c>
      <c r="BF76">
        <v>5.94</v>
      </c>
      <c r="BG76">
        <v>0.72199999999999998</v>
      </c>
      <c r="BH76">
        <v>4.5289999999999999</v>
      </c>
      <c r="BI76">
        <v>5.444</v>
      </c>
      <c r="BJ76">
        <v>5.9379999999999997</v>
      </c>
      <c r="BK76">
        <v>6.4829999999999997</v>
      </c>
      <c r="BL76">
        <v>7.2380000000000004</v>
      </c>
      <c r="BM76">
        <v>1.0049999999999999</v>
      </c>
      <c r="BN76">
        <v>410</v>
      </c>
      <c r="BS76" t="s">
        <v>96</v>
      </c>
      <c r="BT76">
        <v>5.1109999999999998</v>
      </c>
      <c r="BU76">
        <v>1.0940000000000001</v>
      </c>
      <c r="BV76">
        <v>3.0289999999999999</v>
      </c>
      <c r="BW76">
        <v>4.3479999999999999</v>
      </c>
      <c r="BX76">
        <v>5.0720000000000001</v>
      </c>
      <c r="BY76">
        <v>5.9379999999999997</v>
      </c>
      <c r="BZ76">
        <v>7.173</v>
      </c>
      <c r="CA76">
        <v>1.01</v>
      </c>
      <c r="CB76">
        <v>220</v>
      </c>
      <c r="CG76" t="s">
        <v>96</v>
      </c>
      <c r="CH76">
        <v>5.9240000000000004</v>
      </c>
      <c r="CI76">
        <v>0.71699999999999997</v>
      </c>
      <c r="CJ76">
        <v>4.4950000000000001</v>
      </c>
      <c r="CK76">
        <v>5.4139999999999997</v>
      </c>
      <c r="CL76">
        <v>5.9379999999999997</v>
      </c>
      <c r="CM76">
        <v>6.4649999999999999</v>
      </c>
      <c r="CN76">
        <v>7.2329999999999997</v>
      </c>
      <c r="CO76">
        <v>1.0049999999999999</v>
      </c>
      <c r="CP76">
        <v>430</v>
      </c>
      <c r="CU76" t="s">
        <v>96</v>
      </c>
      <c r="CV76">
        <v>6.2709999999999999</v>
      </c>
      <c r="CW76">
        <v>0.80200000000000005</v>
      </c>
      <c r="CX76">
        <v>4.5229999999999997</v>
      </c>
      <c r="CY76">
        <v>5.7249999999999996</v>
      </c>
      <c r="CZ76">
        <v>6.3869999999999996</v>
      </c>
      <c r="DA76">
        <v>6.9320000000000004</v>
      </c>
      <c r="DB76">
        <v>7.3760000000000003</v>
      </c>
      <c r="DC76">
        <v>1.0169999999999999</v>
      </c>
      <c r="DD76">
        <v>150</v>
      </c>
      <c r="DI76" t="s">
        <v>96</v>
      </c>
      <c r="DJ76">
        <v>5.4050000000000002</v>
      </c>
      <c r="DK76">
        <v>1.032</v>
      </c>
      <c r="DL76">
        <v>3.395</v>
      </c>
      <c r="DM76">
        <v>4.6459999999999999</v>
      </c>
      <c r="DN76">
        <v>5.4180000000000001</v>
      </c>
      <c r="DO76">
        <v>6.1779999999999999</v>
      </c>
      <c r="DP76">
        <v>7.234</v>
      </c>
      <c r="DQ76">
        <v>1.004</v>
      </c>
      <c r="DR76">
        <v>590</v>
      </c>
      <c r="DY76" t="s">
        <v>96</v>
      </c>
      <c r="DZ76">
        <v>5.78</v>
      </c>
      <c r="EA76">
        <v>0.93600000000000005</v>
      </c>
      <c r="EB76">
        <v>3.8330000000000002</v>
      </c>
      <c r="EC76">
        <v>5.1379999999999999</v>
      </c>
      <c r="ED76">
        <v>5.8449999999999998</v>
      </c>
      <c r="EE76">
        <v>6.4989999999999997</v>
      </c>
      <c r="EF76">
        <v>7.282</v>
      </c>
      <c r="EG76">
        <v>1.004</v>
      </c>
      <c r="EH76">
        <v>1500</v>
      </c>
      <c r="EK76" t="s">
        <v>96</v>
      </c>
      <c r="EL76">
        <v>5.4820000000000002</v>
      </c>
      <c r="EM76">
        <v>1.0589999999999999</v>
      </c>
      <c r="EN76">
        <v>3.3820000000000001</v>
      </c>
      <c r="EO76">
        <v>4.74</v>
      </c>
      <c r="EP76">
        <v>5.4980000000000002</v>
      </c>
      <c r="EQ76">
        <v>6.3170000000000002</v>
      </c>
      <c r="ER76">
        <v>7.2679999999999998</v>
      </c>
      <c r="ES76">
        <v>1.006</v>
      </c>
      <c r="ET76">
        <v>380</v>
      </c>
      <c r="EY76" t="s">
        <v>96</v>
      </c>
      <c r="EZ76">
        <v>5.8339999999999996</v>
      </c>
      <c r="FA76">
        <v>1</v>
      </c>
      <c r="FB76">
        <v>3.5790000000000002</v>
      </c>
      <c r="FC76">
        <v>5.1849999999999996</v>
      </c>
      <c r="FD76">
        <v>5.9630000000000001</v>
      </c>
      <c r="FE76">
        <v>6.6280000000000001</v>
      </c>
      <c r="FF76">
        <v>7.3029999999999999</v>
      </c>
      <c r="FG76">
        <v>1.004</v>
      </c>
      <c r="FH76">
        <v>720</v>
      </c>
      <c r="GA76" t="s">
        <v>96</v>
      </c>
      <c r="GB76">
        <v>5.5629999999999997</v>
      </c>
      <c r="GC76">
        <v>0.67600000000000005</v>
      </c>
      <c r="GD76">
        <v>4.32</v>
      </c>
      <c r="GE76">
        <v>5.0860000000000003</v>
      </c>
      <c r="GF76">
        <v>5.5229999999999997</v>
      </c>
      <c r="GG76">
        <v>6.016</v>
      </c>
      <c r="GH76">
        <v>6.9580000000000002</v>
      </c>
      <c r="GI76">
        <v>1.002</v>
      </c>
      <c r="GJ76">
        <v>3000</v>
      </c>
      <c r="GO76" t="s">
        <v>96</v>
      </c>
      <c r="GP76">
        <v>5.8659999999999997</v>
      </c>
      <c r="GQ76">
        <v>0.99399999999999999</v>
      </c>
      <c r="GR76">
        <v>3.677</v>
      </c>
      <c r="GS76">
        <v>5.1959999999999997</v>
      </c>
      <c r="GT76">
        <v>5.9729999999999999</v>
      </c>
      <c r="GU76">
        <v>6.68</v>
      </c>
      <c r="GV76">
        <v>7.2939999999999996</v>
      </c>
      <c r="GW76">
        <v>1.0029999999999999</v>
      </c>
      <c r="GX76">
        <v>940</v>
      </c>
      <c r="HC76" t="s">
        <v>96</v>
      </c>
      <c r="HD76">
        <v>6.0350000000000001</v>
      </c>
      <c r="HE76">
        <v>0.91700000000000004</v>
      </c>
      <c r="HF76">
        <v>4.0039999999999996</v>
      </c>
      <c r="HG76">
        <v>5.423</v>
      </c>
      <c r="HH76">
        <v>6.1639999999999997</v>
      </c>
      <c r="HI76">
        <v>6.782</v>
      </c>
      <c r="HJ76">
        <v>7.3310000000000004</v>
      </c>
      <c r="HK76">
        <v>1.0049999999999999</v>
      </c>
      <c r="HL76">
        <v>460</v>
      </c>
      <c r="HP76" s="7"/>
      <c r="HQ76" s="7" t="s">
        <v>96</v>
      </c>
      <c r="HR76" s="7">
        <v>6.19</v>
      </c>
      <c r="HS76" s="7">
        <v>0.78100000000000003</v>
      </c>
      <c r="HT76" s="7">
        <v>4.4459999999999997</v>
      </c>
      <c r="HU76" s="7">
        <v>5.6719999999999997</v>
      </c>
      <c r="HV76" s="7">
        <v>6.2939999999999996</v>
      </c>
      <c r="HW76" s="7">
        <v>6.8090000000000002</v>
      </c>
      <c r="HX76" s="7">
        <v>7.3250000000000002</v>
      </c>
      <c r="HY76" s="7">
        <v>1.0009999999999999</v>
      </c>
      <c r="HZ76" s="7">
        <v>3000</v>
      </c>
      <c r="IA76" s="7"/>
      <c r="IE76" t="s">
        <v>96</v>
      </c>
      <c r="IF76">
        <v>5.95</v>
      </c>
      <c r="IG76">
        <v>0.71499999999999997</v>
      </c>
      <c r="IH76">
        <v>4.532</v>
      </c>
      <c r="II76">
        <v>5.4480000000000004</v>
      </c>
      <c r="IJ76">
        <v>5.9359999999999999</v>
      </c>
      <c r="IK76">
        <v>6.4779999999999998</v>
      </c>
      <c r="IL76">
        <v>7.2220000000000004</v>
      </c>
      <c r="IM76">
        <v>1.0249999999999999</v>
      </c>
      <c r="IN76">
        <v>130</v>
      </c>
      <c r="IS76" t="s">
        <v>96</v>
      </c>
      <c r="IT76">
        <v>5.86</v>
      </c>
      <c r="IU76">
        <v>0.73599999999999999</v>
      </c>
      <c r="IV76">
        <v>4.3739999999999997</v>
      </c>
      <c r="IW76">
        <v>5.3540000000000001</v>
      </c>
      <c r="IX76">
        <v>5.8760000000000003</v>
      </c>
      <c r="IY76">
        <v>6.3979999999999997</v>
      </c>
      <c r="IZ76">
        <v>7.1950000000000003</v>
      </c>
      <c r="JA76">
        <v>1.0089999999999999</v>
      </c>
      <c r="JB76">
        <v>300</v>
      </c>
      <c r="JF76" t="s">
        <v>96</v>
      </c>
      <c r="JG76">
        <v>6.0270000000000001</v>
      </c>
      <c r="JH76">
        <v>0.75600000000000001</v>
      </c>
      <c r="JI76">
        <v>4.4740000000000002</v>
      </c>
      <c r="JJ76">
        <v>5.4969999999999999</v>
      </c>
      <c r="JK76">
        <v>6.048</v>
      </c>
      <c r="JL76">
        <v>6.6</v>
      </c>
      <c r="JM76">
        <v>7.2880000000000003</v>
      </c>
      <c r="JN76">
        <v>1.0009999999999999</v>
      </c>
      <c r="JO76">
        <v>3000</v>
      </c>
      <c r="JT76" t="s">
        <v>96</v>
      </c>
      <c r="JU76">
        <v>5.9939999999999998</v>
      </c>
      <c r="JV76">
        <v>0.79700000000000004</v>
      </c>
      <c r="JW76">
        <v>4.33</v>
      </c>
      <c r="JX76">
        <v>5.4859999999999998</v>
      </c>
      <c r="JY76">
        <v>6.0359999999999996</v>
      </c>
      <c r="JZ76">
        <v>6.6189999999999998</v>
      </c>
      <c r="KA76">
        <v>7.2859999999999996</v>
      </c>
      <c r="KB76">
        <v>1.0009999999999999</v>
      </c>
      <c r="KC76">
        <v>3000</v>
      </c>
      <c r="KH76" t="s">
        <v>96</v>
      </c>
      <c r="KI76">
        <v>6.1479999999999997</v>
      </c>
      <c r="KJ76">
        <v>0.747</v>
      </c>
      <c r="KK76">
        <v>4.5629999999999997</v>
      </c>
      <c r="KL76">
        <v>5.6159999999999997</v>
      </c>
      <c r="KM76">
        <v>6.226</v>
      </c>
      <c r="KN76">
        <v>6.7309999999999999</v>
      </c>
      <c r="KO76">
        <v>7.3</v>
      </c>
      <c r="KP76">
        <v>1.006</v>
      </c>
      <c r="KQ76">
        <v>550</v>
      </c>
      <c r="KR76">
        <f t="shared" si="3"/>
        <v>467.78088881898123</v>
      </c>
      <c r="KV76" t="s">
        <v>96</v>
      </c>
      <c r="KW76">
        <v>6.1890000000000001</v>
      </c>
      <c r="KX76">
        <v>0.66400000000000003</v>
      </c>
      <c r="KY76">
        <v>4.9379999999999997</v>
      </c>
      <c r="KZ76">
        <v>5.702</v>
      </c>
      <c r="LA76">
        <v>6.1859999999999999</v>
      </c>
      <c r="LB76">
        <v>6.673</v>
      </c>
      <c r="LC76">
        <v>7.4470000000000001</v>
      </c>
      <c r="LD76">
        <v>1.0760000000000001</v>
      </c>
      <c r="LE76">
        <v>31</v>
      </c>
      <c r="LJ76" t="s">
        <v>185</v>
      </c>
      <c r="LK76">
        <v>5.9770000000000003</v>
      </c>
      <c r="LL76">
        <v>0.255</v>
      </c>
      <c r="LM76">
        <v>5.5190000000000001</v>
      </c>
      <c r="LN76">
        <v>5.798</v>
      </c>
      <c r="LO76">
        <v>5.9610000000000003</v>
      </c>
      <c r="LP76">
        <v>6.1360000000000001</v>
      </c>
      <c r="LQ76">
        <v>6.516</v>
      </c>
      <c r="LR76">
        <v>1.0029999999999999</v>
      </c>
      <c r="LS76">
        <v>670</v>
      </c>
      <c r="LX76" t="s">
        <v>185</v>
      </c>
      <c r="LY76">
        <v>2.359</v>
      </c>
      <c r="LZ76">
        <v>0.79200000000000004</v>
      </c>
      <c r="MA76">
        <v>0.752</v>
      </c>
      <c r="MB76">
        <v>1.823</v>
      </c>
      <c r="MC76">
        <v>2.3809999999999998</v>
      </c>
      <c r="MD76">
        <v>2.9279999999999999</v>
      </c>
      <c r="ME76">
        <v>3.8180000000000001</v>
      </c>
      <c r="MF76">
        <v>1.004</v>
      </c>
      <c r="MG76">
        <v>1000</v>
      </c>
      <c r="ML76" t="s">
        <v>96</v>
      </c>
      <c r="MM76">
        <v>5.9</v>
      </c>
      <c r="MN76">
        <v>1.0049999999999999</v>
      </c>
      <c r="MO76">
        <v>3.669</v>
      </c>
      <c r="MP76">
        <v>5.2590000000000003</v>
      </c>
      <c r="MQ76">
        <v>6.0149999999999997</v>
      </c>
      <c r="MR76">
        <v>6.6669999999999998</v>
      </c>
      <c r="MS76">
        <v>7.45</v>
      </c>
      <c r="MT76">
        <v>1.085</v>
      </c>
      <c r="MU76">
        <v>37</v>
      </c>
      <c r="MZ76" t="s">
        <v>96</v>
      </c>
      <c r="NA76">
        <v>6.0389999999999997</v>
      </c>
      <c r="NB76">
        <v>0.79300000000000004</v>
      </c>
      <c r="NC76">
        <v>4.4560000000000004</v>
      </c>
      <c r="ND76">
        <v>5.4820000000000002</v>
      </c>
      <c r="NE76">
        <v>6.0540000000000003</v>
      </c>
      <c r="NF76">
        <v>6.6529999999999996</v>
      </c>
      <c r="NG76">
        <v>7.4240000000000004</v>
      </c>
      <c r="NH76">
        <v>1.0740000000000001</v>
      </c>
      <c r="NI76">
        <v>45</v>
      </c>
      <c r="NM76" t="s">
        <v>96</v>
      </c>
      <c r="NN76">
        <v>4.742</v>
      </c>
      <c r="NO76">
        <v>0.85399999999999998</v>
      </c>
      <c r="NP76">
        <v>2.8570000000000002</v>
      </c>
      <c r="NQ76">
        <v>4.1749999999999998</v>
      </c>
      <c r="NR76">
        <v>4.7530000000000001</v>
      </c>
      <c r="NS76">
        <v>5.391</v>
      </c>
      <c r="NT76">
        <v>6.266</v>
      </c>
      <c r="NU76">
        <v>1.07</v>
      </c>
      <c r="NV76">
        <v>36</v>
      </c>
      <c r="NY76" t="s">
        <v>96</v>
      </c>
      <c r="NZ76">
        <v>5.0019999999999998</v>
      </c>
      <c r="OA76">
        <v>0.84099999999999997</v>
      </c>
      <c r="OB76">
        <v>2.86</v>
      </c>
      <c r="OC76">
        <v>4.5339999999999998</v>
      </c>
      <c r="OD76">
        <v>5.1319999999999997</v>
      </c>
      <c r="OE76">
        <v>5.6189999999999998</v>
      </c>
      <c r="OF76">
        <v>6.18</v>
      </c>
      <c r="OG76">
        <v>1.139</v>
      </c>
      <c r="OH76">
        <v>130</v>
      </c>
      <c r="OP76" t="s">
        <v>96</v>
      </c>
      <c r="OQ76">
        <v>4.8090000000000002</v>
      </c>
      <c r="OR76">
        <v>0.72099999999999997</v>
      </c>
      <c r="OS76">
        <v>3.286</v>
      </c>
      <c r="OT76">
        <v>4.3289999999999997</v>
      </c>
      <c r="OU76">
        <v>4.944</v>
      </c>
      <c r="OV76">
        <v>5.3330000000000002</v>
      </c>
      <c r="OW76">
        <v>5.9340000000000002</v>
      </c>
      <c r="OX76">
        <v>1.0980000000000001</v>
      </c>
      <c r="OY76">
        <v>32</v>
      </c>
      <c r="PB76" t="s">
        <v>96</v>
      </c>
      <c r="PC76">
        <v>3.9039999999999999</v>
      </c>
      <c r="PD76">
        <v>0.74199999999999999</v>
      </c>
      <c r="PE76">
        <v>2.3220000000000001</v>
      </c>
      <c r="PF76">
        <v>3.4430000000000001</v>
      </c>
      <c r="PG76">
        <v>4.0030000000000001</v>
      </c>
      <c r="PH76">
        <v>4.4420000000000002</v>
      </c>
      <c r="PI76">
        <v>5.1390000000000002</v>
      </c>
      <c r="PJ76">
        <v>1.0069999999999999</v>
      </c>
      <c r="PK76">
        <v>330</v>
      </c>
      <c r="PN76" t="s">
        <v>96</v>
      </c>
      <c r="PO76">
        <v>3.903</v>
      </c>
      <c r="PP76">
        <v>0.871</v>
      </c>
      <c r="PQ76">
        <v>2.012</v>
      </c>
      <c r="PR76">
        <v>3.3780000000000001</v>
      </c>
      <c r="PS76">
        <v>3.9910000000000001</v>
      </c>
      <c r="PT76">
        <v>4.5640000000000001</v>
      </c>
      <c r="PU76">
        <v>5.2460000000000004</v>
      </c>
      <c r="PV76">
        <v>1.05</v>
      </c>
      <c r="PW76">
        <v>62</v>
      </c>
      <c r="PX76">
        <f>AVERAGE(PO76:PO98)</f>
        <v>3.5824782608695656</v>
      </c>
      <c r="QA76" t="s">
        <v>96</v>
      </c>
      <c r="QB76">
        <v>5.008</v>
      </c>
      <c r="QC76">
        <v>0.308</v>
      </c>
      <c r="QD76">
        <v>4.327</v>
      </c>
      <c r="QE76">
        <v>4.82</v>
      </c>
      <c r="QF76">
        <v>5.04</v>
      </c>
      <c r="QG76">
        <v>5.2220000000000004</v>
      </c>
      <c r="QH76">
        <v>5.53</v>
      </c>
      <c r="QI76">
        <v>1.0369999999999999</v>
      </c>
      <c r="QJ76">
        <v>62</v>
      </c>
      <c r="QK76">
        <f>AVERAGE(QB76:QB98)</f>
        <v>4.7805652173913042</v>
      </c>
      <c r="QL76">
        <f t="shared" si="4"/>
        <v>-1.105</v>
      </c>
    </row>
    <row r="77" spans="1:454">
      <c r="A77" t="s">
        <v>97</v>
      </c>
      <c r="B77">
        <v>3.5529999999999999</v>
      </c>
      <c r="C77">
        <v>1.0149999999999999</v>
      </c>
      <c r="D77">
        <v>1.3560000000000001</v>
      </c>
      <c r="E77">
        <v>2.9340000000000002</v>
      </c>
      <c r="F77">
        <v>3.6749999999999998</v>
      </c>
      <c r="G77">
        <v>4.24</v>
      </c>
      <c r="H77">
        <v>5.343</v>
      </c>
      <c r="I77">
        <v>1.046</v>
      </c>
      <c r="J77">
        <v>60</v>
      </c>
      <c r="O77" t="s">
        <v>97</v>
      </c>
      <c r="P77">
        <v>1.431</v>
      </c>
      <c r="Q77">
        <v>1.085</v>
      </c>
      <c r="R77">
        <v>6.2E-2</v>
      </c>
      <c r="S77">
        <v>0.55000000000000004</v>
      </c>
      <c r="T77">
        <v>1.2110000000000001</v>
      </c>
      <c r="U77">
        <v>2.056</v>
      </c>
      <c r="V77">
        <v>4.0519999999999996</v>
      </c>
      <c r="W77">
        <v>1.0029999999999999</v>
      </c>
      <c r="X77">
        <v>970</v>
      </c>
      <c r="AC77" t="s">
        <v>97</v>
      </c>
      <c r="AD77">
        <v>3.6949999999999998</v>
      </c>
      <c r="AE77">
        <v>1.0509999999999999</v>
      </c>
      <c r="AF77">
        <v>1.5</v>
      </c>
      <c r="AG77">
        <v>3.0409999999999999</v>
      </c>
      <c r="AH77">
        <v>3.73</v>
      </c>
      <c r="AI77">
        <v>4.4029999999999996</v>
      </c>
      <c r="AJ77">
        <v>5.7489999999999997</v>
      </c>
      <c r="AK77">
        <v>1.008</v>
      </c>
      <c r="AL77">
        <v>290</v>
      </c>
      <c r="AQ77" t="s">
        <v>97</v>
      </c>
      <c r="AR77">
        <v>3.88</v>
      </c>
      <c r="AS77">
        <v>0.93600000000000005</v>
      </c>
      <c r="AT77">
        <v>1.927</v>
      </c>
      <c r="AU77">
        <v>3.2839999999999998</v>
      </c>
      <c r="AV77">
        <v>3.9390000000000001</v>
      </c>
      <c r="AW77">
        <v>4.5510000000000002</v>
      </c>
      <c r="AX77">
        <v>5.577</v>
      </c>
      <c r="AY77">
        <v>1.0329999999999999</v>
      </c>
      <c r="AZ77">
        <v>82</v>
      </c>
      <c r="BE77" t="s">
        <v>97</v>
      </c>
      <c r="BF77">
        <v>4.6130000000000004</v>
      </c>
      <c r="BG77">
        <v>0.72</v>
      </c>
      <c r="BH77">
        <v>3.222</v>
      </c>
      <c r="BI77">
        <v>4.1310000000000002</v>
      </c>
      <c r="BJ77">
        <v>4.5970000000000004</v>
      </c>
      <c r="BK77">
        <v>5.0990000000000002</v>
      </c>
      <c r="BL77">
        <v>6.0880000000000001</v>
      </c>
      <c r="BM77">
        <v>1.01</v>
      </c>
      <c r="BN77">
        <v>260</v>
      </c>
      <c r="BS77" t="s">
        <v>97</v>
      </c>
      <c r="BT77">
        <v>3.1659999999999999</v>
      </c>
      <c r="BU77">
        <v>1.077</v>
      </c>
      <c r="BV77">
        <v>1.0129999999999999</v>
      </c>
      <c r="BW77">
        <v>2.4300000000000002</v>
      </c>
      <c r="BX77">
        <v>3.16</v>
      </c>
      <c r="BY77">
        <v>3.9369999999999998</v>
      </c>
      <c r="BZ77">
        <v>5.1859999999999999</v>
      </c>
      <c r="CA77">
        <v>1.036</v>
      </c>
      <c r="CB77">
        <v>150</v>
      </c>
      <c r="CG77" t="s">
        <v>97</v>
      </c>
      <c r="CH77">
        <v>4.5149999999999997</v>
      </c>
      <c r="CI77">
        <v>0.72099999999999997</v>
      </c>
      <c r="CJ77">
        <v>3.1349999999999998</v>
      </c>
      <c r="CK77">
        <v>4.0259999999999998</v>
      </c>
      <c r="CL77">
        <v>4.5049999999999999</v>
      </c>
      <c r="CM77">
        <v>4.9960000000000004</v>
      </c>
      <c r="CN77">
        <v>5.9729999999999999</v>
      </c>
      <c r="CO77">
        <v>1.0209999999999999</v>
      </c>
      <c r="CP77">
        <v>110</v>
      </c>
      <c r="CU77" t="s">
        <v>97</v>
      </c>
      <c r="CV77">
        <v>4.51</v>
      </c>
      <c r="CW77">
        <v>0.89100000000000001</v>
      </c>
      <c r="CX77">
        <v>2.6779999999999999</v>
      </c>
      <c r="CY77">
        <v>3.9180000000000001</v>
      </c>
      <c r="CZ77">
        <v>4.57</v>
      </c>
      <c r="DA77">
        <v>5.157</v>
      </c>
      <c r="DB77">
        <v>6.06</v>
      </c>
      <c r="DC77">
        <v>1.024</v>
      </c>
      <c r="DD77">
        <v>140</v>
      </c>
      <c r="DI77" t="s">
        <v>97</v>
      </c>
      <c r="DJ77">
        <v>3.56</v>
      </c>
      <c r="DK77">
        <v>1.081</v>
      </c>
      <c r="DL77">
        <v>1.3080000000000001</v>
      </c>
      <c r="DM77">
        <v>2.8420000000000001</v>
      </c>
      <c r="DN77">
        <v>3.6190000000000002</v>
      </c>
      <c r="DO77">
        <v>4.3049999999999997</v>
      </c>
      <c r="DP77">
        <v>5.5039999999999996</v>
      </c>
      <c r="DQ77">
        <v>1.0209999999999999</v>
      </c>
      <c r="DR77">
        <v>330</v>
      </c>
      <c r="DY77" t="s">
        <v>97</v>
      </c>
      <c r="DZ77">
        <v>4.0709999999999997</v>
      </c>
      <c r="EA77">
        <v>1.016</v>
      </c>
      <c r="EB77">
        <v>1.9470000000000001</v>
      </c>
      <c r="EC77">
        <v>3.452</v>
      </c>
      <c r="ED77">
        <v>4.125</v>
      </c>
      <c r="EE77">
        <v>4.76</v>
      </c>
      <c r="EF77">
        <v>5.94</v>
      </c>
      <c r="EG77">
        <v>1.0209999999999999</v>
      </c>
      <c r="EH77">
        <v>400</v>
      </c>
      <c r="EK77" t="s">
        <v>97</v>
      </c>
      <c r="EL77">
        <v>2.73</v>
      </c>
      <c r="EM77">
        <v>1.0089999999999999</v>
      </c>
      <c r="EN77">
        <v>0.72599999999999998</v>
      </c>
      <c r="EO77">
        <v>2.0329999999999999</v>
      </c>
      <c r="EP77">
        <v>2.77</v>
      </c>
      <c r="EQ77">
        <v>3.4569999999999999</v>
      </c>
      <c r="ER77">
        <v>4.6059999999999999</v>
      </c>
      <c r="ES77">
        <v>1.0169999999999999</v>
      </c>
      <c r="ET77">
        <v>260</v>
      </c>
      <c r="EY77" t="s">
        <v>97</v>
      </c>
      <c r="EZ77">
        <v>3.6469999999999998</v>
      </c>
      <c r="FA77">
        <v>1.046</v>
      </c>
      <c r="FB77">
        <v>1.4219999999999999</v>
      </c>
      <c r="FC77">
        <v>2.992</v>
      </c>
      <c r="FD77">
        <v>3.7320000000000002</v>
      </c>
      <c r="FE77">
        <v>4.4000000000000004</v>
      </c>
      <c r="FF77">
        <v>5.4729999999999999</v>
      </c>
      <c r="FG77">
        <v>1.004</v>
      </c>
      <c r="FH77">
        <v>660</v>
      </c>
      <c r="GA77" t="s">
        <v>97</v>
      </c>
      <c r="GB77">
        <v>4.1310000000000002</v>
      </c>
      <c r="GC77">
        <v>0.57299999999999995</v>
      </c>
      <c r="GD77">
        <v>3.0569999999999999</v>
      </c>
      <c r="GE77">
        <v>3.7519999999999998</v>
      </c>
      <c r="GF77">
        <v>4.117</v>
      </c>
      <c r="GG77">
        <v>4.5140000000000002</v>
      </c>
      <c r="GH77">
        <v>5.3049999999999997</v>
      </c>
      <c r="GI77">
        <v>1.0029999999999999</v>
      </c>
      <c r="GJ77">
        <v>900</v>
      </c>
      <c r="GO77" t="s">
        <v>97</v>
      </c>
      <c r="GP77">
        <v>3.7589999999999999</v>
      </c>
      <c r="GQ77">
        <v>1.05</v>
      </c>
      <c r="GR77">
        <v>1.474</v>
      </c>
      <c r="GS77">
        <v>3.113</v>
      </c>
      <c r="GT77">
        <v>3.8239999999999998</v>
      </c>
      <c r="GU77">
        <v>4.4859999999999998</v>
      </c>
      <c r="GV77">
        <v>5.64</v>
      </c>
      <c r="GW77">
        <v>1.004</v>
      </c>
      <c r="GX77">
        <v>3000</v>
      </c>
      <c r="HC77" t="s">
        <v>97</v>
      </c>
      <c r="HD77">
        <v>4.1100000000000003</v>
      </c>
      <c r="HE77">
        <v>0.91</v>
      </c>
      <c r="HF77">
        <v>2.1840000000000002</v>
      </c>
      <c r="HG77">
        <v>3.5270000000000001</v>
      </c>
      <c r="HH77">
        <v>4.1470000000000002</v>
      </c>
      <c r="HI77">
        <v>4.7370000000000001</v>
      </c>
      <c r="HJ77">
        <v>5.7619999999999996</v>
      </c>
      <c r="HK77">
        <v>1.004</v>
      </c>
      <c r="HL77">
        <v>630</v>
      </c>
      <c r="HP77" s="7"/>
      <c r="HQ77" s="7" t="s">
        <v>97</v>
      </c>
      <c r="HR77" s="7">
        <v>4.2839999999999998</v>
      </c>
      <c r="HS77" s="7">
        <v>0.76500000000000001</v>
      </c>
      <c r="HT77" s="7">
        <v>2.613</v>
      </c>
      <c r="HU77" s="7">
        <v>3.823</v>
      </c>
      <c r="HV77" s="7">
        <v>4.3380000000000001</v>
      </c>
      <c r="HW77" s="7">
        <v>4.7839999999999998</v>
      </c>
      <c r="HX77" s="7">
        <v>5.649</v>
      </c>
      <c r="HY77" s="7">
        <v>1.0129999999999999</v>
      </c>
      <c r="HZ77" s="7">
        <v>450</v>
      </c>
      <c r="IA77" s="7"/>
      <c r="IE77" t="s">
        <v>97</v>
      </c>
      <c r="IF77">
        <v>4.0609999999999999</v>
      </c>
      <c r="IG77">
        <v>0.56999999999999995</v>
      </c>
      <c r="IH77">
        <v>2.8239999999999998</v>
      </c>
      <c r="II77">
        <v>3.7240000000000002</v>
      </c>
      <c r="IJ77">
        <v>4.0999999999999996</v>
      </c>
      <c r="IK77">
        <v>4.43</v>
      </c>
      <c r="IL77">
        <v>5.0679999999999996</v>
      </c>
      <c r="IM77">
        <v>1.0860000000000001</v>
      </c>
      <c r="IN77">
        <v>54</v>
      </c>
      <c r="IS77" t="s">
        <v>97</v>
      </c>
      <c r="IT77">
        <v>4.1219999999999999</v>
      </c>
      <c r="IU77">
        <v>0.64400000000000002</v>
      </c>
      <c r="IV77">
        <v>2.6760000000000002</v>
      </c>
      <c r="IW77">
        <v>3.7509999999999999</v>
      </c>
      <c r="IX77">
        <v>4.1859999999999999</v>
      </c>
      <c r="IY77">
        <v>4.5419999999999998</v>
      </c>
      <c r="IZ77">
        <v>5.3019999999999996</v>
      </c>
      <c r="JA77">
        <v>1.026</v>
      </c>
      <c r="JB77">
        <v>130</v>
      </c>
      <c r="JF77" t="s">
        <v>97</v>
      </c>
      <c r="JG77">
        <v>4.1980000000000004</v>
      </c>
      <c r="JH77">
        <v>0.68600000000000005</v>
      </c>
      <c r="JI77">
        <v>2.6880000000000002</v>
      </c>
      <c r="JJ77">
        <v>3.7759999999999998</v>
      </c>
      <c r="JK77">
        <v>4.2290000000000001</v>
      </c>
      <c r="JL77">
        <v>4.6550000000000002</v>
      </c>
      <c r="JM77">
        <v>5.4859999999999998</v>
      </c>
      <c r="JN77">
        <v>1.012</v>
      </c>
      <c r="JO77">
        <v>290</v>
      </c>
      <c r="JT77" t="s">
        <v>97</v>
      </c>
      <c r="JU77">
        <v>4.1349999999999998</v>
      </c>
      <c r="JV77">
        <v>0.67900000000000005</v>
      </c>
      <c r="JW77">
        <v>2.7149999999999999</v>
      </c>
      <c r="JX77">
        <v>3.7189999999999999</v>
      </c>
      <c r="JY77">
        <v>4.1630000000000003</v>
      </c>
      <c r="JZ77">
        <v>4.5869999999999997</v>
      </c>
      <c r="KA77">
        <v>5.4009999999999998</v>
      </c>
      <c r="KB77">
        <v>1.006</v>
      </c>
      <c r="KC77">
        <v>390</v>
      </c>
      <c r="KH77" t="s">
        <v>97</v>
      </c>
      <c r="KI77">
        <v>4.258</v>
      </c>
      <c r="KJ77">
        <v>0.66100000000000003</v>
      </c>
      <c r="KK77">
        <v>2.9020000000000001</v>
      </c>
      <c r="KL77">
        <v>3.85</v>
      </c>
      <c r="KM77">
        <v>4.2759999999999998</v>
      </c>
      <c r="KN77">
        <v>4.6829999999999998</v>
      </c>
      <c r="KO77">
        <v>5.5030000000000001</v>
      </c>
      <c r="KP77">
        <v>1.0049999999999999</v>
      </c>
      <c r="KQ77">
        <v>460</v>
      </c>
      <c r="KR77">
        <f t="shared" si="3"/>
        <v>70.668505012968808</v>
      </c>
      <c r="KV77" t="s">
        <v>97</v>
      </c>
      <c r="KW77">
        <v>5.4210000000000003</v>
      </c>
      <c r="KX77">
        <v>0.66700000000000004</v>
      </c>
      <c r="KY77">
        <v>4.1210000000000004</v>
      </c>
      <c r="KZ77">
        <v>4.9630000000000001</v>
      </c>
      <c r="LA77">
        <v>5.43</v>
      </c>
      <c r="LB77">
        <v>5.8959999999999999</v>
      </c>
      <c r="LC77">
        <v>6.665</v>
      </c>
      <c r="LD77">
        <v>1.077</v>
      </c>
      <c r="LE77">
        <v>32</v>
      </c>
      <c r="LJ77" t="s">
        <v>186</v>
      </c>
      <c r="LK77">
        <v>2.4009999999999998</v>
      </c>
      <c r="LL77">
        <v>0.76300000000000001</v>
      </c>
      <c r="LM77">
        <v>0.77300000000000002</v>
      </c>
      <c r="LN77">
        <v>1.917</v>
      </c>
      <c r="LO77">
        <v>2.452</v>
      </c>
      <c r="LP77">
        <v>2.95</v>
      </c>
      <c r="LQ77">
        <v>3.72</v>
      </c>
      <c r="LR77">
        <v>1.0009999999999999</v>
      </c>
      <c r="LS77">
        <v>3000</v>
      </c>
      <c r="LX77" t="s">
        <v>186</v>
      </c>
      <c r="LY77">
        <v>2.57</v>
      </c>
      <c r="LZ77">
        <v>0.85199999999999998</v>
      </c>
      <c r="MA77">
        <v>0.82799999999999996</v>
      </c>
      <c r="MB77">
        <v>2.012</v>
      </c>
      <c r="MC77">
        <v>2.6179999999999999</v>
      </c>
      <c r="MD77">
        <v>3.1709999999999998</v>
      </c>
      <c r="ME77">
        <v>4.1399999999999997</v>
      </c>
      <c r="MF77">
        <v>1.0569999999999999</v>
      </c>
      <c r="MG77">
        <v>57</v>
      </c>
      <c r="ML77" t="s">
        <v>97</v>
      </c>
      <c r="MM77">
        <v>5.2270000000000003</v>
      </c>
      <c r="MN77">
        <v>1.008</v>
      </c>
      <c r="MO77">
        <v>2.9860000000000002</v>
      </c>
      <c r="MP77">
        <v>4.5940000000000003</v>
      </c>
      <c r="MQ77">
        <v>5.34</v>
      </c>
      <c r="MR77">
        <v>5.9809999999999999</v>
      </c>
      <c r="MS77">
        <v>6.8209999999999997</v>
      </c>
      <c r="MT77">
        <v>1.0860000000000001</v>
      </c>
      <c r="MU77">
        <v>39</v>
      </c>
      <c r="MZ77" t="s">
        <v>97</v>
      </c>
      <c r="NA77">
        <v>5.3630000000000004</v>
      </c>
      <c r="NB77">
        <v>0.81399999999999995</v>
      </c>
      <c r="NC77">
        <v>3.7010000000000001</v>
      </c>
      <c r="ND77">
        <v>4.8159999999999998</v>
      </c>
      <c r="NE77">
        <v>5.3940000000000001</v>
      </c>
      <c r="NF77">
        <v>5.9610000000000003</v>
      </c>
      <c r="NG77">
        <v>6.7830000000000004</v>
      </c>
      <c r="NH77">
        <v>1.0840000000000001</v>
      </c>
      <c r="NI77">
        <v>47</v>
      </c>
      <c r="NM77" t="s">
        <v>97</v>
      </c>
      <c r="NN77">
        <v>4.274</v>
      </c>
      <c r="NO77">
        <v>0.86899999999999999</v>
      </c>
      <c r="NP77">
        <v>2.36</v>
      </c>
      <c r="NQ77">
        <v>3.6930000000000001</v>
      </c>
      <c r="NR77">
        <v>4.2910000000000004</v>
      </c>
      <c r="NS77">
        <v>4.9359999999999999</v>
      </c>
      <c r="NT77">
        <v>5.8049999999999997</v>
      </c>
      <c r="NU77">
        <v>1.07</v>
      </c>
      <c r="NV77">
        <v>37</v>
      </c>
      <c r="NY77" t="s">
        <v>97</v>
      </c>
      <c r="NZ77">
        <v>4.8609999999999998</v>
      </c>
      <c r="OA77">
        <v>0.84199999999999997</v>
      </c>
      <c r="OB77">
        <v>2.7389999999999999</v>
      </c>
      <c r="OC77">
        <v>4.3949999999999996</v>
      </c>
      <c r="OD77">
        <v>4.9870000000000001</v>
      </c>
      <c r="OE77">
        <v>5.476</v>
      </c>
      <c r="OF77">
        <v>6.0839999999999996</v>
      </c>
      <c r="OG77">
        <v>1.137</v>
      </c>
      <c r="OH77">
        <v>130</v>
      </c>
      <c r="OP77" t="s">
        <v>97</v>
      </c>
      <c r="OQ77">
        <v>4.6879999999999997</v>
      </c>
      <c r="OR77">
        <v>0.75900000000000001</v>
      </c>
      <c r="OS77">
        <v>3.1110000000000002</v>
      </c>
      <c r="OT77">
        <v>4.21</v>
      </c>
      <c r="OU77">
        <v>4.79</v>
      </c>
      <c r="OV77">
        <v>5.2050000000000001</v>
      </c>
      <c r="OW77">
        <v>6.0049999999999999</v>
      </c>
      <c r="OX77">
        <v>1.0900000000000001</v>
      </c>
      <c r="OY77">
        <v>39</v>
      </c>
      <c r="PB77" t="s">
        <v>97</v>
      </c>
      <c r="PC77">
        <v>3.3940000000000001</v>
      </c>
      <c r="PD77">
        <v>0.76100000000000001</v>
      </c>
      <c r="PE77">
        <v>1.7609999999999999</v>
      </c>
      <c r="PF77">
        <v>2.92</v>
      </c>
      <c r="PG77">
        <v>3.4889999999999999</v>
      </c>
      <c r="PH77">
        <v>3.9470000000000001</v>
      </c>
      <c r="PI77">
        <v>4.6589999999999998</v>
      </c>
      <c r="PJ77">
        <v>1.006</v>
      </c>
      <c r="PK77">
        <v>370</v>
      </c>
      <c r="PN77" t="s">
        <v>97</v>
      </c>
      <c r="PO77">
        <v>3.3250000000000002</v>
      </c>
      <c r="PP77">
        <v>0.877</v>
      </c>
      <c r="PQ77">
        <v>1.357</v>
      </c>
      <c r="PR77">
        <v>2.794</v>
      </c>
      <c r="PS77">
        <v>3.4159999999999999</v>
      </c>
      <c r="PT77">
        <v>3.9830000000000001</v>
      </c>
      <c r="PU77">
        <v>4.7</v>
      </c>
      <c r="PV77">
        <v>1.046</v>
      </c>
      <c r="PW77">
        <v>49</v>
      </c>
      <c r="QA77" t="s">
        <v>97</v>
      </c>
      <c r="QB77">
        <v>4.5110000000000001</v>
      </c>
      <c r="QC77">
        <v>0.30499999999999999</v>
      </c>
      <c r="QD77">
        <v>3.84</v>
      </c>
      <c r="QE77">
        <v>4.319</v>
      </c>
      <c r="QF77">
        <v>4.5410000000000004</v>
      </c>
      <c r="QG77">
        <v>4.7240000000000002</v>
      </c>
      <c r="QH77">
        <v>5.032</v>
      </c>
      <c r="QI77">
        <v>1.034</v>
      </c>
      <c r="QJ77">
        <v>70</v>
      </c>
      <c r="QL77">
        <f t="shared" si="4"/>
        <v>-1.1859999999999999</v>
      </c>
    </row>
    <row r="78" spans="1:454">
      <c r="A78" t="s">
        <v>98</v>
      </c>
      <c r="B78">
        <v>4.8090000000000002</v>
      </c>
      <c r="C78">
        <v>0.996</v>
      </c>
      <c r="D78">
        <v>2.7570000000000001</v>
      </c>
      <c r="E78">
        <v>4.181</v>
      </c>
      <c r="F78">
        <v>4.8540000000000001</v>
      </c>
      <c r="G78">
        <v>5.4909999999999997</v>
      </c>
      <c r="H78">
        <v>6.6760000000000002</v>
      </c>
      <c r="I78">
        <v>1.147</v>
      </c>
      <c r="J78">
        <v>23</v>
      </c>
      <c r="O78" t="s">
        <v>98</v>
      </c>
      <c r="P78">
        <v>4.4960000000000004</v>
      </c>
      <c r="Q78">
        <v>1.274</v>
      </c>
      <c r="R78">
        <v>2.0419999999999998</v>
      </c>
      <c r="S78">
        <v>3.577</v>
      </c>
      <c r="T78">
        <v>4.4720000000000004</v>
      </c>
      <c r="U78">
        <v>5.3979999999999997</v>
      </c>
      <c r="V78">
        <v>6.9649999999999999</v>
      </c>
      <c r="W78">
        <v>1.022</v>
      </c>
      <c r="X78">
        <v>94</v>
      </c>
      <c r="AC78" t="s">
        <v>98</v>
      </c>
      <c r="AD78">
        <v>5.9029999999999996</v>
      </c>
      <c r="AE78">
        <v>0.89500000000000002</v>
      </c>
      <c r="AF78">
        <v>4.05</v>
      </c>
      <c r="AG78">
        <v>5.2850000000000001</v>
      </c>
      <c r="AH78">
        <v>5.94</v>
      </c>
      <c r="AI78">
        <v>6.6260000000000003</v>
      </c>
      <c r="AJ78">
        <v>7.33</v>
      </c>
      <c r="AK78">
        <v>1.0209999999999999</v>
      </c>
      <c r="AL78">
        <v>110</v>
      </c>
      <c r="AQ78" t="s">
        <v>98</v>
      </c>
      <c r="AR78">
        <v>6.0350000000000001</v>
      </c>
      <c r="AS78">
        <v>0.82799999999999996</v>
      </c>
      <c r="AT78">
        <v>4.3090000000000002</v>
      </c>
      <c r="AU78">
        <v>5.4939999999999998</v>
      </c>
      <c r="AV78">
        <v>6.0890000000000004</v>
      </c>
      <c r="AW78">
        <v>6.6959999999999997</v>
      </c>
      <c r="AX78">
        <v>7.34</v>
      </c>
      <c r="AY78">
        <v>1.016</v>
      </c>
      <c r="AZ78">
        <v>160</v>
      </c>
      <c r="BE78" t="s">
        <v>98</v>
      </c>
      <c r="BF78">
        <v>6.4260000000000002</v>
      </c>
      <c r="BG78">
        <v>0.59899999999999998</v>
      </c>
      <c r="BH78">
        <v>5.14</v>
      </c>
      <c r="BI78">
        <v>6.0250000000000004</v>
      </c>
      <c r="BJ78">
        <v>6.4820000000000002</v>
      </c>
      <c r="BK78">
        <v>6.9080000000000004</v>
      </c>
      <c r="BL78">
        <v>7.3390000000000004</v>
      </c>
      <c r="BM78">
        <v>1.0029999999999999</v>
      </c>
      <c r="BN78">
        <v>860</v>
      </c>
      <c r="BS78" t="s">
        <v>98</v>
      </c>
      <c r="BT78">
        <v>5.5439999999999996</v>
      </c>
      <c r="BU78">
        <v>0.91400000000000003</v>
      </c>
      <c r="BV78">
        <v>3.831</v>
      </c>
      <c r="BW78">
        <v>4.8659999999999997</v>
      </c>
      <c r="BX78">
        <v>5.5380000000000003</v>
      </c>
      <c r="BY78">
        <v>6.2270000000000003</v>
      </c>
      <c r="BZ78">
        <v>7.2030000000000003</v>
      </c>
      <c r="CA78">
        <v>1.002</v>
      </c>
      <c r="CB78">
        <v>2300</v>
      </c>
      <c r="CG78" t="s">
        <v>98</v>
      </c>
      <c r="CH78">
        <v>6.3760000000000003</v>
      </c>
      <c r="CI78">
        <v>0.626</v>
      </c>
      <c r="CJ78">
        <v>5.0129999999999999</v>
      </c>
      <c r="CK78">
        <v>5.9480000000000004</v>
      </c>
      <c r="CL78">
        <v>6.4320000000000004</v>
      </c>
      <c r="CM78">
        <v>6.883</v>
      </c>
      <c r="CN78">
        <v>7.3259999999999996</v>
      </c>
      <c r="CO78">
        <v>1.0109999999999999</v>
      </c>
      <c r="CP78">
        <v>220</v>
      </c>
      <c r="CU78" t="s">
        <v>98</v>
      </c>
      <c r="CV78">
        <v>6.6440000000000001</v>
      </c>
      <c r="CW78">
        <v>0.70099999999999996</v>
      </c>
      <c r="CX78">
        <v>4.9630000000000001</v>
      </c>
      <c r="CY78">
        <v>6.2190000000000003</v>
      </c>
      <c r="CZ78">
        <v>6.8440000000000003</v>
      </c>
      <c r="DA78">
        <v>7.24</v>
      </c>
      <c r="DB78">
        <v>7.38</v>
      </c>
      <c r="DC78">
        <v>1.03</v>
      </c>
      <c r="DD78">
        <v>110</v>
      </c>
      <c r="DI78" t="s">
        <v>98</v>
      </c>
      <c r="DJ78">
        <v>5.7960000000000003</v>
      </c>
      <c r="DK78">
        <v>0.92900000000000005</v>
      </c>
      <c r="DL78">
        <v>3.9550000000000001</v>
      </c>
      <c r="DM78">
        <v>5.1360000000000001</v>
      </c>
      <c r="DN78">
        <v>5.82</v>
      </c>
      <c r="DO78">
        <v>6.5359999999999996</v>
      </c>
      <c r="DP78">
        <v>7.3250000000000002</v>
      </c>
      <c r="DQ78">
        <v>1.0049999999999999</v>
      </c>
      <c r="DR78">
        <v>490</v>
      </c>
      <c r="DY78" t="s">
        <v>98</v>
      </c>
      <c r="DZ78">
        <v>6.1289999999999996</v>
      </c>
      <c r="EA78">
        <v>0.84799999999999998</v>
      </c>
      <c r="EB78">
        <v>4.3090000000000002</v>
      </c>
      <c r="EC78">
        <v>5.5609999999999999</v>
      </c>
      <c r="ED78">
        <v>6.2460000000000004</v>
      </c>
      <c r="EE78">
        <v>6.8209999999999997</v>
      </c>
      <c r="EF78">
        <v>7.335</v>
      </c>
      <c r="EG78">
        <v>1.006</v>
      </c>
      <c r="EH78">
        <v>760</v>
      </c>
      <c r="EK78" t="s">
        <v>98</v>
      </c>
      <c r="EL78">
        <v>5.782</v>
      </c>
      <c r="EM78">
        <v>0.85599999999999998</v>
      </c>
      <c r="EN78">
        <v>3.9929999999999999</v>
      </c>
      <c r="EO78">
        <v>5.19</v>
      </c>
      <c r="EP78">
        <v>5.8179999999999996</v>
      </c>
      <c r="EQ78">
        <v>6.4359999999999999</v>
      </c>
      <c r="ER78">
        <v>7.2590000000000003</v>
      </c>
      <c r="ES78">
        <v>1.0029999999999999</v>
      </c>
      <c r="ET78">
        <v>720</v>
      </c>
      <c r="EY78" t="s">
        <v>98</v>
      </c>
      <c r="EZ78">
        <v>6.282</v>
      </c>
      <c r="FA78">
        <v>0.78200000000000003</v>
      </c>
      <c r="FB78">
        <v>4.46</v>
      </c>
      <c r="FC78">
        <v>5.7859999999999996</v>
      </c>
      <c r="FD78">
        <v>6.4409999999999998</v>
      </c>
      <c r="FE78">
        <v>6.9210000000000003</v>
      </c>
      <c r="FF78">
        <v>7.3310000000000004</v>
      </c>
      <c r="FG78">
        <v>1.0029999999999999</v>
      </c>
      <c r="FH78">
        <v>950</v>
      </c>
      <c r="GA78" t="s">
        <v>98</v>
      </c>
      <c r="GB78">
        <v>5.7889999999999997</v>
      </c>
      <c r="GC78">
        <v>0.55200000000000005</v>
      </c>
      <c r="GD78">
        <v>4.7290000000000001</v>
      </c>
      <c r="GE78">
        <v>5.4130000000000003</v>
      </c>
      <c r="GF78">
        <v>5.7859999999999996</v>
      </c>
      <c r="GG78">
        <v>6.1520000000000001</v>
      </c>
      <c r="GH78">
        <v>6.8940000000000001</v>
      </c>
      <c r="GI78">
        <v>1.0029999999999999</v>
      </c>
      <c r="GJ78">
        <v>1000</v>
      </c>
      <c r="GO78" t="s">
        <v>98</v>
      </c>
      <c r="GP78">
        <v>6.2270000000000003</v>
      </c>
      <c r="GQ78">
        <v>0.79100000000000004</v>
      </c>
      <c r="GR78">
        <v>4.4480000000000004</v>
      </c>
      <c r="GS78">
        <v>5.7140000000000004</v>
      </c>
      <c r="GT78">
        <v>6.35</v>
      </c>
      <c r="GU78">
        <v>6.8550000000000004</v>
      </c>
      <c r="GV78">
        <v>7.3330000000000002</v>
      </c>
      <c r="GW78">
        <v>1.0049999999999999</v>
      </c>
      <c r="GX78">
        <v>500</v>
      </c>
      <c r="HC78" t="s">
        <v>98</v>
      </c>
      <c r="HD78">
        <v>6.367</v>
      </c>
      <c r="HE78">
        <v>0.71499999999999997</v>
      </c>
      <c r="HF78">
        <v>4.7489999999999997</v>
      </c>
      <c r="HG78">
        <v>5.9329999999999998</v>
      </c>
      <c r="HH78">
        <v>6.468</v>
      </c>
      <c r="HI78">
        <v>6.9450000000000003</v>
      </c>
      <c r="HJ78">
        <v>7.3410000000000002</v>
      </c>
      <c r="HK78">
        <v>1.0089999999999999</v>
      </c>
      <c r="HL78">
        <v>350</v>
      </c>
      <c r="HP78" s="7"/>
      <c r="HQ78" s="7" t="s">
        <v>98</v>
      </c>
      <c r="HR78" s="7">
        <v>6.6559999999999997</v>
      </c>
      <c r="HS78" s="7">
        <v>0.57399999999999995</v>
      </c>
      <c r="HT78" s="7">
        <v>5.2359999999999998</v>
      </c>
      <c r="HU78" s="7">
        <v>6.3289999999999997</v>
      </c>
      <c r="HV78" s="7">
        <v>6.7919999999999998</v>
      </c>
      <c r="HW78" s="7">
        <v>7.1059999999999999</v>
      </c>
      <c r="HX78" s="7">
        <v>7.3570000000000002</v>
      </c>
      <c r="HY78" s="7">
        <v>1.002</v>
      </c>
      <c r="HZ78" s="7">
        <v>1700</v>
      </c>
      <c r="IA78" s="7"/>
      <c r="IE78" t="s">
        <v>98</v>
      </c>
      <c r="IF78">
        <v>6.2610000000000001</v>
      </c>
      <c r="IG78">
        <v>0.58799999999999997</v>
      </c>
      <c r="IH78">
        <v>5.0190000000000001</v>
      </c>
      <c r="II78">
        <v>5.9130000000000003</v>
      </c>
      <c r="IJ78">
        <v>6.2859999999999996</v>
      </c>
      <c r="IK78">
        <v>6.67</v>
      </c>
      <c r="IL78">
        <v>7.2729999999999997</v>
      </c>
      <c r="IM78">
        <v>1.0549999999999999</v>
      </c>
      <c r="IN78">
        <v>77</v>
      </c>
      <c r="IS78" t="s">
        <v>98</v>
      </c>
      <c r="IT78">
        <v>6.2350000000000003</v>
      </c>
      <c r="IU78">
        <v>0.63700000000000001</v>
      </c>
      <c r="IV78">
        <v>4.7969999999999997</v>
      </c>
      <c r="IW78">
        <v>5.8410000000000002</v>
      </c>
      <c r="IX78">
        <v>6.2809999999999997</v>
      </c>
      <c r="IY78">
        <v>6.7119999999999997</v>
      </c>
      <c r="IZ78">
        <v>7.2750000000000004</v>
      </c>
      <c r="JA78">
        <v>1.0189999999999999</v>
      </c>
      <c r="JB78">
        <v>160</v>
      </c>
      <c r="JF78" t="s">
        <v>98</v>
      </c>
      <c r="JG78">
        <v>6.3719999999999999</v>
      </c>
      <c r="JH78">
        <v>0.64700000000000002</v>
      </c>
      <c r="JI78">
        <v>4.8730000000000002</v>
      </c>
      <c r="JJ78">
        <v>5.9550000000000001</v>
      </c>
      <c r="JK78">
        <v>6.4409999999999998</v>
      </c>
      <c r="JL78">
        <v>6.88</v>
      </c>
      <c r="JM78">
        <v>7.3280000000000003</v>
      </c>
      <c r="JN78">
        <v>1.0069999999999999</v>
      </c>
      <c r="JO78">
        <v>560</v>
      </c>
      <c r="JT78" t="s">
        <v>98</v>
      </c>
      <c r="JU78">
        <v>6.3419999999999996</v>
      </c>
      <c r="JV78">
        <v>0.65700000000000003</v>
      </c>
      <c r="JW78">
        <v>4.9249999999999998</v>
      </c>
      <c r="JX78">
        <v>5.9029999999999996</v>
      </c>
      <c r="JY78">
        <v>6.4139999999999997</v>
      </c>
      <c r="JZ78">
        <v>6.86</v>
      </c>
      <c r="KA78">
        <v>7.3339999999999996</v>
      </c>
      <c r="KB78">
        <v>1.0009999999999999</v>
      </c>
      <c r="KC78">
        <v>2000</v>
      </c>
      <c r="KH78" t="s">
        <v>98</v>
      </c>
      <c r="KI78">
        <v>6.5750000000000002</v>
      </c>
      <c r="KJ78">
        <v>0.58099999999999996</v>
      </c>
      <c r="KK78">
        <v>5.19</v>
      </c>
      <c r="KL78">
        <v>6.2329999999999997</v>
      </c>
      <c r="KM78">
        <v>6.6749999999999998</v>
      </c>
      <c r="KN78">
        <v>7.0359999999999996</v>
      </c>
      <c r="KO78">
        <v>7.3410000000000002</v>
      </c>
      <c r="KP78">
        <v>1.0089999999999999</v>
      </c>
      <c r="KQ78">
        <v>810</v>
      </c>
      <c r="KR78">
        <f t="shared" si="3"/>
        <v>716.94562435203932</v>
      </c>
      <c r="KV78" t="s">
        <v>98</v>
      </c>
      <c r="KW78">
        <v>6.8090000000000002</v>
      </c>
      <c r="KX78">
        <v>0.83699999999999997</v>
      </c>
      <c r="KY78">
        <v>5.2510000000000003</v>
      </c>
      <c r="KZ78">
        <v>6.2160000000000002</v>
      </c>
      <c r="LA78">
        <v>6.7830000000000004</v>
      </c>
      <c r="LB78">
        <v>7.3929999999999998</v>
      </c>
      <c r="LC78">
        <v>8.4740000000000002</v>
      </c>
      <c r="LD78">
        <v>1.0469999999999999</v>
      </c>
      <c r="LE78">
        <v>48</v>
      </c>
      <c r="LJ78" t="s">
        <v>187</v>
      </c>
      <c r="LK78">
        <v>4.3129999999999997</v>
      </c>
      <c r="LL78">
        <v>0.27600000000000002</v>
      </c>
      <c r="LM78">
        <v>3.7669999999999999</v>
      </c>
      <c r="LN78">
        <v>4.125</v>
      </c>
      <c r="LO78">
        <v>4.3159999999999998</v>
      </c>
      <c r="LP78">
        <v>4.4930000000000003</v>
      </c>
      <c r="LQ78">
        <v>4.8680000000000003</v>
      </c>
      <c r="LR78">
        <v>1.018</v>
      </c>
      <c r="LS78">
        <v>120</v>
      </c>
      <c r="LX78" t="s">
        <v>187</v>
      </c>
      <c r="LY78">
        <v>6.3360000000000003</v>
      </c>
      <c r="LZ78">
        <v>0.53300000000000003</v>
      </c>
      <c r="MA78">
        <v>5.2560000000000002</v>
      </c>
      <c r="MB78">
        <v>5.9649999999999999</v>
      </c>
      <c r="MC78">
        <v>6.3559999999999999</v>
      </c>
      <c r="MD78">
        <v>6.7290000000000001</v>
      </c>
      <c r="ME78">
        <v>7.2619999999999996</v>
      </c>
      <c r="MF78">
        <v>1.133</v>
      </c>
      <c r="MG78">
        <v>20</v>
      </c>
      <c r="ML78" t="s">
        <v>98</v>
      </c>
      <c r="MM78">
        <v>6.444</v>
      </c>
      <c r="MN78">
        <v>1.0980000000000001</v>
      </c>
      <c r="MO78">
        <v>4.0540000000000003</v>
      </c>
      <c r="MP78">
        <v>5.7370000000000001</v>
      </c>
      <c r="MQ78">
        <v>6.5350000000000001</v>
      </c>
      <c r="MR78">
        <v>7.2489999999999997</v>
      </c>
      <c r="MS78">
        <v>8.2859999999999996</v>
      </c>
      <c r="MT78">
        <v>1.0720000000000001</v>
      </c>
      <c r="MU78">
        <v>41</v>
      </c>
      <c r="MZ78" t="s">
        <v>98</v>
      </c>
      <c r="NA78">
        <v>6.5839999999999996</v>
      </c>
      <c r="NB78">
        <v>0.89400000000000002</v>
      </c>
      <c r="NC78">
        <v>4.859</v>
      </c>
      <c r="ND78">
        <v>5.9260000000000002</v>
      </c>
      <c r="NE78">
        <v>6.6040000000000001</v>
      </c>
      <c r="NF78">
        <v>7.2489999999999997</v>
      </c>
      <c r="NG78">
        <v>8.2349999999999994</v>
      </c>
      <c r="NH78">
        <v>1.05</v>
      </c>
      <c r="NI78">
        <v>55</v>
      </c>
      <c r="NM78" t="s">
        <v>98</v>
      </c>
      <c r="NN78">
        <v>5.12</v>
      </c>
      <c r="NO78">
        <v>0.85499999999999998</v>
      </c>
      <c r="NP78">
        <v>3.24</v>
      </c>
      <c r="NQ78">
        <v>4.5590000000000002</v>
      </c>
      <c r="NR78">
        <v>5.133</v>
      </c>
      <c r="NS78">
        <v>5.7590000000000003</v>
      </c>
      <c r="NT78">
        <v>6.6440000000000001</v>
      </c>
      <c r="NU78">
        <v>1.0680000000000001</v>
      </c>
      <c r="NV78">
        <v>37</v>
      </c>
      <c r="NY78" t="s">
        <v>98</v>
      </c>
      <c r="NZ78">
        <v>5.1150000000000002</v>
      </c>
      <c r="OA78">
        <v>0.86399999999999999</v>
      </c>
      <c r="OB78">
        <v>2.8959999999999999</v>
      </c>
      <c r="OC78">
        <v>4.6349999999999998</v>
      </c>
      <c r="OD78">
        <v>5.2510000000000003</v>
      </c>
      <c r="OE78">
        <v>5.7519999999999998</v>
      </c>
      <c r="OF78">
        <v>6.34</v>
      </c>
      <c r="OG78">
        <v>1.1339999999999999</v>
      </c>
      <c r="OH78">
        <v>140</v>
      </c>
      <c r="OP78" t="s">
        <v>98</v>
      </c>
      <c r="OQ78">
        <v>4.9059999999999997</v>
      </c>
      <c r="OR78">
        <v>0.72199999999999998</v>
      </c>
      <c r="OS78">
        <v>3.371</v>
      </c>
      <c r="OT78">
        <v>4.4130000000000003</v>
      </c>
      <c r="OU78">
        <v>5.0540000000000003</v>
      </c>
      <c r="OV78">
        <v>5.45</v>
      </c>
      <c r="OW78">
        <v>5.99</v>
      </c>
      <c r="OX78">
        <v>1.099</v>
      </c>
      <c r="OY78">
        <v>29</v>
      </c>
      <c r="PB78" t="s">
        <v>98</v>
      </c>
      <c r="PC78">
        <v>4.3159999999999998</v>
      </c>
      <c r="PD78">
        <v>0.76400000000000001</v>
      </c>
      <c r="PE78">
        <v>2.681</v>
      </c>
      <c r="PF78">
        <v>3.8420000000000001</v>
      </c>
      <c r="PG78">
        <v>4.4059999999999997</v>
      </c>
      <c r="PH78">
        <v>4.859</v>
      </c>
      <c r="PI78">
        <v>5.6020000000000003</v>
      </c>
      <c r="PJ78">
        <v>1.006</v>
      </c>
      <c r="PK78">
        <v>350</v>
      </c>
      <c r="PN78" t="s">
        <v>98</v>
      </c>
      <c r="PO78">
        <v>3.8879999999999999</v>
      </c>
      <c r="PP78">
        <v>0.87</v>
      </c>
      <c r="PQ78">
        <v>1.9950000000000001</v>
      </c>
      <c r="PR78">
        <v>3.3679999999999999</v>
      </c>
      <c r="PS78">
        <v>3.976</v>
      </c>
      <c r="PT78">
        <v>4.548</v>
      </c>
      <c r="PU78">
        <v>5.2229999999999999</v>
      </c>
      <c r="PV78">
        <v>1.05</v>
      </c>
      <c r="PW78">
        <v>62</v>
      </c>
      <c r="QA78" t="s">
        <v>98</v>
      </c>
      <c r="QB78">
        <v>5.0149999999999997</v>
      </c>
      <c r="QC78">
        <v>0.307</v>
      </c>
      <c r="QD78">
        <v>4.3319999999999999</v>
      </c>
      <c r="QE78">
        <v>4.8289999999999997</v>
      </c>
      <c r="QF78">
        <v>5.0460000000000003</v>
      </c>
      <c r="QG78">
        <v>5.2279999999999998</v>
      </c>
      <c r="QH78">
        <v>5.5359999999999996</v>
      </c>
      <c r="QI78">
        <v>1.038</v>
      </c>
      <c r="QJ78">
        <v>59</v>
      </c>
      <c r="QL78">
        <f t="shared" si="4"/>
        <v>-1.1269999999999998</v>
      </c>
    </row>
    <row r="79" spans="1:454">
      <c r="A79" t="s">
        <v>99</v>
      </c>
      <c r="B79">
        <v>4.34</v>
      </c>
      <c r="C79">
        <v>0.91700000000000004</v>
      </c>
      <c r="D79">
        <v>2.4969999999999999</v>
      </c>
      <c r="E79">
        <v>3.734</v>
      </c>
      <c r="F79">
        <v>4.4029999999999996</v>
      </c>
      <c r="G79">
        <v>4.9279999999999999</v>
      </c>
      <c r="H79">
        <v>6.0529999999999999</v>
      </c>
      <c r="I79">
        <v>1.079</v>
      </c>
      <c r="J79">
        <v>59</v>
      </c>
      <c r="O79" t="s">
        <v>99</v>
      </c>
      <c r="P79">
        <v>5.3360000000000003</v>
      </c>
      <c r="Q79">
        <v>1.224</v>
      </c>
      <c r="R79">
        <v>2.75</v>
      </c>
      <c r="S79">
        <v>4.5090000000000003</v>
      </c>
      <c r="T79">
        <v>5.4039999999999999</v>
      </c>
      <c r="U79">
        <v>6.327</v>
      </c>
      <c r="V79">
        <v>7.2510000000000003</v>
      </c>
      <c r="W79">
        <v>1.0089999999999999</v>
      </c>
      <c r="X79">
        <v>230</v>
      </c>
      <c r="AC79" t="s">
        <v>99</v>
      </c>
      <c r="AD79">
        <v>5.9210000000000003</v>
      </c>
      <c r="AE79">
        <v>0.84199999999999997</v>
      </c>
      <c r="AF79">
        <v>4.1369999999999996</v>
      </c>
      <c r="AG79">
        <v>5.3319999999999999</v>
      </c>
      <c r="AH79">
        <v>5.99</v>
      </c>
      <c r="AI79">
        <v>6.5869999999999997</v>
      </c>
      <c r="AJ79">
        <v>7.2770000000000001</v>
      </c>
      <c r="AK79">
        <v>1.0369999999999999</v>
      </c>
      <c r="AL79">
        <v>71</v>
      </c>
      <c r="AQ79" t="s">
        <v>99</v>
      </c>
      <c r="AR79">
        <v>6.1520000000000001</v>
      </c>
      <c r="AS79">
        <v>0.73399999999999999</v>
      </c>
      <c r="AT79">
        <v>4.5609999999999999</v>
      </c>
      <c r="AU79">
        <v>5.6529999999999996</v>
      </c>
      <c r="AV79">
        <v>6.2149999999999999</v>
      </c>
      <c r="AW79">
        <v>6.7290000000000001</v>
      </c>
      <c r="AX79">
        <v>7.2910000000000004</v>
      </c>
      <c r="AY79">
        <v>1.014</v>
      </c>
      <c r="AZ79">
        <v>190</v>
      </c>
      <c r="BE79" t="s">
        <v>99</v>
      </c>
      <c r="BF79">
        <v>6.4450000000000003</v>
      </c>
      <c r="BG79">
        <v>0.58199999999999996</v>
      </c>
      <c r="BH79">
        <v>5.2119999999999997</v>
      </c>
      <c r="BI79">
        <v>6.0439999999999996</v>
      </c>
      <c r="BJ79">
        <v>6.5110000000000001</v>
      </c>
      <c r="BK79">
        <v>6.915</v>
      </c>
      <c r="BL79">
        <v>7.31</v>
      </c>
      <c r="BM79">
        <v>1.004</v>
      </c>
      <c r="BN79">
        <v>700</v>
      </c>
      <c r="BS79" t="s">
        <v>99</v>
      </c>
      <c r="BT79">
        <v>5.7229999999999999</v>
      </c>
      <c r="BU79">
        <v>0.88500000000000001</v>
      </c>
      <c r="BV79">
        <v>3.9569999999999999</v>
      </c>
      <c r="BW79">
        <v>5.1070000000000002</v>
      </c>
      <c r="BX79">
        <v>5.77</v>
      </c>
      <c r="BY79">
        <v>6.4029999999999996</v>
      </c>
      <c r="BZ79">
        <v>7.2469999999999999</v>
      </c>
      <c r="CA79">
        <v>1.004</v>
      </c>
      <c r="CB79">
        <v>840</v>
      </c>
      <c r="CG79" t="s">
        <v>99</v>
      </c>
      <c r="CH79">
        <v>6.3769999999999998</v>
      </c>
      <c r="CI79">
        <v>0.61499999999999999</v>
      </c>
      <c r="CJ79">
        <v>5.0659999999999998</v>
      </c>
      <c r="CK79">
        <v>5.9420000000000002</v>
      </c>
      <c r="CL79">
        <v>6.4249999999999998</v>
      </c>
      <c r="CM79">
        <v>6.8789999999999996</v>
      </c>
      <c r="CN79">
        <v>7.3230000000000004</v>
      </c>
      <c r="CO79">
        <v>1.02</v>
      </c>
      <c r="CP79">
        <v>110</v>
      </c>
      <c r="CU79" t="s">
        <v>99</v>
      </c>
      <c r="CV79">
        <v>6.2850000000000001</v>
      </c>
      <c r="CW79">
        <v>0.64400000000000002</v>
      </c>
      <c r="CX79">
        <v>4.8659999999999997</v>
      </c>
      <c r="CY79">
        <v>5.8819999999999997</v>
      </c>
      <c r="CZ79">
        <v>6.367</v>
      </c>
      <c r="DA79">
        <v>6.7569999999999997</v>
      </c>
      <c r="DB79">
        <v>7.2949999999999999</v>
      </c>
      <c r="DC79">
        <v>1.0189999999999999</v>
      </c>
      <c r="DD79">
        <v>140</v>
      </c>
      <c r="DI79" t="s">
        <v>99</v>
      </c>
      <c r="DJ79">
        <v>5.7809999999999997</v>
      </c>
      <c r="DK79">
        <v>0.88900000000000001</v>
      </c>
      <c r="DL79">
        <v>3.9140000000000001</v>
      </c>
      <c r="DM79">
        <v>5.1840000000000002</v>
      </c>
      <c r="DN79">
        <v>5.8520000000000003</v>
      </c>
      <c r="DO79">
        <v>6.4740000000000002</v>
      </c>
      <c r="DP79">
        <v>7.2439999999999998</v>
      </c>
      <c r="DQ79">
        <v>1.014</v>
      </c>
      <c r="DR79">
        <v>190</v>
      </c>
      <c r="DY79" t="s">
        <v>99</v>
      </c>
      <c r="DZ79">
        <v>6.1139999999999999</v>
      </c>
      <c r="EA79">
        <v>0.79200000000000004</v>
      </c>
      <c r="EB79">
        <v>4.3609999999999998</v>
      </c>
      <c r="EC79">
        <v>5.5860000000000003</v>
      </c>
      <c r="ED79">
        <v>6.234</v>
      </c>
      <c r="EE79">
        <v>6.7229999999999999</v>
      </c>
      <c r="EF79">
        <v>7.2919999999999998</v>
      </c>
      <c r="EG79">
        <v>1.0009999999999999</v>
      </c>
      <c r="EH79">
        <v>3000</v>
      </c>
      <c r="EK79" t="s">
        <v>99</v>
      </c>
      <c r="EL79">
        <v>5.9530000000000003</v>
      </c>
      <c r="EM79">
        <v>0.84699999999999998</v>
      </c>
      <c r="EN79">
        <v>4.2290000000000001</v>
      </c>
      <c r="EO79">
        <v>5.3380000000000001</v>
      </c>
      <c r="EP79">
        <v>6.0259999999999998</v>
      </c>
      <c r="EQ79">
        <v>6.6029999999999998</v>
      </c>
      <c r="ER79">
        <v>7.2880000000000003</v>
      </c>
      <c r="ES79">
        <v>1.0029999999999999</v>
      </c>
      <c r="ET79">
        <v>790</v>
      </c>
      <c r="EY79" t="s">
        <v>99</v>
      </c>
      <c r="EZ79">
        <v>6.3929999999999998</v>
      </c>
      <c r="FA79">
        <v>0.70299999999999996</v>
      </c>
      <c r="FB79">
        <v>4.7809999999999997</v>
      </c>
      <c r="FC79">
        <v>5.98</v>
      </c>
      <c r="FD79">
        <v>6.5060000000000002</v>
      </c>
      <c r="FE79">
        <v>6.9489999999999998</v>
      </c>
      <c r="FF79">
        <v>7.3440000000000003</v>
      </c>
      <c r="FG79">
        <v>1.0009999999999999</v>
      </c>
      <c r="FH79">
        <v>3000</v>
      </c>
      <c r="GA79" t="s">
        <v>99</v>
      </c>
      <c r="GB79">
        <v>6.2069999999999999</v>
      </c>
      <c r="GC79">
        <v>0.57699999999999996</v>
      </c>
      <c r="GD79">
        <v>5.016</v>
      </c>
      <c r="GE79">
        <v>5.8129999999999997</v>
      </c>
      <c r="GF79">
        <v>6.2220000000000004</v>
      </c>
      <c r="GG79">
        <v>6.6239999999999997</v>
      </c>
      <c r="GH79">
        <v>7.266</v>
      </c>
      <c r="GI79">
        <v>1.0009999999999999</v>
      </c>
      <c r="GJ79">
        <v>3000</v>
      </c>
      <c r="GO79" t="s">
        <v>99</v>
      </c>
      <c r="GP79">
        <v>6.3879999999999999</v>
      </c>
      <c r="GQ79">
        <v>0.71099999999999997</v>
      </c>
      <c r="GR79">
        <v>4.6950000000000003</v>
      </c>
      <c r="GS79">
        <v>5.9690000000000003</v>
      </c>
      <c r="GT79">
        <v>6.5090000000000003</v>
      </c>
      <c r="GU79">
        <v>6.9640000000000004</v>
      </c>
      <c r="GV79">
        <v>7.3360000000000003</v>
      </c>
      <c r="GW79">
        <v>1.0009999999999999</v>
      </c>
      <c r="GX79">
        <v>2700</v>
      </c>
      <c r="HC79" t="s">
        <v>99</v>
      </c>
      <c r="HD79">
        <v>6.569</v>
      </c>
      <c r="HE79">
        <v>0.60099999999999998</v>
      </c>
      <c r="HF79">
        <v>5.109</v>
      </c>
      <c r="HG79">
        <v>6.2149999999999999</v>
      </c>
      <c r="HH79">
        <v>6.6820000000000004</v>
      </c>
      <c r="HI79">
        <v>7.0419999999999998</v>
      </c>
      <c r="HJ79">
        <v>7.3490000000000002</v>
      </c>
      <c r="HK79">
        <v>1.0049999999999999</v>
      </c>
      <c r="HL79">
        <v>620</v>
      </c>
      <c r="HP79" s="7"/>
      <c r="HQ79" s="7" t="s">
        <v>99</v>
      </c>
      <c r="HR79" s="7">
        <v>6.6260000000000003</v>
      </c>
      <c r="HS79" s="7">
        <v>0.55100000000000005</v>
      </c>
      <c r="HT79" s="7">
        <v>5.3179999999999996</v>
      </c>
      <c r="HU79" s="7">
        <v>6.3109999999999999</v>
      </c>
      <c r="HV79" s="7">
        <v>6.7240000000000002</v>
      </c>
      <c r="HW79" s="7">
        <v>7.0650000000000004</v>
      </c>
      <c r="HX79" s="7">
        <v>7.3490000000000002</v>
      </c>
      <c r="HY79" s="7">
        <v>1.002</v>
      </c>
      <c r="HZ79" s="7">
        <v>1500</v>
      </c>
      <c r="IA79" s="7"/>
      <c r="IE79" t="s">
        <v>99</v>
      </c>
      <c r="IF79">
        <v>6.3920000000000003</v>
      </c>
      <c r="IG79">
        <v>0.56000000000000005</v>
      </c>
      <c r="IH79">
        <v>5.2140000000000004</v>
      </c>
      <c r="II79">
        <v>6.0250000000000004</v>
      </c>
      <c r="IJ79">
        <v>6.4180000000000001</v>
      </c>
      <c r="IK79">
        <v>6.8140000000000001</v>
      </c>
      <c r="IL79">
        <v>7.3070000000000004</v>
      </c>
      <c r="IM79">
        <v>1.0389999999999999</v>
      </c>
      <c r="IN79">
        <v>96</v>
      </c>
      <c r="IS79" t="s">
        <v>99</v>
      </c>
      <c r="IT79">
        <v>6.3150000000000004</v>
      </c>
      <c r="IU79">
        <v>0.61299999999999999</v>
      </c>
      <c r="IV79">
        <v>4.9729999999999999</v>
      </c>
      <c r="IW79">
        <v>5.92</v>
      </c>
      <c r="IX79">
        <v>6.3650000000000002</v>
      </c>
      <c r="IY79">
        <v>6.7750000000000004</v>
      </c>
      <c r="IZ79">
        <v>7.2990000000000004</v>
      </c>
      <c r="JA79">
        <v>1.0089999999999999</v>
      </c>
      <c r="JB79">
        <v>280</v>
      </c>
      <c r="JF79" t="s">
        <v>99</v>
      </c>
      <c r="JG79">
        <v>6.4130000000000003</v>
      </c>
      <c r="JH79">
        <v>0.60899999999999999</v>
      </c>
      <c r="JI79">
        <v>5.0330000000000004</v>
      </c>
      <c r="JJ79">
        <v>6.0259999999999998</v>
      </c>
      <c r="JK79">
        <v>6.4880000000000004</v>
      </c>
      <c r="JL79">
        <v>6.8869999999999996</v>
      </c>
      <c r="JM79">
        <v>7.3319999999999999</v>
      </c>
      <c r="JN79">
        <v>1.0029999999999999</v>
      </c>
      <c r="JO79">
        <v>860</v>
      </c>
      <c r="JT79" t="s">
        <v>99</v>
      </c>
      <c r="JU79">
        <v>6.38</v>
      </c>
      <c r="JV79">
        <v>0.627</v>
      </c>
      <c r="JW79">
        <v>4.9720000000000004</v>
      </c>
      <c r="JX79">
        <v>5.976</v>
      </c>
      <c r="JY79">
        <v>6.4290000000000003</v>
      </c>
      <c r="JZ79">
        <v>6.8860000000000001</v>
      </c>
      <c r="KA79">
        <v>7.319</v>
      </c>
      <c r="KB79">
        <v>1.0009999999999999</v>
      </c>
      <c r="KC79">
        <v>2800</v>
      </c>
      <c r="KH79" t="s">
        <v>99</v>
      </c>
      <c r="KI79">
        <v>6.48</v>
      </c>
      <c r="KJ79">
        <v>0.59499999999999997</v>
      </c>
      <c r="KK79">
        <v>5.1470000000000002</v>
      </c>
      <c r="KL79">
        <v>6.0979999999999999</v>
      </c>
      <c r="KM79">
        <v>6.56</v>
      </c>
      <c r="KN79">
        <v>6.9530000000000003</v>
      </c>
      <c r="KO79">
        <v>7.3330000000000002</v>
      </c>
      <c r="KP79">
        <v>1.01</v>
      </c>
      <c r="KQ79">
        <v>350</v>
      </c>
      <c r="KR79">
        <f t="shared" si="3"/>
        <v>651.97094627117247</v>
      </c>
      <c r="KV79" t="s">
        <v>99</v>
      </c>
      <c r="KW79">
        <v>5.8479999999999999</v>
      </c>
      <c r="KX79">
        <v>0.63100000000000001</v>
      </c>
      <c r="KY79">
        <v>4.6260000000000003</v>
      </c>
      <c r="KZ79">
        <v>5.3959999999999999</v>
      </c>
      <c r="LA79">
        <v>5.8659999999999997</v>
      </c>
      <c r="LB79">
        <v>6.3220000000000001</v>
      </c>
      <c r="LC79">
        <v>6.9960000000000004</v>
      </c>
      <c r="LD79">
        <v>1.085</v>
      </c>
      <c r="LE79">
        <v>29</v>
      </c>
      <c r="LJ79" t="s">
        <v>188</v>
      </c>
      <c r="LK79">
        <v>4.476</v>
      </c>
      <c r="LL79">
        <v>1.17</v>
      </c>
      <c r="LM79">
        <v>2.1539999999999999</v>
      </c>
      <c r="LN79">
        <v>3.6880000000000002</v>
      </c>
      <c r="LO79">
        <v>4.4969999999999999</v>
      </c>
      <c r="LP79">
        <v>5.2919999999999998</v>
      </c>
      <c r="LQ79">
        <v>6.7359999999999998</v>
      </c>
      <c r="LR79">
        <v>1.0009999999999999</v>
      </c>
      <c r="LS79">
        <v>3000</v>
      </c>
      <c r="LX79" t="s">
        <v>188</v>
      </c>
      <c r="LY79">
        <v>4.4889999999999999</v>
      </c>
      <c r="LZ79">
        <v>1.1659999999999999</v>
      </c>
      <c r="MA79">
        <v>2.1059999999999999</v>
      </c>
      <c r="MB79">
        <v>3.702</v>
      </c>
      <c r="MC79">
        <v>4.5110000000000001</v>
      </c>
      <c r="MD79">
        <v>5.3079999999999998</v>
      </c>
      <c r="ME79">
        <v>6.75</v>
      </c>
      <c r="MF79">
        <v>1.0009999999999999</v>
      </c>
      <c r="MG79">
        <v>2200</v>
      </c>
      <c r="ML79" t="s">
        <v>99</v>
      </c>
      <c r="MM79">
        <v>5.601</v>
      </c>
      <c r="MN79">
        <v>0.98899999999999999</v>
      </c>
      <c r="MO79">
        <v>3.4</v>
      </c>
      <c r="MP79">
        <v>4.9740000000000002</v>
      </c>
      <c r="MQ79">
        <v>5.718</v>
      </c>
      <c r="MR79">
        <v>6.3570000000000002</v>
      </c>
      <c r="MS79">
        <v>7.11</v>
      </c>
      <c r="MT79">
        <v>1.087</v>
      </c>
      <c r="MU79">
        <v>37</v>
      </c>
      <c r="MZ79" t="s">
        <v>99</v>
      </c>
      <c r="NA79">
        <v>5.7389999999999999</v>
      </c>
      <c r="NB79">
        <v>0.78200000000000003</v>
      </c>
      <c r="NC79">
        <v>4.1529999999999996</v>
      </c>
      <c r="ND79">
        <v>5.1950000000000003</v>
      </c>
      <c r="NE79">
        <v>5.76</v>
      </c>
      <c r="NF79">
        <v>6.3410000000000002</v>
      </c>
      <c r="NG79">
        <v>7.0739999999999998</v>
      </c>
      <c r="NH79">
        <v>1.083</v>
      </c>
      <c r="NI79">
        <v>44</v>
      </c>
      <c r="NM79" t="s">
        <v>99</v>
      </c>
      <c r="NN79">
        <v>4.5339999999999998</v>
      </c>
      <c r="NO79">
        <v>0.85799999999999998</v>
      </c>
      <c r="NP79">
        <v>2.6389999999999998</v>
      </c>
      <c r="NQ79">
        <v>3.9649999999999999</v>
      </c>
      <c r="NR79">
        <v>4.5460000000000003</v>
      </c>
      <c r="NS79">
        <v>5.19</v>
      </c>
      <c r="NT79">
        <v>6.048</v>
      </c>
      <c r="NU79">
        <v>1.07</v>
      </c>
      <c r="NV79">
        <v>36</v>
      </c>
      <c r="NY79" t="s">
        <v>99</v>
      </c>
      <c r="NZ79">
        <v>4.9390000000000001</v>
      </c>
      <c r="OA79">
        <v>0.83699999999999997</v>
      </c>
      <c r="OB79">
        <v>2.8159999999999998</v>
      </c>
      <c r="OC79">
        <v>4.476</v>
      </c>
      <c r="OD79">
        <v>5.07</v>
      </c>
      <c r="OE79">
        <v>5.5549999999999997</v>
      </c>
      <c r="OF79">
        <v>6.1280000000000001</v>
      </c>
      <c r="OG79">
        <v>1.139</v>
      </c>
      <c r="OH79">
        <v>130</v>
      </c>
      <c r="OP79" t="s">
        <v>99</v>
      </c>
      <c r="OQ79">
        <v>4.7549999999999999</v>
      </c>
      <c r="OR79">
        <v>0.73299999999999998</v>
      </c>
      <c r="OS79">
        <v>3.1909999999999998</v>
      </c>
      <c r="OT79">
        <v>4.2880000000000003</v>
      </c>
      <c r="OU79">
        <v>4.8760000000000003</v>
      </c>
      <c r="OV79">
        <v>5.2709999999999999</v>
      </c>
      <c r="OW79">
        <v>5.9569999999999999</v>
      </c>
      <c r="OX79">
        <v>1.0960000000000001</v>
      </c>
      <c r="OY79">
        <v>35</v>
      </c>
      <c r="PB79" t="s">
        <v>99</v>
      </c>
      <c r="PC79">
        <v>3.6779999999999999</v>
      </c>
      <c r="PD79">
        <v>0.74399999999999999</v>
      </c>
      <c r="PE79">
        <v>2.0720000000000001</v>
      </c>
      <c r="PF79">
        <v>3.2160000000000002</v>
      </c>
      <c r="PG79">
        <v>3.7709999999999999</v>
      </c>
      <c r="PH79">
        <v>4.22</v>
      </c>
      <c r="PI79">
        <v>4.9130000000000003</v>
      </c>
      <c r="PJ79">
        <v>1.006</v>
      </c>
      <c r="PK79">
        <v>340</v>
      </c>
      <c r="PN79" t="s">
        <v>99</v>
      </c>
      <c r="PO79">
        <v>3.3839999999999999</v>
      </c>
      <c r="PP79">
        <v>0.871</v>
      </c>
      <c r="PQ79">
        <v>1.4239999999999999</v>
      </c>
      <c r="PR79">
        <v>2.859</v>
      </c>
      <c r="PS79">
        <v>3.4710000000000001</v>
      </c>
      <c r="PT79">
        <v>4.0359999999999996</v>
      </c>
      <c r="PU79">
        <v>4.7430000000000003</v>
      </c>
      <c r="PV79">
        <v>1.046</v>
      </c>
      <c r="PW79">
        <v>49</v>
      </c>
      <c r="QA79" t="s">
        <v>99</v>
      </c>
      <c r="QB79">
        <v>4.75</v>
      </c>
      <c r="QC79">
        <v>0.29899999999999999</v>
      </c>
      <c r="QD79">
        <v>4.0780000000000003</v>
      </c>
      <c r="QE79">
        <v>4.5659999999999998</v>
      </c>
      <c r="QF79">
        <v>4.7789999999999999</v>
      </c>
      <c r="QG79">
        <v>4.9610000000000003</v>
      </c>
      <c r="QH79">
        <v>5.26</v>
      </c>
      <c r="QI79">
        <v>1.04</v>
      </c>
      <c r="QJ79">
        <v>57</v>
      </c>
      <c r="QL79">
        <f t="shared" si="4"/>
        <v>-1.3660000000000001</v>
      </c>
    </row>
    <row r="80" spans="1:454">
      <c r="A80" t="s">
        <v>100</v>
      </c>
      <c r="B80">
        <v>4.3899999999999997</v>
      </c>
      <c r="C80">
        <v>0.93500000000000005</v>
      </c>
      <c r="D80">
        <v>2.4359999999999999</v>
      </c>
      <c r="E80">
        <v>3.7919999999999998</v>
      </c>
      <c r="F80">
        <v>4.4649999999999999</v>
      </c>
      <c r="G80">
        <v>5.0170000000000003</v>
      </c>
      <c r="H80">
        <v>6.0949999999999998</v>
      </c>
      <c r="I80">
        <v>1.1100000000000001</v>
      </c>
      <c r="J80">
        <v>29</v>
      </c>
      <c r="O80" t="s">
        <v>100</v>
      </c>
      <c r="P80">
        <v>3.64</v>
      </c>
      <c r="Q80">
        <v>1.484</v>
      </c>
      <c r="R80">
        <v>0.81799999999999995</v>
      </c>
      <c r="S80">
        <v>2.5990000000000002</v>
      </c>
      <c r="T80">
        <v>3.5659999999999998</v>
      </c>
      <c r="U80">
        <v>4.6559999999999997</v>
      </c>
      <c r="V80">
        <v>6.7060000000000004</v>
      </c>
      <c r="W80">
        <v>1.01</v>
      </c>
      <c r="X80">
        <v>240</v>
      </c>
      <c r="AC80" t="s">
        <v>100</v>
      </c>
      <c r="AD80">
        <v>5.1989999999999998</v>
      </c>
      <c r="AE80">
        <v>1.0329999999999999</v>
      </c>
      <c r="AF80">
        <v>3.137</v>
      </c>
      <c r="AG80">
        <v>4.4950000000000001</v>
      </c>
      <c r="AH80">
        <v>5.2039999999999997</v>
      </c>
      <c r="AI80">
        <v>5.91</v>
      </c>
      <c r="AJ80">
        <v>7.1390000000000002</v>
      </c>
      <c r="AK80">
        <v>1.016</v>
      </c>
      <c r="AL80">
        <v>130</v>
      </c>
      <c r="AQ80" t="s">
        <v>100</v>
      </c>
      <c r="AR80">
        <v>5.3070000000000004</v>
      </c>
      <c r="AS80">
        <v>1.0029999999999999</v>
      </c>
      <c r="AT80">
        <v>3.218</v>
      </c>
      <c r="AU80">
        <v>4.6280000000000001</v>
      </c>
      <c r="AV80">
        <v>5.3079999999999998</v>
      </c>
      <c r="AW80">
        <v>6.0209999999999999</v>
      </c>
      <c r="AX80">
        <v>7.1680000000000001</v>
      </c>
      <c r="AY80">
        <v>1.01</v>
      </c>
      <c r="AZ80">
        <v>230</v>
      </c>
      <c r="BE80" t="s">
        <v>100</v>
      </c>
      <c r="BF80">
        <v>5.7510000000000003</v>
      </c>
      <c r="BG80">
        <v>0.748</v>
      </c>
      <c r="BH80">
        <v>4.2930000000000001</v>
      </c>
      <c r="BI80">
        <v>5.23</v>
      </c>
      <c r="BJ80">
        <v>5.75</v>
      </c>
      <c r="BK80">
        <v>6.2889999999999997</v>
      </c>
      <c r="BL80">
        <v>7.1550000000000002</v>
      </c>
      <c r="BM80">
        <v>1.0029999999999999</v>
      </c>
      <c r="BN80">
        <v>1600</v>
      </c>
      <c r="BS80" t="s">
        <v>100</v>
      </c>
      <c r="BT80">
        <v>4.6740000000000004</v>
      </c>
      <c r="BU80">
        <v>1.0860000000000001</v>
      </c>
      <c r="BV80">
        <v>2.6309999999999998</v>
      </c>
      <c r="BW80">
        <v>3.8940000000000001</v>
      </c>
      <c r="BX80">
        <v>4.6820000000000004</v>
      </c>
      <c r="BY80">
        <v>5.4130000000000003</v>
      </c>
      <c r="BZ80">
        <v>6.827</v>
      </c>
      <c r="CA80">
        <v>1.0249999999999999</v>
      </c>
      <c r="CB80">
        <v>110</v>
      </c>
      <c r="CG80" t="s">
        <v>100</v>
      </c>
      <c r="CH80">
        <v>5.7709999999999999</v>
      </c>
      <c r="CI80">
        <v>0.74299999999999999</v>
      </c>
      <c r="CJ80">
        <v>4.335</v>
      </c>
      <c r="CK80">
        <v>5.258</v>
      </c>
      <c r="CL80">
        <v>5.76</v>
      </c>
      <c r="CM80">
        <v>6.31</v>
      </c>
      <c r="CN80">
        <v>7.2050000000000001</v>
      </c>
      <c r="CO80">
        <v>1.01</v>
      </c>
      <c r="CP80">
        <v>210</v>
      </c>
      <c r="CU80" t="s">
        <v>100</v>
      </c>
      <c r="CV80">
        <v>6.1269999999999998</v>
      </c>
      <c r="CW80">
        <v>0.89400000000000002</v>
      </c>
      <c r="CX80">
        <v>4.2320000000000002</v>
      </c>
      <c r="CY80">
        <v>5.492</v>
      </c>
      <c r="CZ80">
        <v>6.2320000000000002</v>
      </c>
      <c r="DA80">
        <v>6.8680000000000003</v>
      </c>
      <c r="DB80">
        <v>7.3780000000000001</v>
      </c>
      <c r="DC80">
        <v>1.022</v>
      </c>
      <c r="DD80">
        <v>120</v>
      </c>
      <c r="DI80" t="s">
        <v>100</v>
      </c>
      <c r="DJ80">
        <v>5.1059999999999999</v>
      </c>
      <c r="DK80">
        <v>1.0660000000000001</v>
      </c>
      <c r="DL80">
        <v>3.016</v>
      </c>
      <c r="DM80">
        <v>4.38</v>
      </c>
      <c r="DN80">
        <v>5.0919999999999996</v>
      </c>
      <c r="DO80">
        <v>5.8760000000000003</v>
      </c>
      <c r="DP80">
        <v>7.1349999999999998</v>
      </c>
      <c r="DQ80">
        <v>1.0049999999999999</v>
      </c>
      <c r="DR80">
        <v>930</v>
      </c>
      <c r="DY80" t="s">
        <v>100</v>
      </c>
      <c r="DZ80">
        <v>5.7480000000000002</v>
      </c>
      <c r="EA80">
        <v>0.93</v>
      </c>
      <c r="EB80">
        <v>3.8540000000000001</v>
      </c>
      <c r="EC80">
        <v>5.1079999999999997</v>
      </c>
      <c r="ED80">
        <v>5.81</v>
      </c>
      <c r="EE80">
        <v>6.452</v>
      </c>
      <c r="EF80">
        <v>7.2649999999999997</v>
      </c>
      <c r="EG80">
        <v>1.0069999999999999</v>
      </c>
      <c r="EH80">
        <v>550</v>
      </c>
      <c r="EK80" t="s">
        <v>100</v>
      </c>
      <c r="EL80">
        <v>5.6369999999999996</v>
      </c>
      <c r="EM80">
        <v>0.90100000000000002</v>
      </c>
      <c r="EN80">
        <v>3.8679999999999999</v>
      </c>
      <c r="EO80">
        <v>5.01</v>
      </c>
      <c r="EP80">
        <v>5.6849999999999996</v>
      </c>
      <c r="EQ80">
        <v>6.3170000000000002</v>
      </c>
      <c r="ER80">
        <v>7.18</v>
      </c>
      <c r="ES80">
        <v>1.008</v>
      </c>
      <c r="ET80">
        <v>280</v>
      </c>
      <c r="EY80" t="s">
        <v>100</v>
      </c>
      <c r="EZ80">
        <v>5.9180000000000001</v>
      </c>
      <c r="FA80">
        <v>0.91500000000000004</v>
      </c>
      <c r="FB80">
        <v>3.8809999999999998</v>
      </c>
      <c r="FC80">
        <v>5.3239999999999998</v>
      </c>
      <c r="FD80">
        <v>6.0119999999999996</v>
      </c>
      <c r="FE80">
        <v>6.633</v>
      </c>
      <c r="FF80">
        <v>7.2930000000000001</v>
      </c>
      <c r="FG80">
        <v>1.002</v>
      </c>
      <c r="FH80">
        <v>1200</v>
      </c>
      <c r="GA80" t="s">
        <v>100</v>
      </c>
      <c r="GB80">
        <v>5.4260000000000002</v>
      </c>
      <c r="GC80">
        <v>0.626</v>
      </c>
      <c r="GD80">
        <v>4.2380000000000004</v>
      </c>
      <c r="GE80">
        <v>4.992</v>
      </c>
      <c r="GF80">
        <v>5.4080000000000004</v>
      </c>
      <c r="GG80">
        <v>5.8289999999999997</v>
      </c>
      <c r="GH80">
        <v>6.6950000000000003</v>
      </c>
      <c r="GI80">
        <v>1.0009999999999999</v>
      </c>
      <c r="GJ80">
        <v>3000</v>
      </c>
      <c r="GO80" t="s">
        <v>100</v>
      </c>
      <c r="GP80">
        <v>5.8920000000000003</v>
      </c>
      <c r="GQ80">
        <v>0.90300000000000002</v>
      </c>
      <c r="GR80">
        <v>3.9060000000000001</v>
      </c>
      <c r="GS80">
        <v>5.2889999999999997</v>
      </c>
      <c r="GT80">
        <v>6.01</v>
      </c>
      <c r="GU80">
        <v>6.5949999999999998</v>
      </c>
      <c r="GV80">
        <v>7.2789999999999999</v>
      </c>
      <c r="GW80">
        <v>1.0009999999999999</v>
      </c>
      <c r="GX80">
        <v>3000</v>
      </c>
      <c r="HC80" t="s">
        <v>100</v>
      </c>
      <c r="HD80">
        <v>6.125</v>
      </c>
      <c r="HE80">
        <v>0.79200000000000004</v>
      </c>
      <c r="HF80">
        <v>4.3109999999999999</v>
      </c>
      <c r="HG80">
        <v>5.6379999999999999</v>
      </c>
      <c r="HH80">
        <v>6.2249999999999996</v>
      </c>
      <c r="HI80">
        <v>6.7489999999999997</v>
      </c>
      <c r="HJ80">
        <v>7.3070000000000004</v>
      </c>
      <c r="HK80">
        <v>1.0129999999999999</v>
      </c>
      <c r="HL80">
        <v>170</v>
      </c>
      <c r="HP80" s="7"/>
      <c r="HQ80" s="7" t="s">
        <v>100</v>
      </c>
      <c r="HR80" s="7">
        <v>6.242</v>
      </c>
      <c r="HS80" s="7">
        <v>0.72399999999999998</v>
      </c>
      <c r="HT80" s="7">
        <v>4.6230000000000002</v>
      </c>
      <c r="HU80" s="7">
        <v>5.7750000000000004</v>
      </c>
      <c r="HV80" s="7">
        <v>6.3410000000000002</v>
      </c>
      <c r="HW80" s="7">
        <v>6.7990000000000004</v>
      </c>
      <c r="HX80" s="7">
        <v>7.3170000000000002</v>
      </c>
      <c r="HY80" s="7">
        <v>1.0009999999999999</v>
      </c>
      <c r="HZ80" s="7">
        <v>3000</v>
      </c>
      <c r="IA80" s="7"/>
      <c r="IE80" t="s">
        <v>100</v>
      </c>
      <c r="IF80">
        <v>5.758</v>
      </c>
      <c r="IG80">
        <v>0.68</v>
      </c>
      <c r="IH80">
        <v>4.4390000000000001</v>
      </c>
      <c r="II80">
        <v>5.3250000000000002</v>
      </c>
      <c r="IJ80">
        <v>5.7380000000000004</v>
      </c>
      <c r="IK80">
        <v>6.2140000000000004</v>
      </c>
      <c r="IL80">
        <v>7.0810000000000004</v>
      </c>
      <c r="IM80">
        <v>1.0449999999999999</v>
      </c>
      <c r="IN80">
        <v>78</v>
      </c>
      <c r="IS80" t="s">
        <v>100</v>
      </c>
      <c r="IT80">
        <v>5.7629999999999999</v>
      </c>
      <c r="IU80">
        <v>0.70599999999999996</v>
      </c>
      <c r="IV80">
        <v>4.3179999999999996</v>
      </c>
      <c r="IW80">
        <v>5.3079999999999998</v>
      </c>
      <c r="IX80">
        <v>5.7610000000000001</v>
      </c>
      <c r="IY80">
        <v>6.2359999999999998</v>
      </c>
      <c r="IZ80">
        <v>7.1139999999999999</v>
      </c>
      <c r="JA80">
        <v>1.0109999999999999</v>
      </c>
      <c r="JB80">
        <v>230</v>
      </c>
      <c r="JF80" t="s">
        <v>100</v>
      </c>
      <c r="JG80">
        <v>5.9610000000000003</v>
      </c>
      <c r="JH80">
        <v>0.753</v>
      </c>
      <c r="JI80">
        <v>4.4340000000000002</v>
      </c>
      <c r="JJ80">
        <v>5.4530000000000003</v>
      </c>
      <c r="JK80">
        <v>5.984</v>
      </c>
      <c r="JL80">
        <v>6.5259999999999998</v>
      </c>
      <c r="JM80">
        <v>7.2539999999999996</v>
      </c>
      <c r="JN80">
        <v>1.002</v>
      </c>
      <c r="JO80">
        <v>1600</v>
      </c>
      <c r="JT80" t="s">
        <v>100</v>
      </c>
      <c r="JU80">
        <v>5.9429999999999996</v>
      </c>
      <c r="JV80">
        <v>0.749</v>
      </c>
      <c r="JW80">
        <v>4.4260000000000002</v>
      </c>
      <c r="JX80">
        <v>5.43</v>
      </c>
      <c r="JY80">
        <v>5.9720000000000004</v>
      </c>
      <c r="JZ80">
        <v>6.52</v>
      </c>
      <c r="KA80">
        <v>7.2119999999999997</v>
      </c>
      <c r="KB80">
        <v>1.0009999999999999</v>
      </c>
      <c r="KC80">
        <v>3000</v>
      </c>
      <c r="KH80" t="s">
        <v>100</v>
      </c>
      <c r="KI80">
        <v>6.194</v>
      </c>
      <c r="KJ80">
        <v>0.71599999999999997</v>
      </c>
      <c r="KK80">
        <v>4.7210000000000001</v>
      </c>
      <c r="KL80">
        <v>5.6980000000000004</v>
      </c>
      <c r="KM80">
        <v>6.2320000000000002</v>
      </c>
      <c r="KN80">
        <v>6.7770000000000001</v>
      </c>
      <c r="KO80">
        <v>7.3170000000000002</v>
      </c>
      <c r="KP80">
        <v>1.0029999999999999</v>
      </c>
      <c r="KQ80">
        <v>3000</v>
      </c>
      <c r="KR80">
        <f t="shared" si="3"/>
        <v>489.80139861704743</v>
      </c>
      <c r="KV80" t="s">
        <v>100</v>
      </c>
      <c r="KW80">
        <v>6.2720000000000002</v>
      </c>
      <c r="KX80">
        <v>0.68</v>
      </c>
      <c r="KY80">
        <v>4.99</v>
      </c>
      <c r="KZ80">
        <v>5.774</v>
      </c>
      <c r="LA80">
        <v>6.274</v>
      </c>
      <c r="LB80">
        <v>6.7670000000000003</v>
      </c>
      <c r="LC80">
        <v>7.5750000000000002</v>
      </c>
      <c r="LD80">
        <v>1.0720000000000001</v>
      </c>
      <c r="LE80">
        <v>33</v>
      </c>
      <c r="LJ80" t="s">
        <v>123</v>
      </c>
      <c r="LK80">
        <v>7.274</v>
      </c>
      <c r="LL80">
        <v>0.91800000000000004</v>
      </c>
      <c r="LM80">
        <v>5.4960000000000004</v>
      </c>
      <c r="LN80">
        <v>6.657</v>
      </c>
      <c r="LO80">
        <v>7.2720000000000002</v>
      </c>
      <c r="LP80">
        <v>7.8920000000000003</v>
      </c>
      <c r="LQ80">
        <v>9.0730000000000004</v>
      </c>
      <c r="LR80">
        <v>1.002</v>
      </c>
      <c r="LS80">
        <v>1500</v>
      </c>
      <c r="LX80" t="s">
        <v>123</v>
      </c>
      <c r="LY80">
        <v>1E-3</v>
      </c>
      <c r="LZ80">
        <v>1E-3</v>
      </c>
      <c r="MA80">
        <v>0</v>
      </c>
      <c r="MB80">
        <v>0</v>
      </c>
      <c r="MC80">
        <v>0</v>
      </c>
      <c r="MD80">
        <v>1E-3</v>
      </c>
      <c r="ME80">
        <v>2E-3</v>
      </c>
      <c r="MF80">
        <v>1.0529999999999999</v>
      </c>
      <c r="MG80">
        <v>44</v>
      </c>
      <c r="ML80" t="s">
        <v>100</v>
      </c>
      <c r="MM80">
        <v>5.9729999999999999</v>
      </c>
      <c r="MN80">
        <v>1.0129999999999999</v>
      </c>
      <c r="MO80">
        <v>3.726</v>
      </c>
      <c r="MP80">
        <v>5.3259999999999996</v>
      </c>
      <c r="MQ80">
        <v>6.0860000000000003</v>
      </c>
      <c r="MR80">
        <v>6.7430000000000003</v>
      </c>
      <c r="MS80">
        <v>7.5469999999999997</v>
      </c>
      <c r="MT80">
        <v>1.083</v>
      </c>
      <c r="MU80">
        <v>37</v>
      </c>
      <c r="MZ80" t="s">
        <v>100</v>
      </c>
      <c r="NA80">
        <v>6.1120000000000001</v>
      </c>
      <c r="NB80">
        <v>0.80100000000000005</v>
      </c>
      <c r="NC80">
        <v>4.5209999999999999</v>
      </c>
      <c r="ND80">
        <v>5.556</v>
      </c>
      <c r="NE80">
        <v>6.1340000000000003</v>
      </c>
      <c r="NF80">
        <v>6.7370000000000001</v>
      </c>
      <c r="NG80">
        <v>7.5179999999999998</v>
      </c>
      <c r="NH80">
        <v>1.071</v>
      </c>
      <c r="NI80">
        <v>46</v>
      </c>
      <c r="NM80" t="s">
        <v>100</v>
      </c>
      <c r="NN80">
        <v>4.7930000000000001</v>
      </c>
      <c r="NO80">
        <v>0.85299999999999998</v>
      </c>
      <c r="NP80">
        <v>2.9119999999999999</v>
      </c>
      <c r="NQ80">
        <v>4.226</v>
      </c>
      <c r="NR80">
        <v>4.8029999999999999</v>
      </c>
      <c r="NS80">
        <v>5.4409999999999998</v>
      </c>
      <c r="NT80">
        <v>6.3179999999999996</v>
      </c>
      <c r="NU80">
        <v>1.07</v>
      </c>
      <c r="NV80">
        <v>36</v>
      </c>
      <c r="NY80" t="s">
        <v>100</v>
      </c>
      <c r="NZ80">
        <v>5.0170000000000003</v>
      </c>
      <c r="OA80">
        <v>0.84299999999999997</v>
      </c>
      <c r="OB80">
        <v>2.8660000000000001</v>
      </c>
      <c r="OC80">
        <v>4.5469999999999997</v>
      </c>
      <c r="OD80">
        <v>5.1470000000000002</v>
      </c>
      <c r="OE80">
        <v>5.6349999999999998</v>
      </c>
      <c r="OF80">
        <v>6.1959999999999997</v>
      </c>
      <c r="OG80">
        <v>1.1379999999999999</v>
      </c>
      <c r="OH80">
        <v>130</v>
      </c>
      <c r="OP80" t="s">
        <v>100</v>
      </c>
      <c r="OQ80">
        <v>4.8220000000000001</v>
      </c>
      <c r="OR80">
        <v>0.71899999999999997</v>
      </c>
      <c r="OS80">
        <v>3.2850000000000001</v>
      </c>
      <c r="OT80">
        <v>4.3410000000000002</v>
      </c>
      <c r="OU80">
        <v>4.9660000000000002</v>
      </c>
      <c r="OV80">
        <v>5.351</v>
      </c>
      <c r="OW80">
        <v>5.9359999999999999</v>
      </c>
      <c r="OX80">
        <v>1.099</v>
      </c>
      <c r="OY80">
        <v>32</v>
      </c>
      <c r="PB80" t="s">
        <v>100</v>
      </c>
      <c r="PC80">
        <v>3.96</v>
      </c>
      <c r="PD80">
        <v>0.74299999999999999</v>
      </c>
      <c r="PE80">
        <v>2.3650000000000002</v>
      </c>
      <c r="PF80">
        <v>3.4990000000000001</v>
      </c>
      <c r="PG80">
        <v>4.0629999999999997</v>
      </c>
      <c r="PH80">
        <v>4.5</v>
      </c>
      <c r="PI80">
        <v>5.1920000000000002</v>
      </c>
      <c r="PJ80">
        <v>1.0069999999999999</v>
      </c>
      <c r="PK80">
        <v>330</v>
      </c>
      <c r="PN80" t="s">
        <v>100</v>
      </c>
      <c r="PO80">
        <v>3.3540000000000001</v>
      </c>
      <c r="PP80">
        <v>0.874</v>
      </c>
      <c r="PQ80">
        <v>1.393</v>
      </c>
      <c r="PR80">
        <v>2.8279999999999998</v>
      </c>
      <c r="PS80">
        <v>3.4390000000000001</v>
      </c>
      <c r="PT80">
        <v>4.01</v>
      </c>
      <c r="PU80">
        <v>4.72</v>
      </c>
      <c r="PV80">
        <v>1.046</v>
      </c>
      <c r="PW80">
        <v>49</v>
      </c>
      <c r="QA80" t="s">
        <v>100</v>
      </c>
      <c r="QB80">
        <v>4.6509999999999998</v>
      </c>
      <c r="QC80">
        <v>0.30099999999999999</v>
      </c>
      <c r="QD80">
        <v>3.9780000000000002</v>
      </c>
      <c r="QE80">
        <v>4.4640000000000004</v>
      </c>
      <c r="QF80">
        <v>4.681</v>
      </c>
      <c r="QG80">
        <v>4.8630000000000004</v>
      </c>
      <c r="QH80">
        <v>5.1660000000000004</v>
      </c>
      <c r="QI80">
        <v>1.0369999999999999</v>
      </c>
      <c r="QJ80">
        <v>63</v>
      </c>
      <c r="QL80">
        <f t="shared" si="4"/>
        <v>-1.2969999999999997</v>
      </c>
    </row>
    <row r="81" spans="1:454">
      <c r="A81" t="s">
        <v>101</v>
      </c>
      <c r="B81">
        <v>3.7549999999999999</v>
      </c>
      <c r="C81">
        <v>0.95199999999999996</v>
      </c>
      <c r="D81">
        <v>1.7649999999999999</v>
      </c>
      <c r="E81">
        <v>3.169</v>
      </c>
      <c r="F81">
        <v>3.863</v>
      </c>
      <c r="G81">
        <v>4.3819999999999997</v>
      </c>
      <c r="H81">
        <v>5.4859999999999998</v>
      </c>
      <c r="I81">
        <v>1.046</v>
      </c>
      <c r="J81">
        <v>68</v>
      </c>
      <c r="O81" t="s">
        <v>101</v>
      </c>
      <c r="P81">
        <v>2.35</v>
      </c>
      <c r="Q81">
        <v>1.2929999999999999</v>
      </c>
      <c r="R81">
        <v>0.22800000000000001</v>
      </c>
      <c r="S81">
        <v>1.383</v>
      </c>
      <c r="T81">
        <v>2.2610000000000001</v>
      </c>
      <c r="U81">
        <v>3.2160000000000002</v>
      </c>
      <c r="V81">
        <v>5.0819999999999999</v>
      </c>
      <c r="W81">
        <v>1.0069999999999999</v>
      </c>
      <c r="X81">
        <v>310</v>
      </c>
      <c r="AC81" t="s">
        <v>101</v>
      </c>
      <c r="AD81">
        <v>4.3499999999999996</v>
      </c>
      <c r="AE81">
        <v>0.94699999999999995</v>
      </c>
      <c r="AF81">
        <v>2.476</v>
      </c>
      <c r="AG81">
        <v>3.7120000000000002</v>
      </c>
      <c r="AH81">
        <v>4.3789999999999996</v>
      </c>
      <c r="AI81">
        <v>5.0010000000000003</v>
      </c>
      <c r="AJ81">
        <v>6.15</v>
      </c>
      <c r="AK81">
        <v>1.0209999999999999</v>
      </c>
      <c r="AL81">
        <v>110</v>
      </c>
      <c r="AQ81" t="s">
        <v>101</v>
      </c>
      <c r="AR81">
        <v>4.5170000000000003</v>
      </c>
      <c r="AS81">
        <v>0.88700000000000001</v>
      </c>
      <c r="AT81">
        <v>2.6179999999999999</v>
      </c>
      <c r="AU81">
        <v>3.95</v>
      </c>
      <c r="AV81">
        <v>4.5430000000000001</v>
      </c>
      <c r="AW81">
        <v>5.1100000000000003</v>
      </c>
      <c r="AX81">
        <v>6.2030000000000003</v>
      </c>
      <c r="AY81">
        <v>1.0249999999999999</v>
      </c>
      <c r="AZ81">
        <v>110</v>
      </c>
      <c r="BE81" t="s">
        <v>101</v>
      </c>
      <c r="BF81">
        <v>5.1319999999999997</v>
      </c>
      <c r="BG81">
        <v>0.72299999999999998</v>
      </c>
      <c r="BH81">
        <v>3.7610000000000001</v>
      </c>
      <c r="BI81">
        <v>4.6479999999999997</v>
      </c>
      <c r="BJ81">
        <v>5.1219999999999999</v>
      </c>
      <c r="BK81">
        <v>5.62</v>
      </c>
      <c r="BL81">
        <v>6.59</v>
      </c>
      <c r="BM81">
        <v>1.006</v>
      </c>
      <c r="BN81">
        <v>460</v>
      </c>
      <c r="BS81" t="s">
        <v>101</v>
      </c>
      <c r="BT81">
        <v>3.9020000000000001</v>
      </c>
      <c r="BU81">
        <v>1.004</v>
      </c>
      <c r="BV81">
        <v>1.8879999999999999</v>
      </c>
      <c r="BW81">
        <v>3.2250000000000001</v>
      </c>
      <c r="BX81">
        <v>3.9329999999999998</v>
      </c>
      <c r="BY81">
        <v>4.5910000000000002</v>
      </c>
      <c r="BZ81">
        <v>5.7839999999999998</v>
      </c>
      <c r="CA81">
        <v>1.0209999999999999</v>
      </c>
      <c r="CB81">
        <v>200</v>
      </c>
      <c r="CG81" t="s">
        <v>101</v>
      </c>
      <c r="CH81">
        <v>5.0389999999999997</v>
      </c>
      <c r="CI81">
        <v>0.73</v>
      </c>
      <c r="CJ81">
        <v>3.6179999999999999</v>
      </c>
      <c r="CK81">
        <v>4.5369999999999999</v>
      </c>
      <c r="CL81">
        <v>5.04</v>
      </c>
      <c r="CM81">
        <v>5.5419999999999998</v>
      </c>
      <c r="CN81">
        <v>6.4989999999999997</v>
      </c>
      <c r="CO81">
        <v>1.0169999999999999</v>
      </c>
      <c r="CP81">
        <v>120</v>
      </c>
      <c r="CU81" t="s">
        <v>101</v>
      </c>
      <c r="CV81">
        <v>4.9950000000000001</v>
      </c>
      <c r="CW81">
        <v>0.81299999999999994</v>
      </c>
      <c r="CX81">
        <v>3.2469999999999999</v>
      </c>
      <c r="CY81">
        <v>4.4790000000000001</v>
      </c>
      <c r="CZ81">
        <v>5.0419999999999998</v>
      </c>
      <c r="DA81">
        <v>5.5540000000000003</v>
      </c>
      <c r="DB81">
        <v>6.4790000000000001</v>
      </c>
      <c r="DC81">
        <v>1.022</v>
      </c>
      <c r="DD81">
        <v>110</v>
      </c>
      <c r="DI81" t="s">
        <v>101</v>
      </c>
      <c r="DJ81">
        <v>4.2149999999999999</v>
      </c>
      <c r="DK81">
        <v>1.002</v>
      </c>
      <c r="DL81">
        <v>2.17</v>
      </c>
      <c r="DM81">
        <v>3.5619999999999998</v>
      </c>
      <c r="DN81">
        <v>4.2469999999999999</v>
      </c>
      <c r="DO81">
        <v>4.8879999999999999</v>
      </c>
      <c r="DP81">
        <v>6.0940000000000003</v>
      </c>
      <c r="DQ81">
        <v>1.01</v>
      </c>
      <c r="DR81">
        <v>340</v>
      </c>
      <c r="DY81" t="s">
        <v>101</v>
      </c>
      <c r="DZ81">
        <v>4.6900000000000004</v>
      </c>
      <c r="EA81">
        <v>0.94599999999999995</v>
      </c>
      <c r="EB81">
        <v>2.69</v>
      </c>
      <c r="EC81">
        <v>4.09</v>
      </c>
      <c r="ED81">
        <v>4.7569999999999997</v>
      </c>
      <c r="EE81">
        <v>5.3369999999999997</v>
      </c>
      <c r="EF81">
        <v>6.3810000000000002</v>
      </c>
      <c r="EG81">
        <v>1.014</v>
      </c>
      <c r="EH81">
        <v>600</v>
      </c>
      <c r="EK81" t="s">
        <v>101</v>
      </c>
      <c r="EL81">
        <v>4.556</v>
      </c>
      <c r="EM81">
        <v>0.96799999999999997</v>
      </c>
      <c r="EN81">
        <v>2.613</v>
      </c>
      <c r="EO81">
        <v>3.8959999999999999</v>
      </c>
      <c r="EP81">
        <v>4.5549999999999997</v>
      </c>
      <c r="EQ81">
        <v>5.2210000000000001</v>
      </c>
      <c r="ER81">
        <v>6.4290000000000003</v>
      </c>
      <c r="ES81">
        <v>1.0089999999999999</v>
      </c>
      <c r="ET81">
        <v>450</v>
      </c>
      <c r="EY81" t="s">
        <v>101</v>
      </c>
      <c r="EZ81">
        <v>4.5229999999999997</v>
      </c>
      <c r="FA81">
        <v>0.96499999999999997</v>
      </c>
      <c r="FB81">
        <v>2.5409999999999999</v>
      </c>
      <c r="FC81">
        <v>3.8530000000000002</v>
      </c>
      <c r="FD81">
        <v>4.5860000000000003</v>
      </c>
      <c r="FE81">
        <v>5.2060000000000004</v>
      </c>
      <c r="FF81">
        <v>6.266</v>
      </c>
      <c r="FG81">
        <v>1.004</v>
      </c>
      <c r="FH81">
        <v>570</v>
      </c>
      <c r="GA81" t="s">
        <v>101</v>
      </c>
      <c r="GB81">
        <v>4.6870000000000003</v>
      </c>
      <c r="GC81">
        <v>0.58299999999999996</v>
      </c>
      <c r="GD81">
        <v>3.552</v>
      </c>
      <c r="GE81">
        <v>4.2939999999999996</v>
      </c>
      <c r="GF81">
        <v>4.681</v>
      </c>
      <c r="GG81">
        <v>5.0679999999999996</v>
      </c>
      <c r="GH81">
        <v>5.8659999999999997</v>
      </c>
      <c r="GI81">
        <v>1.004</v>
      </c>
      <c r="GJ81">
        <v>610</v>
      </c>
      <c r="GO81" t="s">
        <v>101</v>
      </c>
      <c r="GP81">
        <v>4.5860000000000003</v>
      </c>
      <c r="GQ81">
        <v>0.97499999999999998</v>
      </c>
      <c r="GR81">
        <v>2.5619999999999998</v>
      </c>
      <c r="GS81">
        <v>3.976</v>
      </c>
      <c r="GT81">
        <v>4.6210000000000004</v>
      </c>
      <c r="GU81">
        <v>5.2519999999999998</v>
      </c>
      <c r="GV81">
        <v>6.3849999999999998</v>
      </c>
      <c r="GW81">
        <v>1.002</v>
      </c>
      <c r="GX81">
        <v>1700</v>
      </c>
      <c r="HC81" t="s">
        <v>101</v>
      </c>
      <c r="HD81">
        <v>4.83</v>
      </c>
      <c r="HE81">
        <v>0.86899999999999999</v>
      </c>
      <c r="HF81">
        <v>3.0489999999999999</v>
      </c>
      <c r="HG81">
        <v>4.2679999999999998</v>
      </c>
      <c r="HH81">
        <v>4.8639999999999999</v>
      </c>
      <c r="HI81">
        <v>5.4189999999999996</v>
      </c>
      <c r="HJ81">
        <v>6.4710000000000001</v>
      </c>
      <c r="HK81">
        <v>1.008</v>
      </c>
      <c r="HL81">
        <v>270</v>
      </c>
      <c r="HP81" s="7"/>
      <c r="HQ81" s="7" t="s">
        <v>101</v>
      </c>
      <c r="HR81" s="7">
        <v>4.9349999999999996</v>
      </c>
      <c r="HS81" s="7">
        <v>0.75700000000000001</v>
      </c>
      <c r="HT81" s="7">
        <v>3.3610000000000002</v>
      </c>
      <c r="HU81" s="7">
        <v>4.4779999999999998</v>
      </c>
      <c r="HV81" s="7">
        <v>4.9740000000000002</v>
      </c>
      <c r="HW81" s="7">
        <v>5.4450000000000003</v>
      </c>
      <c r="HX81" s="7">
        <v>6.3209999999999997</v>
      </c>
      <c r="HY81" s="7">
        <v>1.008</v>
      </c>
      <c r="HZ81" s="7">
        <v>620</v>
      </c>
      <c r="IA81" s="7"/>
      <c r="IE81" t="s">
        <v>101</v>
      </c>
      <c r="IF81">
        <v>4.625</v>
      </c>
      <c r="IG81">
        <v>0.60399999999999998</v>
      </c>
      <c r="IH81">
        <v>3.3279999999999998</v>
      </c>
      <c r="II81">
        <v>4.266</v>
      </c>
      <c r="IJ81">
        <v>4.6479999999999997</v>
      </c>
      <c r="IK81">
        <v>5.0250000000000004</v>
      </c>
      <c r="IL81">
        <v>5.734</v>
      </c>
      <c r="IM81">
        <v>1.0760000000000001</v>
      </c>
      <c r="IN81">
        <v>49</v>
      </c>
      <c r="IS81" t="s">
        <v>101</v>
      </c>
      <c r="IT81">
        <v>4.6920000000000002</v>
      </c>
      <c r="IU81">
        <v>0.64100000000000001</v>
      </c>
      <c r="IV81">
        <v>3.2850000000000001</v>
      </c>
      <c r="IW81">
        <v>4.3019999999999996</v>
      </c>
      <c r="IX81">
        <v>4.7119999999999997</v>
      </c>
      <c r="IY81">
        <v>5.12</v>
      </c>
      <c r="IZ81">
        <v>5.8920000000000003</v>
      </c>
      <c r="JA81">
        <v>1.0209999999999999</v>
      </c>
      <c r="JB81">
        <v>160</v>
      </c>
      <c r="JF81" t="s">
        <v>101</v>
      </c>
      <c r="JG81">
        <v>4.8220000000000001</v>
      </c>
      <c r="JH81">
        <v>0.70699999999999996</v>
      </c>
      <c r="JI81">
        <v>3.3980000000000001</v>
      </c>
      <c r="JJ81">
        <v>4.3780000000000001</v>
      </c>
      <c r="JK81">
        <v>4.8380000000000001</v>
      </c>
      <c r="JL81">
        <v>5.2770000000000001</v>
      </c>
      <c r="JM81">
        <v>6.1779999999999999</v>
      </c>
      <c r="JN81">
        <v>1.004</v>
      </c>
      <c r="JO81">
        <v>540</v>
      </c>
      <c r="JT81" t="s">
        <v>101</v>
      </c>
      <c r="JU81">
        <v>4.76</v>
      </c>
      <c r="JV81">
        <v>0.71699999999999997</v>
      </c>
      <c r="JW81">
        <v>3.3540000000000001</v>
      </c>
      <c r="JX81">
        <v>4.2699999999999996</v>
      </c>
      <c r="JY81">
        <v>4.7469999999999999</v>
      </c>
      <c r="JZ81">
        <v>5.2249999999999996</v>
      </c>
      <c r="KA81">
        <v>6.1959999999999997</v>
      </c>
      <c r="KB81">
        <v>1.0029999999999999</v>
      </c>
      <c r="KC81">
        <v>860</v>
      </c>
      <c r="KH81" t="s">
        <v>101</v>
      </c>
      <c r="KI81">
        <v>4.9139999999999997</v>
      </c>
      <c r="KJ81">
        <v>0.68</v>
      </c>
      <c r="KK81">
        <v>3.5310000000000001</v>
      </c>
      <c r="KL81">
        <v>4.4740000000000002</v>
      </c>
      <c r="KM81">
        <v>4.9240000000000004</v>
      </c>
      <c r="KN81">
        <v>5.3550000000000004</v>
      </c>
      <c r="KO81">
        <v>6.2240000000000002</v>
      </c>
      <c r="KP81">
        <v>1.0069999999999999</v>
      </c>
      <c r="KQ81">
        <v>440</v>
      </c>
      <c r="KR81">
        <f t="shared" si="3"/>
        <v>136.18305862968268</v>
      </c>
      <c r="KV81" t="s">
        <v>101</v>
      </c>
      <c r="KW81">
        <v>5.4690000000000003</v>
      </c>
      <c r="KX81">
        <v>0.65900000000000003</v>
      </c>
      <c r="KY81">
        <v>4.1820000000000004</v>
      </c>
      <c r="KZ81">
        <v>5.008</v>
      </c>
      <c r="LA81">
        <v>5.4809999999999999</v>
      </c>
      <c r="LB81">
        <v>5.9450000000000003</v>
      </c>
      <c r="LC81">
        <v>6.6870000000000003</v>
      </c>
      <c r="LD81">
        <v>1.079</v>
      </c>
      <c r="LE81">
        <v>31</v>
      </c>
      <c r="LJ81" t="s">
        <v>124</v>
      </c>
      <c r="LK81">
        <v>0</v>
      </c>
      <c r="LL81">
        <v>1E-3</v>
      </c>
      <c r="LM81">
        <v>0</v>
      </c>
      <c r="LN81">
        <v>0</v>
      </c>
      <c r="LO81">
        <v>0</v>
      </c>
      <c r="LP81">
        <v>1E-3</v>
      </c>
      <c r="LQ81">
        <v>2E-3</v>
      </c>
      <c r="LR81">
        <v>1.002</v>
      </c>
      <c r="LS81">
        <v>2400</v>
      </c>
      <c r="LX81" t="s">
        <v>124</v>
      </c>
      <c r="LY81">
        <v>1E-3</v>
      </c>
      <c r="LZ81">
        <v>1E-3</v>
      </c>
      <c r="MA81">
        <v>0</v>
      </c>
      <c r="MB81">
        <v>0</v>
      </c>
      <c r="MC81">
        <v>0</v>
      </c>
      <c r="MD81">
        <v>1E-3</v>
      </c>
      <c r="ME81">
        <v>4.0000000000000001E-3</v>
      </c>
      <c r="MF81">
        <v>1.1220000000000001</v>
      </c>
      <c r="MG81">
        <v>21</v>
      </c>
      <c r="ML81" t="s">
        <v>101</v>
      </c>
      <c r="MM81">
        <v>5.2690000000000001</v>
      </c>
      <c r="MN81">
        <v>1.004</v>
      </c>
      <c r="MO81">
        <v>3.0369999999999999</v>
      </c>
      <c r="MP81">
        <v>4.6369999999999996</v>
      </c>
      <c r="MQ81">
        <v>5.383</v>
      </c>
      <c r="MR81">
        <v>6.0220000000000002</v>
      </c>
      <c r="MS81">
        <v>6.8449999999999998</v>
      </c>
      <c r="MT81">
        <v>1.0860000000000001</v>
      </c>
      <c r="MU81">
        <v>38</v>
      </c>
      <c r="MZ81" t="s">
        <v>101</v>
      </c>
      <c r="NA81">
        <v>5.4050000000000002</v>
      </c>
      <c r="NB81">
        <v>0.80800000000000005</v>
      </c>
      <c r="NC81">
        <v>3.7370000000000001</v>
      </c>
      <c r="ND81">
        <v>4.8529999999999998</v>
      </c>
      <c r="NE81">
        <v>5.44</v>
      </c>
      <c r="NF81">
        <v>6.0030000000000001</v>
      </c>
      <c r="NG81">
        <v>6.8070000000000004</v>
      </c>
      <c r="NH81">
        <v>1.0840000000000001</v>
      </c>
      <c r="NI81">
        <v>47</v>
      </c>
      <c r="NM81" t="s">
        <v>101</v>
      </c>
      <c r="NN81">
        <v>4.3029999999999999</v>
      </c>
      <c r="NO81">
        <v>0.86699999999999999</v>
      </c>
      <c r="NP81">
        <v>2.391</v>
      </c>
      <c r="NQ81">
        <v>3.7240000000000002</v>
      </c>
      <c r="NR81">
        <v>4.32</v>
      </c>
      <c r="NS81">
        <v>4.9640000000000004</v>
      </c>
      <c r="NT81">
        <v>5.8330000000000002</v>
      </c>
      <c r="NU81">
        <v>1.07</v>
      </c>
      <c r="NV81">
        <v>36</v>
      </c>
      <c r="NY81" t="s">
        <v>101</v>
      </c>
      <c r="NZ81">
        <v>4.87</v>
      </c>
      <c r="OA81">
        <v>0.84099999999999997</v>
      </c>
      <c r="OB81">
        <v>2.746</v>
      </c>
      <c r="OC81">
        <v>4.4050000000000002</v>
      </c>
      <c r="OD81">
        <v>4.9960000000000004</v>
      </c>
      <c r="OE81">
        <v>5.4859999999999998</v>
      </c>
      <c r="OF81">
        <v>6.0890000000000004</v>
      </c>
      <c r="OG81">
        <v>1.137</v>
      </c>
      <c r="OH81">
        <v>130</v>
      </c>
      <c r="OP81" t="s">
        <v>101</v>
      </c>
      <c r="OQ81">
        <v>4.6959999999999997</v>
      </c>
      <c r="OR81">
        <v>0.755</v>
      </c>
      <c r="OS81">
        <v>3.125</v>
      </c>
      <c r="OT81">
        <v>4.2190000000000003</v>
      </c>
      <c r="OU81">
        <v>4.798</v>
      </c>
      <c r="OV81">
        <v>5.2130000000000001</v>
      </c>
      <c r="OW81">
        <v>5.992</v>
      </c>
      <c r="OX81">
        <v>1.091</v>
      </c>
      <c r="OY81">
        <v>39</v>
      </c>
      <c r="PB81" t="s">
        <v>101</v>
      </c>
      <c r="PC81">
        <v>3.4260000000000002</v>
      </c>
      <c r="PD81">
        <v>0.75800000000000001</v>
      </c>
      <c r="PE81">
        <v>1.7989999999999999</v>
      </c>
      <c r="PF81">
        <v>2.9540000000000002</v>
      </c>
      <c r="PG81">
        <v>3.5209999999999999</v>
      </c>
      <c r="PH81">
        <v>3.9729999999999999</v>
      </c>
      <c r="PI81">
        <v>4.6879999999999997</v>
      </c>
      <c r="PJ81">
        <v>1.006</v>
      </c>
      <c r="PK81">
        <v>370</v>
      </c>
      <c r="PN81" t="s">
        <v>101</v>
      </c>
      <c r="PO81">
        <v>3.3839999999999999</v>
      </c>
      <c r="PP81">
        <v>0.871</v>
      </c>
      <c r="PQ81">
        <v>1.4239999999999999</v>
      </c>
      <c r="PR81">
        <v>2.859</v>
      </c>
      <c r="PS81">
        <v>3.4710000000000001</v>
      </c>
      <c r="PT81">
        <v>4.0359999999999996</v>
      </c>
      <c r="PU81">
        <v>4.7430000000000003</v>
      </c>
      <c r="PV81">
        <v>1.046</v>
      </c>
      <c r="PW81">
        <v>49</v>
      </c>
      <c r="QA81" t="s">
        <v>101</v>
      </c>
      <c r="QB81">
        <v>4.75</v>
      </c>
      <c r="QC81">
        <v>0.29899999999999999</v>
      </c>
      <c r="QD81">
        <v>4.0780000000000003</v>
      </c>
      <c r="QE81">
        <v>4.5659999999999998</v>
      </c>
      <c r="QF81">
        <v>4.7789999999999999</v>
      </c>
      <c r="QG81">
        <v>4.9610000000000003</v>
      </c>
      <c r="QH81">
        <v>5.26</v>
      </c>
      <c r="QI81">
        <v>1.04</v>
      </c>
      <c r="QJ81">
        <v>57</v>
      </c>
      <c r="QL81">
        <f t="shared" si="4"/>
        <v>-1.3660000000000001</v>
      </c>
    </row>
    <row r="82" spans="1:454">
      <c r="A82" t="s">
        <v>102</v>
      </c>
      <c r="B82">
        <v>3.83</v>
      </c>
      <c r="C82">
        <v>0.98299999999999998</v>
      </c>
      <c r="D82">
        <v>1.7969999999999999</v>
      </c>
      <c r="E82">
        <v>3.24</v>
      </c>
      <c r="F82">
        <v>3.9119999999999999</v>
      </c>
      <c r="G82">
        <v>4.4859999999999998</v>
      </c>
      <c r="H82">
        <v>5.6529999999999996</v>
      </c>
      <c r="I82">
        <v>1.0629999999999999</v>
      </c>
      <c r="J82">
        <v>88</v>
      </c>
      <c r="O82" t="s">
        <v>102</v>
      </c>
      <c r="P82">
        <v>3.7749999999999999</v>
      </c>
      <c r="Q82">
        <v>1.5109999999999999</v>
      </c>
      <c r="R82">
        <v>0.97599999999999998</v>
      </c>
      <c r="S82">
        <v>2.7010000000000001</v>
      </c>
      <c r="T82">
        <v>3.69</v>
      </c>
      <c r="U82">
        <v>4.8540000000000001</v>
      </c>
      <c r="V82">
        <v>6.8380000000000001</v>
      </c>
      <c r="W82">
        <v>1.0069999999999999</v>
      </c>
      <c r="X82">
        <v>320</v>
      </c>
      <c r="AC82" t="s">
        <v>102</v>
      </c>
      <c r="AD82">
        <v>4.9939999999999998</v>
      </c>
      <c r="AE82">
        <v>0.94099999999999995</v>
      </c>
      <c r="AF82">
        <v>3.0979999999999999</v>
      </c>
      <c r="AG82">
        <v>4.3609999999999998</v>
      </c>
      <c r="AH82">
        <v>5.0049999999999999</v>
      </c>
      <c r="AI82">
        <v>5.6429999999999998</v>
      </c>
      <c r="AJ82">
        <v>6.77</v>
      </c>
      <c r="AK82">
        <v>1.0169999999999999</v>
      </c>
      <c r="AL82">
        <v>140</v>
      </c>
      <c r="AQ82" t="s">
        <v>102</v>
      </c>
      <c r="AR82">
        <v>5.125</v>
      </c>
      <c r="AS82">
        <v>0.874</v>
      </c>
      <c r="AT82">
        <v>3.355</v>
      </c>
      <c r="AU82">
        <v>4.5510000000000002</v>
      </c>
      <c r="AV82">
        <v>5.1349999999999998</v>
      </c>
      <c r="AW82">
        <v>5.7130000000000001</v>
      </c>
      <c r="AX82">
        <v>6.819</v>
      </c>
      <c r="AY82">
        <v>1.02</v>
      </c>
      <c r="AZ82">
        <v>130</v>
      </c>
      <c r="BE82" t="s">
        <v>102</v>
      </c>
      <c r="BF82">
        <v>5.6929999999999996</v>
      </c>
      <c r="BG82">
        <v>0.70699999999999996</v>
      </c>
      <c r="BH82">
        <v>4.33</v>
      </c>
      <c r="BI82">
        <v>5.1970000000000001</v>
      </c>
      <c r="BJ82">
        <v>5.6890000000000001</v>
      </c>
      <c r="BK82">
        <v>6.1870000000000003</v>
      </c>
      <c r="BL82">
        <v>7.0759999999999996</v>
      </c>
      <c r="BM82">
        <v>1.002</v>
      </c>
      <c r="BN82">
        <v>1600</v>
      </c>
      <c r="BS82" t="s">
        <v>102</v>
      </c>
      <c r="BT82">
        <v>4.6349999999999998</v>
      </c>
      <c r="BU82">
        <v>0.997</v>
      </c>
      <c r="BV82">
        <v>2.6549999999999998</v>
      </c>
      <c r="BW82">
        <v>3.96</v>
      </c>
      <c r="BX82">
        <v>4.6379999999999999</v>
      </c>
      <c r="BY82">
        <v>5.3220000000000001</v>
      </c>
      <c r="BZ82">
        <v>6.5359999999999996</v>
      </c>
      <c r="CA82">
        <v>1.02</v>
      </c>
      <c r="CB82">
        <v>120</v>
      </c>
      <c r="CG82" t="s">
        <v>102</v>
      </c>
      <c r="CH82">
        <v>5.5960000000000001</v>
      </c>
      <c r="CI82">
        <v>0.74099999999999999</v>
      </c>
      <c r="CJ82">
        <v>4.1639999999999997</v>
      </c>
      <c r="CK82">
        <v>5.0880000000000001</v>
      </c>
      <c r="CL82">
        <v>5.5810000000000004</v>
      </c>
      <c r="CM82">
        <v>6.1</v>
      </c>
      <c r="CN82">
        <v>7.0579999999999998</v>
      </c>
      <c r="CO82">
        <v>1.0129999999999999</v>
      </c>
      <c r="CP82">
        <v>170</v>
      </c>
      <c r="CU82" t="s">
        <v>102</v>
      </c>
      <c r="CV82">
        <v>5.327</v>
      </c>
      <c r="CW82">
        <v>0.78</v>
      </c>
      <c r="CX82">
        <v>3.8330000000000002</v>
      </c>
      <c r="CY82">
        <v>4.8339999999999996</v>
      </c>
      <c r="CZ82">
        <v>5.31</v>
      </c>
      <c r="DA82">
        <v>5.843</v>
      </c>
      <c r="DB82">
        <v>6.8550000000000004</v>
      </c>
      <c r="DC82">
        <v>1.0089999999999999</v>
      </c>
      <c r="DD82">
        <v>260</v>
      </c>
      <c r="DI82" t="s">
        <v>102</v>
      </c>
      <c r="DJ82">
        <v>4.798</v>
      </c>
      <c r="DK82">
        <v>0.96599999999999997</v>
      </c>
      <c r="DL82">
        <v>2.9129999999999998</v>
      </c>
      <c r="DM82">
        <v>4.1529999999999996</v>
      </c>
      <c r="DN82">
        <v>4.8280000000000003</v>
      </c>
      <c r="DO82">
        <v>5.45</v>
      </c>
      <c r="DP82">
        <v>6.7160000000000002</v>
      </c>
      <c r="DQ82">
        <v>1.0129999999999999</v>
      </c>
      <c r="DR82">
        <v>210</v>
      </c>
      <c r="DY82" t="s">
        <v>102</v>
      </c>
      <c r="DZ82">
        <v>5.3449999999999998</v>
      </c>
      <c r="EA82">
        <v>0.90400000000000003</v>
      </c>
      <c r="EB82">
        <v>3.4849999999999999</v>
      </c>
      <c r="EC82">
        <v>4.7629999999999999</v>
      </c>
      <c r="ED82">
        <v>5.3849999999999998</v>
      </c>
      <c r="EE82">
        <v>5.9749999999999996</v>
      </c>
      <c r="EF82">
        <v>6.9889999999999999</v>
      </c>
      <c r="EG82">
        <v>1.004</v>
      </c>
      <c r="EH82">
        <v>3000</v>
      </c>
      <c r="EK82" t="s">
        <v>102</v>
      </c>
      <c r="EL82">
        <v>5.2270000000000003</v>
      </c>
      <c r="EM82">
        <v>0.99</v>
      </c>
      <c r="EN82">
        <v>3.3119999999999998</v>
      </c>
      <c r="EO82">
        <v>4.524</v>
      </c>
      <c r="EP82">
        <v>5.1970000000000001</v>
      </c>
      <c r="EQ82">
        <v>5.9539999999999997</v>
      </c>
      <c r="ER82">
        <v>7.1219999999999999</v>
      </c>
      <c r="ES82">
        <v>1.0029999999999999</v>
      </c>
      <c r="ET82">
        <v>700</v>
      </c>
      <c r="EY82" t="s">
        <v>102</v>
      </c>
      <c r="EZ82">
        <v>5.6079999999999997</v>
      </c>
      <c r="FA82">
        <v>0.94099999999999995</v>
      </c>
      <c r="FB82">
        <v>3.6269999999999998</v>
      </c>
      <c r="FC82">
        <v>4.968</v>
      </c>
      <c r="FD82">
        <v>5.65</v>
      </c>
      <c r="FE82">
        <v>6.3170000000000002</v>
      </c>
      <c r="FF82">
        <v>7.2210000000000001</v>
      </c>
      <c r="FG82">
        <v>1.002</v>
      </c>
      <c r="FH82">
        <v>1600</v>
      </c>
      <c r="GA82" t="s">
        <v>102</v>
      </c>
      <c r="GB82">
        <v>5.4989999999999997</v>
      </c>
      <c r="GC82">
        <v>0.64700000000000002</v>
      </c>
      <c r="GD82">
        <v>4.306</v>
      </c>
      <c r="GE82">
        <v>5.0460000000000003</v>
      </c>
      <c r="GF82">
        <v>5.4640000000000004</v>
      </c>
      <c r="GG82">
        <v>5.9210000000000003</v>
      </c>
      <c r="GH82">
        <v>6.8440000000000003</v>
      </c>
      <c r="GI82">
        <v>1.0009999999999999</v>
      </c>
      <c r="GJ82">
        <v>3000</v>
      </c>
      <c r="GO82" t="s">
        <v>102</v>
      </c>
      <c r="GP82">
        <v>5.58</v>
      </c>
      <c r="GQ82">
        <v>0.94</v>
      </c>
      <c r="GR82">
        <v>3.5019999999999998</v>
      </c>
      <c r="GS82">
        <v>4.97</v>
      </c>
      <c r="GT82">
        <v>5.6379999999999999</v>
      </c>
      <c r="GU82">
        <v>6.2530000000000001</v>
      </c>
      <c r="GV82">
        <v>7.1970000000000001</v>
      </c>
      <c r="GW82">
        <v>1.0009999999999999</v>
      </c>
      <c r="GX82">
        <v>3000</v>
      </c>
      <c r="HC82" t="s">
        <v>102</v>
      </c>
      <c r="HD82">
        <v>5.7859999999999996</v>
      </c>
      <c r="HE82">
        <v>0.84099999999999997</v>
      </c>
      <c r="HF82">
        <v>4.0919999999999996</v>
      </c>
      <c r="HG82">
        <v>5.2220000000000004</v>
      </c>
      <c r="HH82">
        <v>5.82</v>
      </c>
      <c r="HI82">
        <v>6.3970000000000002</v>
      </c>
      <c r="HJ82">
        <v>7.23</v>
      </c>
      <c r="HK82">
        <v>1.0009999999999999</v>
      </c>
      <c r="HL82">
        <v>3000</v>
      </c>
      <c r="HP82" s="7"/>
      <c r="HQ82" s="7" t="s">
        <v>102</v>
      </c>
      <c r="HR82" s="7">
        <v>5.89</v>
      </c>
      <c r="HS82" s="7">
        <v>0.74299999999999999</v>
      </c>
      <c r="HT82" s="7">
        <v>4.3479999999999999</v>
      </c>
      <c r="HU82" s="7">
        <v>5.3869999999999996</v>
      </c>
      <c r="HV82" s="7">
        <v>5.91</v>
      </c>
      <c r="HW82" s="7">
        <v>6.4260000000000002</v>
      </c>
      <c r="HX82" s="7">
        <v>7.2309999999999999</v>
      </c>
      <c r="HY82" s="7">
        <v>1.0029999999999999</v>
      </c>
      <c r="HZ82" s="7">
        <v>1500</v>
      </c>
      <c r="IA82" s="7"/>
      <c r="IE82" t="s">
        <v>102</v>
      </c>
      <c r="IF82">
        <v>5.6029999999999998</v>
      </c>
      <c r="IG82">
        <v>0.64900000000000002</v>
      </c>
      <c r="IH82">
        <v>4.343</v>
      </c>
      <c r="II82">
        <v>5.1790000000000003</v>
      </c>
      <c r="IJ82">
        <v>5.5839999999999996</v>
      </c>
      <c r="IK82">
        <v>6.024</v>
      </c>
      <c r="IL82">
        <v>6.8920000000000003</v>
      </c>
      <c r="IM82">
        <v>1.028</v>
      </c>
      <c r="IN82">
        <v>130</v>
      </c>
      <c r="IS82" t="s">
        <v>102</v>
      </c>
      <c r="IT82">
        <v>5.532</v>
      </c>
      <c r="IU82">
        <v>0.71199999999999997</v>
      </c>
      <c r="IV82">
        <v>4.0250000000000004</v>
      </c>
      <c r="IW82">
        <v>5.0860000000000003</v>
      </c>
      <c r="IX82">
        <v>5.54</v>
      </c>
      <c r="IY82">
        <v>5.98</v>
      </c>
      <c r="IZ82">
        <v>6.931</v>
      </c>
      <c r="JA82">
        <v>1.0129999999999999</v>
      </c>
      <c r="JB82">
        <v>280</v>
      </c>
      <c r="JF82" t="s">
        <v>102</v>
      </c>
      <c r="JG82">
        <v>5.65</v>
      </c>
      <c r="JH82">
        <v>0.73499999999999999</v>
      </c>
      <c r="JI82">
        <v>4.1210000000000004</v>
      </c>
      <c r="JJ82">
        <v>5.1790000000000003</v>
      </c>
      <c r="JK82">
        <v>5.6449999999999996</v>
      </c>
      <c r="JL82">
        <v>6.1580000000000004</v>
      </c>
      <c r="JM82">
        <v>7.0449999999999999</v>
      </c>
      <c r="JN82">
        <v>1.004</v>
      </c>
      <c r="JO82">
        <v>850</v>
      </c>
      <c r="JT82" t="s">
        <v>102</v>
      </c>
      <c r="JU82">
        <v>5.6180000000000003</v>
      </c>
      <c r="JV82">
        <v>0.76500000000000001</v>
      </c>
      <c r="JW82">
        <v>4.0919999999999996</v>
      </c>
      <c r="JX82">
        <v>5.0999999999999996</v>
      </c>
      <c r="JY82">
        <v>5.601</v>
      </c>
      <c r="JZ82">
        <v>6.1280000000000001</v>
      </c>
      <c r="KA82">
        <v>7.1230000000000002</v>
      </c>
      <c r="KB82">
        <v>1.0029999999999999</v>
      </c>
      <c r="KC82">
        <v>920</v>
      </c>
      <c r="KH82" t="s">
        <v>102</v>
      </c>
      <c r="KI82">
        <v>5.8170000000000002</v>
      </c>
      <c r="KJ82">
        <v>0.73699999999999999</v>
      </c>
      <c r="KK82">
        <v>4.3659999999999997</v>
      </c>
      <c r="KL82">
        <v>5.31</v>
      </c>
      <c r="KM82">
        <v>5.8150000000000004</v>
      </c>
      <c r="KN82">
        <v>6.3460000000000001</v>
      </c>
      <c r="KO82">
        <v>7.1680000000000001</v>
      </c>
      <c r="KP82">
        <v>1.008</v>
      </c>
      <c r="KQ82">
        <v>650</v>
      </c>
      <c r="KR82">
        <f t="shared" si="3"/>
        <v>335.96265232818479</v>
      </c>
      <c r="KV82" t="s">
        <v>102</v>
      </c>
      <c r="KW82">
        <v>5.3470000000000004</v>
      </c>
      <c r="KX82">
        <v>0.68100000000000005</v>
      </c>
      <c r="KY82">
        <v>4.016</v>
      </c>
      <c r="KZ82">
        <v>4.8810000000000002</v>
      </c>
      <c r="LA82">
        <v>5.3559999999999999</v>
      </c>
      <c r="LB82">
        <v>5.8289999999999997</v>
      </c>
      <c r="LC82">
        <v>6.61</v>
      </c>
      <c r="LD82">
        <v>1.0740000000000001</v>
      </c>
      <c r="LE82">
        <v>33</v>
      </c>
      <c r="LJ82" t="s">
        <v>125</v>
      </c>
      <c r="LK82">
        <v>0.128</v>
      </c>
      <c r="LL82">
        <v>0.03</v>
      </c>
      <c r="LM82">
        <v>8.3000000000000004E-2</v>
      </c>
      <c r="LN82">
        <v>0.106</v>
      </c>
      <c r="LO82">
        <v>0.124</v>
      </c>
      <c r="LP82">
        <v>0.14499999999999999</v>
      </c>
      <c r="LQ82">
        <v>0.19900000000000001</v>
      </c>
      <c r="LR82">
        <v>1.002</v>
      </c>
      <c r="LS82">
        <v>1900</v>
      </c>
      <c r="LX82" t="s">
        <v>125</v>
      </c>
      <c r="LY82">
        <v>0.35299999999999998</v>
      </c>
      <c r="LZ82">
        <v>0.161</v>
      </c>
      <c r="MA82">
        <v>0.16500000000000001</v>
      </c>
      <c r="MB82">
        <v>0.24</v>
      </c>
      <c r="MC82">
        <v>0.30399999999999999</v>
      </c>
      <c r="MD82">
        <v>0.42299999999999999</v>
      </c>
      <c r="ME82">
        <v>0.81100000000000005</v>
      </c>
      <c r="MF82">
        <v>1.1439999999999999</v>
      </c>
      <c r="MG82">
        <v>19</v>
      </c>
      <c r="ML82" t="s">
        <v>102</v>
      </c>
      <c r="MM82">
        <v>5.1619999999999999</v>
      </c>
      <c r="MN82">
        <v>1.016</v>
      </c>
      <c r="MO82">
        <v>2.9079999999999999</v>
      </c>
      <c r="MP82">
        <v>4.5259999999999998</v>
      </c>
      <c r="MQ82">
        <v>5.2729999999999997</v>
      </c>
      <c r="MR82">
        <v>5.9169999999999998</v>
      </c>
      <c r="MS82">
        <v>6.7850000000000001</v>
      </c>
      <c r="MT82">
        <v>1.085</v>
      </c>
      <c r="MU82">
        <v>40</v>
      </c>
      <c r="MZ82" t="s">
        <v>102</v>
      </c>
      <c r="NA82">
        <v>5.298</v>
      </c>
      <c r="NB82">
        <v>0.82499999999999996</v>
      </c>
      <c r="NC82">
        <v>3.617</v>
      </c>
      <c r="ND82">
        <v>4.75</v>
      </c>
      <c r="NE82">
        <v>5.3319999999999999</v>
      </c>
      <c r="NF82">
        <v>5.9039999999999999</v>
      </c>
      <c r="NG82">
        <v>6.7610000000000001</v>
      </c>
      <c r="NH82">
        <v>1.083</v>
      </c>
      <c r="NI82">
        <v>48</v>
      </c>
      <c r="NM82" t="s">
        <v>102</v>
      </c>
      <c r="NN82">
        <v>4.2290000000000001</v>
      </c>
      <c r="NO82">
        <v>0.871</v>
      </c>
      <c r="NP82">
        <v>2.3140000000000001</v>
      </c>
      <c r="NQ82">
        <v>3.6469999999999998</v>
      </c>
      <c r="NR82">
        <v>4.2469999999999999</v>
      </c>
      <c r="NS82">
        <v>4.891</v>
      </c>
      <c r="NT82">
        <v>5.7670000000000003</v>
      </c>
      <c r="NU82">
        <v>1.07</v>
      </c>
      <c r="NV82">
        <v>37</v>
      </c>
      <c r="NY82" t="s">
        <v>102</v>
      </c>
      <c r="NZ82">
        <v>4.8479999999999999</v>
      </c>
      <c r="OA82">
        <v>0.84299999999999997</v>
      </c>
      <c r="OB82">
        <v>2.7280000000000002</v>
      </c>
      <c r="OC82">
        <v>4.38</v>
      </c>
      <c r="OD82">
        <v>4.9710000000000001</v>
      </c>
      <c r="OE82">
        <v>5.4619999999999997</v>
      </c>
      <c r="OF82">
        <v>6.0830000000000002</v>
      </c>
      <c r="OG82">
        <v>1.1359999999999999</v>
      </c>
      <c r="OH82">
        <v>130</v>
      </c>
      <c r="OP82" t="s">
        <v>102</v>
      </c>
      <c r="OQ82">
        <v>4.6769999999999996</v>
      </c>
      <c r="OR82">
        <v>0.76500000000000001</v>
      </c>
      <c r="OS82">
        <v>3.0910000000000002</v>
      </c>
      <c r="OT82">
        <v>4.1929999999999996</v>
      </c>
      <c r="OU82">
        <v>4.7759999999999998</v>
      </c>
      <c r="OV82">
        <v>5.1920000000000002</v>
      </c>
      <c r="OW82">
        <v>6.0190000000000001</v>
      </c>
      <c r="OX82">
        <v>1.089</v>
      </c>
      <c r="OY82">
        <v>40</v>
      </c>
      <c r="PB82" t="s">
        <v>102</v>
      </c>
      <c r="PC82">
        <v>3.3450000000000002</v>
      </c>
      <c r="PD82">
        <v>0.76600000000000001</v>
      </c>
      <c r="PE82">
        <v>1.704</v>
      </c>
      <c r="PF82">
        <v>2.8660000000000001</v>
      </c>
      <c r="PG82">
        <v>3.43</v>
      </c>
      <c r="PH82">
        <v>3.903</v>
      </c>
      <c r="PI82">
        <v>4.6189999999999998</v>
      </c>
      <c r="PJ82">
        <v>1.006</v>
      </c>
      <c r="PK82">
        <v>380</v>
      </c>
      <c r="PN82" t="s">
        <v>102</v>
      </c>
      <c r="PO82">
        <v>3.31</v>
      </c>
      <c r="PP82">
        <v>0.878</v>
      </c>
      <c r="PQ82">
        <v>1.333</v>
      </c>
      <c r="PR82">
        <v>2.7759999999999998</v>
      </c>
      <c r="PS82">
        <v>3.4049999999999998</v>
      </c>
      <c r="PT82">
        <v>3.9670000000000001</v>
      </c>
      <c r="PU82">
        <v>4.6900000000000004</v>
      </c>
      <c r="PV82">
        <v>1.046</v>
      </c>
      <c r="PW82">
        <v>49</v>
      </c>
      <c r="QA82" t="s">
        <v>102</v>
      </c>
      <c r="QB82">
        <v>4.4180000000000001</v>
      </c>
      <c r="QC82">
        <v>0.308</v>
      </c>
      <c r="QD82">
        <v>3.7440000000000002</v>
      </c>
      <c r="QE82">
        <v>4.2220000000000004</v>
      </c>
      <c r="QF82">
        <v>4.4480000000000004</v>
      </c>
      <c r="QG82">
        <v>4.6340000000000003</v>
      </c>
      <c r="QH82">
        <v>4.95</v>
      </c>
      <c r="QI82">
        <v>1.032</v>
      </c>
      <c r="QJ82">
        <v>75</v>
      </c>
      <c r="QL82">
        <f t="shared" si="4"/>
        <v>-1.1080000000000001</v>
      </c>
    </row>
    <row r="83" spans="1:454">
      <c r="A83" t="s">
        <v>103</v>
      </c>
      <c r="B83">
        <v>4.633</v>
      </c>
      <c r="C83">
        <v>0.97</v>
      </c>
      <c r="D83">
        <v>2.6509999999999998</v>
      </c>
      <c r="E83">
        <v>4.0049999999999999</v>
      </c>
      <c r="F83">
        <v>4.6970000000000001</v>
      </c>
      <c r="G83">
        <v>5.2649999999999997</v>
      </c>
      <c r="H83">
        <v>6.4260000000000002</v>
      </c>
      <c r="I83">
        <v>1.147</v>
      </c>
      <c r="J83">
        <v>24</v>
      </c>
      <c r="O83" t="s">
        <v>103</v>
      </c>
      <c r="P83">
        <v>3.8570000000000002</v>
      </c>
      <c r="Q83">
        <v>1.3380000000000001</v>
      </c>
      <c r="R83">
        <v>1.3620000000000001</v>
      </c>
      <c r="S83">
        <v>2.9319999999999999</v>
      </c>
      <c r="T83">
        <v>3.7839999999999998</v>
      </c>
      <c r="U83">
        <v>4.742</v>
      </c>
      <c r="V83">
        <v>6.6390000000000002</v>
      </c>
      <c r="W83">
        <v>1.014</v>
      </c>
      <c r="X83">
        <v>190</v>
      </c>
      <c r="AC83" t="s">
        <v>103</v>
      </c>
      <c r="AD83">
        <v>5.5069999999999997</v>
      </c>
      <c r="AE83">
        <v>0.97899999999999998</v>
      </c>
      <c r="AF83">
        <v>3.5369999999999999</v>
      </c>
      <c r="AG83">
        <v>4.8230000000000004</v>
      </c>
      <c r="AH83">
        <v>5.5010000000000003</v>
      </c>
      <c r="AI83">
        <v>6.2460000000000004</v>
      </c>
      <c r="AJ83">
        <v>7.2530000000000001</v>
      </c>
      <c r="AK83">
        <v>1.0209999999999999</v>
      </c>
      <c r="AL83">
        <v>100</v>
      </c>
      <c r="AQ83" t="s">
        <v>103</v>
      </c>
      <c r="AR83">
        <v>5.73</v>
      </c>
      <c r="AS83">
        <v>0.90900000000000003</v>
      </c>
      <c r="AT83">
        <v>3.8410000000000002</v>
      </c>
      <c r="AU83">
        <v>5.1120000000000001</v>
      </c>
      <c r="AV83">
        <v>5.7729999999999997</v>
      </c>
      <c r="AW83">
        <v>6.415</v>
      </c>
      <c r="AX83">
        <v>7.282</v>
      </c>
      <c r="AY83">
        <v>1.0149999999999999</v>
      </c>
      <c r="AZ83">
        <v>170</v>
      </c>
      <c r="BE83" t="s">
        <v>103</v>
      </c>
      <c r="BF83">
        <v>6.17</v>
      </c>
      <c r="BG83">
        <v>0.68</v>
      </c>
      <c r="BH83">
        <v>4.7229999999999999</v>
      </c>
      <c r="BI83">
        <v>5.7119999999999997</v>
      </c>
      <c r="BJ83">
        <v>6.2089999999999996</v>
      </c>
      <c r="BK83">
        <v>6.6959999999999997</v>
      </c>
      <c r="BL83">
        <v>7.2789999999999999</v>
      </c>
      <c r="BM83">
        <v>1.006</v>
      </c>
      <c r="BN83">
        <v>350</v>
      </c>
      <c r="BS83" t="s">
        <v>103</v>
      </c>
      <c r="BT83">
        <v>5.1109999999999998</v>
      </c>
      <c r="BU83">
        <v>1.002</v>
      </c>
      <c r="BV83">
        <v>3.262</v>
      </c>
      <c r="BW83">
        <v>4.3849999999999998</v>
      </c>
      <c r="BX83">
        <v>5.0960000000000001</v>
      </c>
      <c r="BY83">
        <v>5.8179999999999996</v>
      </c>
      <c r="BZ83">
        <v>7.0789999999999997</v>
      </c>
      <c r="CA83">
        <v>1.0049999999999999</v>
      </c>
      <c r="CB83">
        <v>430</v>
      </c>
      <c r="CG83" t="s">
        <v>103</v>
      </c>
      <c r="CH83">
        <v>6.008</v>
      </c>
      <c r="CI83">
        <v>0.73</v>
      </c>
      <c r="CJ83">
        <v>4.5460000000000003</v>
      </c>
      <c r="CK83">
        <v>5.4829999999999997</v>
      </c>
      <c r="CL83">
        <v>6.0419999999999998</v>
      </c>
      <c r="CM83">
        <v>6.556</v>
      </c>
      <c r="CN83">
        <v>7.266</v>
      </c>
      <c r="CO83">
        <v>1.002</v>
      </c>
      <c r="CP83">
        <v>1400</v>
      </c>
      <c r="CU83" t="s">
        <v>103</v>
      </c>
      <c r="CV83">
        <v>6.3819999999999997</v>
      </c>
      <c r="CW83">
        <v>0.84</v>
      </c>
      <c r="CX83">
        <v>4.5049999999999999</v>
      </c>
      <c r="CY83">
        <v>5.835</v>
      </c>
      <c r="CZ83">
        <v>6.5339999999999998</v>
      </c>
      <c r="DA83">
        <v>7.1230000000000002</v>
      </c>
      <c r="DB83">
        <v>7.3789999999999996</v>
      </c>
      <c r="DC83">
        <v>1.024</v>
      </c>
      <c r="DD83">
        <v>120</v>
      </c>
      <c r="DI83" t="s">
        <v>103</v>
      </c>
      <c r="DJ83">
        <v>5.4109999999999996</v>
      </c>
      <c r="DK83">
        <v>1.0169999999999999</v>
      </c>
      <c r="DL83">
        <v>3.492</v>
      </c>
      <c r="DM83">
        <v>4.66</v>
      </c>
      <c r="DN83">
        <v>5.4290000000000003</v>
      </c>
      <c r="DO83">
        <v>6.1669999999999998</v>
      </c>
      <c r="DP83">
        <v>7.2649999999999997</v>
      </c>
      <c r="DQ83">
        <v>1.0049999999999999</v>
      </c>
      <c r="DR83">
        <v>620</v>
      </c>
      <c r="DY83" t="s">
        <v>103</v>
      </c>
      <c r="DZ83">
        <v>5.7389999999999999</v>
      </c>
      <c r="EA83">
        <v>0.97499999999999998</v>
      </c>
      <c r="EB83">
        <v>3.6720000000000002</v>
      </c>
      <c r="EC83">
        <v>5.0750000000000002</v>
      </c>
      <c r="ED83">
        <v>5.8070000000000004</v>
      </c>
      <c r="EE83">
        <v>6.5</v>
      </c>
      <c r="EF83">
        <v>7.2960000000000003</v>
      </c>
      <c r="EG83">
        <v>1.0049999999999999</v>
      </c>
      <c r="EH83">
        <v>700</v>
      </c>
      <c r="EK83" t="s">
        <v>103</v>
      </c>
      <c r="EL83">
        <v>5.7149999999999999</v>
      </c>
      <c r="EM83">
        <v>0.94299999999999995</v>
      </c>
      <c r="EN83">
        <v>3.7639999999999998</v>
      </c>
      <c r="EO83">
        <v>5.0549999999999997</v>
      </c>
      <c r="EP83">
        <v>5.8280000000000003</v>
      </c>
      <c r="EQ83">
        <v>6.4320000000000004</v>
      </c>
      <c r="ER83">
        <v>7.2480000000000002</v>
      </c>
      <c r="ES83">
        <v>1.0049999999999999</v>
      </c>
      <c r="ET83">
        <v>430</v>
      </c>
      <c r="EY83" t="s">
        <v>103</v>
      </c>
      <c r="EZ83">
        <v>5.5670000000000002</v>
      </c>
      <c r="FA83">
        <v>0.97799999999999998</v>
      </c>
      <c r="FB83">
        <v>3.508</v>
      </c>
      <c r="FC83">
        <v>4.9119999999999999</v>
      </c>
      <c r="FD83">
        <v>5.617</v>
      </c>
      <c r="FE83">
        <v>6.2960000000000003</v>
      </c>
      <c r="FF83">
        <v>7.2320000000000002</v>
      </c>
      <c r="FG83">
        <v>1.004</v>
      </c>
      <c r="FH83">
        <v>550</v>
      </c>
      <c r="GA83" t="s">
        <v>103</v>
      </c>
      <c r="GB83">
        <v>5.4669999999999996</v>
      </c>
      <c r="GC83">
        <v>0.56200000000000006</v>
      </c>
      <c r="GD83">
        <v>4.3760000000000003</v>
      </c>
      <c r="GE83">
        <v>5.0789999999999997</v>
      </c>
      <c r="GF83">
        <v>5.4530000000000003</v>
      </c>
      <c r="GG83">
        <v>5.827</v>
      </c>
      <c r="GH83">
        <v>6.62</v>
      </c>
      <c r="GI83">
        <v>1.0049999999999999</v>
      </c>
      <c r="GJ83">
        <v>510</v>
      </c>
      <c r="GO83" t="s">
        <v>103</v>
      </c>
      <c r="GP83">
        <v>5.6390000000000002</v>
      </c>
      <c r="GQ83">
        <v>0.95</v>
      </c>
      <c r="GR83">
        <v>3.5990000000000002</v>
      </c>
      <c r="GS83">
        <v>5.016</v>
      </c>
      <c r="GT83">
        <v>5.7089999999999996</v>
      </c>
      <c r="GU83">
        <v>6.35</v>
      </c>
      <c r="GV83">
        <v>7.2329999999999997</v>
      </c>
      <c r="GW83">
        <v>1.0009999999999999</v>
      </c>
      <c r="GX83">
        <v>3000</v>
      </c>
      <c r="HC83" t="s">
        <v>103</v>
      </c>
      <c r="HD83">
        <v>6.0670000000000002</v>
      </c>
      <c r="HE83">
        <v>0.81</v>
      </c>
      <c r="HF83">
        <v>4.2930000000000001</v>
      </c>
      <c r="HG83">
        <v>5.5439999999999996</v>
      </c>
      <c r="HH83">
        <v>6.1559999999999997</v>
      </c>
      <c r="HI83">
        <v>6.6920000000000002</v>
      </c>
      <c r="HJ83">
        <v>7.3019999999999996</v>
      </c>
      <c r="HK83">
        <v>1.01</v>
      </c>
      <c r="HL83">
        <v>260</v>
      </c>
      <c r="HP83" s="7"/>
      <c r="HQ83" s="7" t="s">
        <v>103</v>
      </c>
      <c r="HR83" s="7">
        <v>6.2080000000000002</v>
      </c>
      <c r="HS83" s="7">
        <v>0.70899999999999996</v>
      </c>
      <c r="HT83" s="7">
        <v>4.6029999999999998</v>
      </c>
      <c r="HU83" s="7">
        <v>5.7569999999999997</v>
      </c>
      <c r="HV83" s="7">
        <v>6.2809999999999997</v>
      </c>
      <c r="HW83" s="7">
        <v>6.7519999999999998</v>
      </c>
      <c r="HX83" s="7">
        <v>7.2949999999999999</v>
      </c>
      <c r="HY83" s="7">
        <v>1.0009999999999999</v>
      </c>
      <c r="HZ83" s="7">
        <v>3000</v>
      </c>
      <c r="IA83" s="7"/>
      <c r="IE83" t="s">
        <v>103</v>
      </c>
      <c r="IF83">
        <v>5.7</v>
      </c>
      <c r="IG83">
        <v>0.63400000000000001</v>
      </c>
      <c r="IH83">
        <v>4.3760000000000003</v>
      </c>
      <c r="II83">
        <v>5.306</v>
      </c>
      <c r="IJ83">
        <v>5.7039999999999997</v>
      </c>
      <c r="IK83">
        <v>6.1050000000000004</v>
      </c>
      <c r="IL83">
        <v>6.9189999999999996</v>
      </c>
      <c r="IM83">
        <v>1.06</v>
      </c>
      <c r="IN83">
        <v>55</v>
      </c>
      <c r="IS83" t="s">
        <v>103</v>
      </c>
      <c r="IT83">
        <v>5.7119999999999997</v>
      </c>
      <c r="IU83">
        <v>0.68700000000000006</v>
      </c>
      <c r="IV83">
        <v>4.1820000000000004</v>
      </c>
      <c r="IW83">
        <v>5.3</v>
      </c>
      <c r="IX83">
        <v>5.7240000000000002</v>
      </c>
      <c r="IY83">
        <v>6.17</v>
      </c>
      <c r="IZ83">
        <v>6.9950000000000001</v>
      </c>
      <c r="JA83">
        <v>1.0249999999999999</v>
      </c>
      <c r="JB83">
        <v>100</v>
      </c>
      <c r="JF83" t="s">
        <v>103</v>
      </c>
      <c r="JG83">
        <v>5.923</v>
      </c>
      <c r="JH83">
        <v>0.73799999999999999</v>
      </c>
      <c r="JI83">
        <v>4.3120000000000003</v>
      </c>
      <c r="JJ83">
        <v>5.4480000000000004</v>
      </c>
      <c r="JK83">
        <v>5.952</v>
      </c>
      <c r="JL83">
        <v>6.4459999999999997</v>
      </c>
      <c r="JM83">
        <v>7.2480000000000002</v>
      </c>
      <c r="JN83">
        <v>1.0029999999999999</v>
      </c>
      <c r="JO83">
        <v>970</v>
      </c>
      <c r="JT83" t="s">
        <v>103</v>
      </c>
      <c r="JU83">
        <v>5.8769999999999998</v>
      </c>
      <c r="JV83">
        <v>0.745</v>
      </c>
      <c r="JW83">
        <v>4.3550000000000004</v>
      </c>
      <c r="JX83">
        <v>5.3730000000000002</v>
      </c>
      <c r="JY83">
        <v>5.883</v>
      </c>
      <c r="JZ83">
        <v>6.4279999999999999</v>
      </c>
      <c r="KA83">
        <v>7.2149999999999999</v>
      </c>
      <c r="KB83">
        <v>1.004</v>
      </c>
      <c r="KC83">
        <v>510</v>
      </c>
      <c r="KH83" t="s">
        <v>103</v>
      </c>
      <c r="KI83">
        <v>6.0350000000000001</v>
      </c>
      <c r="KJ83">
        <v>0.72399999999999998</v>
      </c>
      <c r="KK83">
        <v>4.5199999999999996</v>
      </c>
      <c r="KL83">
        <v>5.5640000000000001</v>
      </c>
      <c r="KM83">
        <v>6.048</v>
      </c>
      <c r="KN83">
        <v>6.5750000000000002</v>
      </c>
      <c r="KO83">
        <v>7.2590000000000003</v>
      </c>
      <c r="KP83">
        <v>1.0089999999999999</v>
      </c>
      <c r="KQ83">
        <v>400</v>
      </c>
      <c r="KR83">
        <f t="shared" si="3"/>
        <v>417.79880963832977</v>
      </c>
      <c r="KV83" t="s">
        <v>103</v>
      </c>
      <c r="KW83">
        <v>6.6159999999999997</v>
      </c>
      <c r="KX83">
        <v>0.77100000000000002</v>
      </c>
      <c r="KY83">
        <v>5.1929999999999996</v>
      </c>
      <c r="KZ83">
        <v>6.0730000000000004</v>
      </c>
      <c r="LA83">
        <v>6.6</v>
      </c>
      <c r="LB83">
        <v>7.1630000000000003</v>
      </c>
      <c r="LC83">
        <v>8.1280000000000001</v>
      </c>
      <c r="LD83">
        <v>1.0549999999999999</v>
      </c>
      <c r="LE83">
        <v>41</v>
      </c>
      <c r="LJ83" t="s">
        <v>126</v>
      </c>
      <c r="LK83">
        <v>2.2799999999999998</v>
      </c>
      <c r="LL83">
        <v>0.56399999999999995</v>
      </c>
      <c r="LM83">
        <v>1.2649999999999999</v>
      </c>
      <c r="LN83">
        <v>1.8779999999999999</v>
      </c>
      <c r="LO83">
        <v>2.2530000000000001</v>
      </c>
      <c r="LP83">
        <v>2.6360000000000001</v>
      </c>
      <c r="LQ83">
        <v>3.4620000000000002</v>
      </c>
      <c r="LR83">
        <v>1.0009999999999999</v>
      </c>
      <c r="LS83">
        <v>3000</v>
      </c>
      <c r="LX83" t="s">
        <v>126</v>
      </c>
      <c r="LY83">
        <v>1.831</v>
      </c>
      <c r="LZ83">
        <v>0.45800000000000002</v>
      </c>
      <c r="MA83">
        <v>1.0229999999999999</v>
      </c>
      <c r="MB83">
        <v>1.4970000000000001</v>
      </c>
      <c r="MC83">
        <v>1.804</v>
      </c>
      <c r="MD83">
        <v>2.1240000000000001</v>
      </c>
      <c r="ME83">
        <v>2.8109999999999999</v>
      </c>
      <c r="MF83">
        <v>1.0069999999999999</v>
      </c>
      <c r="MG83">
        <v>310</v>
      </c>
      <c r="ML83" t="s">
        <v>103</v>
      </c>
      <c r="MM83">
        <v>6.274</v>
      </c>
      <c r="MN83">
        <v>1.0609999999999999</v>
      </c>
      <c r="MO83">
        <v>3.9420000000000002</v>
      </c>
      <c r="MP83">
        <v>5.5940000000000003</v>
      </c>
      <c r="MQ83">
        <v>6.375</v>
      </c>
      <c r="MR83">
        <v>7.0640000000000001</v>
      </c>
      <c r="MS83">
        <v>8.0039999999999996</v>
      </c>
      <c r="MT83">
        <v>1.077</v>
      </c>
      <c r="MU83">
        <v>39</v>
      </c>
      <c r="MZ83" t="s">
        <v>103</v>
      </c>
      <c r="NA83">
        <v>6.4139999999999997</v>
      </c>
      <c r="NB83">
        <v>0.85299999999999998</v>
      </c>
      <c r="NC83">
        <v>4.7679999999999998</v>
      </c>
      <c r="ND83">
        <v>5.806</v>
      </c>
      <c r="NE83">
        <v>6.4349999999999996</v>
      </c>
      <c r="NF83">
        <v>7.0529999999999999</v>
      </c>
      <c r="NG83">
        <v>7.9429999999999996</v>
      </c>
      <c r="NH83">
        <v>1.0580000000000001</v>
      </c>
      <c r="NI83">
        <v>51</v>
      </c>
      <c r="NM83" t="s">
        <v>103</v>
      </c>
      <c r="NN83">
        <v>5.0019999999999998</v>
      </c>
      <c r="NO83">
        <v>0.85299999999999998</v>
      </c>
      <c r="NP83">
        <v>3.12</v>
      </c>
      <c r="NQ83">
        <v>4.4400000000000004</v>
      </c>
      <c r="NR83">
        <v>5.0149999999999997</v>
      </c>
      <c r="NS83">
        <v>5.6429999999999998</v>
      </c>
      <c r="NT83">
        <v>6.5229999999999997</v>
      </c>
      <c r="NU83">
        <v>1.069</v>
      </c>
      <c r="NV83">
        <v>36</v>
      </c>
      <c r="NY83" t="s">
        <v>103</v>
      </c>
      <c r="NZ83">
        <v>5.08</v>
      </c>
      <c r="OA83">
        <v>0.85499999999999998</v>
      </c>
      <c r="OB83">
        <v>2.891</v>
      </c>
      <c r="OC83">
        <v>4.6050000000000004</v>
      </c>
      <c r="OD83">
        <v>5.2169999999999996</v>
      </c>
      <c r="OE83">
        <v>5.7089999999999996</v>
      </c>
      <c r="OF83">
        <v>6.2830000000000004</v>
      </c>
      <c r="OG83">
        <v>1.1359999999999999</v>
      </c>
      <c r="OH83">
        <v>140</v>
      </c>
      <c r="OP83" t="s">
        <v>103</v>
      </c>
      <c r="OQ83">
        <v>4.875</v>
      </c>
      <c r="OR83">
        <v>0.71799999999999997</v>
      </c>
      <c r="OS83">
        <v>3.3239999999999998</v>
      </c>
      <c r="OT83">
        <v>4.3890000000000002</v>
      </c>
      <c r="OU83">
        <v>5.0259999999999998</v>
      </c>
      <c r="OV83">
        <v>5.415</v>
      </c>
      <c r="OW83">
        <v>5.9610000000000003</v>
      </c>
      <c r="OX83">
        <v>1.099</v>
      </c>
      <c r="OY83">
        <v>30</v>
      </c>
      <c r="PB83" t="s">
        <v>103</v>
      </c>
      <c r="PC83">
        <v>4.1879999999999997</v>
      </c>
      <c r="PD83">
        <v>0.753</v>
      </c>
      <c r="PE83">
        <v>2.5649999999999999</v>
      </c>
      <c r="PF83">
        <v>3.72</v>
      </c>
      <c r="PG83">
        <v>4.2839999999999998</v>
      </c>
      <c r="PH83">
        <v>4.7359999999999998</v>
      </c>
      <c r="PI83">
        <v>5.4450000000000003</v>
      </c>
      <c r="PJ83">
        <v>1.006</v>
      </c>
      <c r="PK83">
        <v>340</v>
      </c>
      <c r="PN83" t="s">
        <v>103</v>
      </c>
      <c r="PO83">
        <v>3.754</v>
      </c>
      <c r="PP83">
        <v>0.86199999999999999</v>
      </c>
      <c r="PQ83">
        <v>1.8460000000000001</v>
      </c>
      <c r="PR83">
        <v>3.24</v>
      </c>
      <c r="PS83">
        <v>3.8439999999999999</v>
      </c>
      <c r="PT83">
        <v>4.4130000000000003</v>
      </c>
      <c r="PU83">
        <v>5.077</v>
      </c>
      <c r="PV83">
        <v>1.0509999999999999</v>
      </c>
      <c r="PW83">
        <v>61</v>
      </c>
      <c r="QA83" t="s">
        <v>103</v>
      </c>
      <c r="QB83">
        <v>5.0510000000000002</v>
      </c>
      <c r="QC83">
        <v>0.30299999999999999</v>
      </c>
      <c r="QD83">
        <v>4.3630000000000004</v>
      </c>
      <c r="QE83">
        <v>4.8650000000000002</v>
      </c>
      <c r="QF83">
        <v>5.0810000000000004</v>
      </c>
      <c r="QG83">
        <v>5.2619999999999996</v>
      </c>
      <c r="QH83">
        <v>5.5679999999999996</v>
      </c>
      <c r="QI83">
        <v>1.048</v>
      </c>
      <c r="QJ83">
        <v>47</v>
      </c>
      <c r="QL83">
        <f t="shared" si="4"/>
        <v>-1.2970000000000002</v>
      </c>
    </row>
    <row r="84" spans="1:454">
      <c r="A84" t="s">
        <v>104</v>
      </c>
      <c r="B84">
        <v>3.51</v>
      </c>
      <c r="C84">
        <v>1.0389999999999999</v>
      </c>
      <c r="D84">
        <v>1.306</v>
      </c>
      <c r="E84">
        <v>2.919</v>
      </c>
      <c r="F84">
        <v>3.5950000000000002</v>
      </c>
      <c r="G84">
        <v>4.2030000000000003</v>
      </c>
      <c r="H84">
        <v>5.415</v>
      </c>
      <c r="I84">
        <v>1.0209999999999999</v>
      </c>
      <c r="J84">
        <v>140</v>
      </c>
      <c r="O84" t="s">
        <v>104</v>
      </c>
      <c r="P84">
        <v>2.5790000000000002</v>
      </c>
      <c r="Q84">
        <v>1.3919999999999999</v>
      </c>
      <c r="R84">
        <v>0.254</v>
      </c>
      <c r="S84">
        <v>1.5329999999999999</v>
      </c>
      <c r="T84">
        <v>2.4980000000000002</v>
      </c>
      <c r="U84">
        <v>3.496</v>
      </c>
      <c r="V84">
        <v>5.5629999999999997</v>
      </c>
      <c r="W84">
        <v>1.0069999999999999</v>
      </c>
      <c r="X84">
        <v>340</v>
      </c>
      <c r="AC84" t="s">
        <v>104</v>
      </c>
      <c r="AD84">
        <v>4.3520000000000003</v>
      </c>
      <c r="AE84">
        <v>0.94399999999999995</v>
      </c>
      <c r="AF84">
        <v>2.4609999999999999</v>
      </c>
      <c r="AG84">
        <v>3.7189999999999999</v>
      </c>
      <c r="AH84">
        <v>4.3550000000000004</v>
      </c>
      <c r="AI84">
        <v>4.992</v>
      </c>
      <c r="AJ84">
        <v>6.1749999999999998</v>
      </c>
      <c r="AK84">
        <v>1.0129999999999999</v>
      </c>
      <c r="AL84">
        <v>160</v>
      </c>
      <c r="AQ84" t="s">
        <v>104</v>
      </c>
      <c r="AR84">
        <v>4.5970000000000004</v>
      </c>
      <c r="AS84">
        <v>0.88400000000000001</v>
      </c>
      <c r="AT84">
        <v>2.8039999999999998</v>
      </c>
      <c r="AU84">
        <v>4.0140000000000002</v>
      </c>
      <c r="AV84">
        <v>4.601</v>
      </c>
      <c r="AW84">
        <v>5.1909999999999998</v>
      </c>
      <c r="AX84">
        <v>6.2889999999999997</v>
      </c>
      <c r="AY84">
        <v>1.036</v>
      </c>
      <c r="AZ84">
        <v>73</v>
      </c>
      <c r="BE84" t="s">
        <v>104</v>
      </c>
      <c r="BF84">
        <v>5.2359999999999998</v>
      </c>
      <c r="BG84">
        <v>0.70499999999999996</v>
      </c>
      <c r="BH84">
        <v>3.9159999999999999</v>
      </c>
      <c r="BI84">
        <v>4.7549999999999999</v>
      </c>
      <c r="BJ84">
        <v>5.2080000000000002</v>
      </c>
      <c r="BK84">
        <v>5.6840000000000002</v>
      </c>
      <c r="BL84">
        <v>6.7809999999999997</v>
      </c>
      <c r="BM84">
        <v>1.0069999999999999</v>
      </c>
      <c r="BN84">
        <v>310</v>
      </c>
      <c r="BS84" t="s">
        <v>104</v>
      </c>
      <c r="BT84">
        <v>3.972</v>
      </c>
      <c r="BU84">
        <v>0.98799999999999999</v>
      </c>
      <c r="BV84">
        <v>2.0510000000000002</v>
      </c>
      <c r="BW84">
        <v>3.3090000000000002</v>
      </c>
      <c r="BX84">
        <v>3.9609999999999999</v>
      </c>
      <c r="BY84">
        <v>4.63</v>
      </c>
      <c r="BZ84">
        <v>5.9260000000000002</v>
      </c>
      <c r="CA84">
        <v>1.0129999999999999</v>
      </c>
      <c r="CB84">
        <v>180</v>
      </c>
      <c r="CG84" t="s">
        <v>104</v>
      </c>
      <c r="CH84">
        <v>5.0129999999999999</v>
      </c>
      <c r="CI84">
        <v>0.72099999999999997</v>
      </c>
      <c r="CJ84">
        <v>3.6080000000000001</v>
      </c>
      <c r="CK84">
        <v>4.5209999999999999</v>
      </c>
      <c r="CL84">
        <v>5.0069999999999997</v>
      </c>
      <c r="CM84">
        <v>5.4850000000000003</v>
      </c>
      <c r="CN84">
        <v>6.4859999999999998</v>
      </c>
      <c r="CO84">
        <v>1.01</v>
      </c>
      <c r="CP84">
        <v>220</v>
      </c>
      <c r="CU84" t="s">
        <v>104</v>
      </c>
      <c r="CV84">
        <v>4.6840000000000002</v>
      </c>
      <c r="CW84">
        <v>0.81599999999999995</v>
      </c>
      <c r="CX84">
        <v>3.081</v>
      </c>
      <c r="CY84">
        <v>4.157</v>
      </c>
      <c r="CZ84">
        <v>4.657</v>
      </c>
      <c r="DA84">
        <v>5.226</v>
      </c>
      <c r="DB84">
        <v>6.32</v>
      </c>
      <c r="DC84">
        <v>1.0129999999999999</v>
      </c>
      <c r="DD84">
        <v>180</v>
      </c>
      <c r="DI84" t="s">
        <v>104</v>
      </c>
      <c r="DJ84">
        <v>4.194</v>
      </c>
      <c r="DK84">
        <v>0.97599999999999998</v>
      </c>
      <c r="DL84">
        <v>2.2709999999999999</v>
      </c>
      <c r="DM84">
        <v>3.5449999999999999</v>
      </c>
      <c r="DN84">
        <v>4.1859999999999999</v>
      </c>
      <c r="DO84">
        <v>4.8419999999999996</v>
      </c>
      <c r="DP84">
        <v>6.1319999999999997</v>
      </c>
      <c r="DQ84">
        <v>1.012</v>
      </c>
      <c r="DR84">
        <v>250</v>
      </c>
      <c r="DY84" t="s">
        <v>104</v>
      </c>
      <c r="DZ84">
        <v>4.6310000000000002</v>
      </c>
      <c r="EA84">
        <v>0.96399999999999997</v>
      </c>
      <c r="EB84">
        <v>2.63</v>
      </c>
      <c r="EC84">
        <v>3.9969999999999999</v>
      </c>
      <c r="ED84">
        <v>4.6719999999999997</v>
      </c>
      <c r="EE84">
        <v>5.2889999999999997</v>
      </c>
      <c r="EF84">
        <v>6.4029999999999996</v>
      </c>
      <c r="EG84">
        <v>1.0129999999999999</v>
      </c>
      <c r="EH84">
        <v>690</v>
      </c>
      <c r="EK84" t="s">
        <v>104</v>
      </c>
      <c r="EL84">
        <v>3.5590000000000002</v>
      </c>
      <c r="EM84">
        <v>1.1080000000000001</v>
      </c>
      <c r="EN84">
        <v>1.6319999999999999</v>
      </c>
      <c r="EO84">
        <v>2.7879999999999998</v>
      </c>
      <c r="EP84">
        <v>3.4609999999999999</v>
      </c>
      <c r="EQ84">
        <v>4.25</v>
      </c>
      <c r="ER84">
        <v>6.1719999999999997</v>
      </c>
      <c r="ES84">
        <v>1.0129999999999999</v>
      </c>
      <c r="ET84">
        <v>160</v>
      </c>
      <c r="EY84" t="s">
        <v>104</v>
      </c>
      <c r="EZ84">
        <v>4.5110000000000001</v>
      </c>
      <c r="FA84">
        <v>1.012</v>
      </c>
      <c r="FB84">
        <v>2.4820000000000002</v>
      </c>
      <c r="FC84">
        <v>3.871</v>
      </c>
      <c r="FD84">
        <v>4.5279999999999996</v>
      </c>
      <c r="FE84">
        <v>5.2009999999999996</v>
      </c>
      <c r="FF84">
        <v>6.4619999999999997</v>
      </c>
      <c r="FG84">
        <v>1.0009999999999999</v>
      </c>
      <c r="FH84">
        <v>3000</v>
      </c>
      <c r="GA84" t="s">
        <v>104</v>
      </c>
      <c r="GB84">
        <v>4.9249999999999998</v>
      </c>
      <c r="GC84">
        <v>0.59599999999999997</v>
      </c>
      <c r="GD84">
        <v>3.7639999999999998</v>
      </c>
      <c r="GE84">
        <v>4.5129999999999999</v>
      </c>
      <c r="GF84">
        <v>4.915</v>
      </c>
      <c r="GG84">
        <v>5.3090000000000002</v>
      </c>
      <c r="GH84">
        <v>6.13</v>
      </c>
      <c r="GI84">
        <v>1.0009999999999999</v>
      </c>
      <c r="GJ84">
        <v>3000</v>
      </c>
      <c r="GO84" t="s">
        <v>104</v>
      </c>
      <c r="GP84">
        <v>4.5780000000000003</v>
      </c>
      <c r="GQ84">
        <v>1.016</v>
      </c>
      <c r="GR84">
        <v>2.5840000000000001</v>
      </c>
      <c r="GS84">
        <v>3.9049999999999998</v>
      </c>
      <c r="GT84">
        <v>4.5979999999999999</v>
      </c>
      <c r="GU84">
        <v>5.2560000000000002</v>
      </c>
      <c r="GV84">
        <v>6.5659999999999998</v>
      </c>
      <c r="GW84">
        <v>1.01</v>
      </c>
      <c r="GX84">
        <v>3000</v>
      </c>
      <c r="HC84" t="s">
        <v>104</v>
      </c>
      <c r="HD84">
        <v>5.0149999999999997</v>
      </c>
      <c r="HE84">
        <v>0.879</v>
      </c>
      <c r="HF84">
        <v>3.282</v>
      </c>
      <c r="HG84">
        <v>4.4379999999999997</v>
      </c>
      <c r="HH84">
        <v>5.0019999999999998</v>
      </c>
      <c r="HI84">
        <v>5.59</v>
      </c>
      <c r="HJ84">
        <v>6.7510000000000003</v>
      </c>
      <c r="HK84">
        <v>1.002</v>
      </c>
      <c r="HL84">
        <v>1700</v>
      </c>
      <c r="HP84" s="7"/>
      <c r="HQ84" s="7" t="s">
        <v>104</v>
      </c>
      <c r="HR84" s="7">
        <v>5.2389999999999999</v>
      </c>
      <c r="HS84" s="7">
        <v>0.79</v>
      </c>
      <c r="HT84" s="7">
        <v>3.633</v>
      </c>
      <c r="HU84" s="7">
        <v>4.74</v>
      </c>
      <c r="HV84" s="7">
        <v>5.2439999999999998</v>
      </c>
      <c r="HW84" s="7">
        <v>5.7510000000000003</v>
      </c>
      <c r="HX84" s="7">
        <v>6.8120000000000003</v>
      </c>
      <c r="HY84" s="7">
        <v>1.006</v>
      </c>
      <c r="HZ84" s="7">
        <v>390</v>
      </c>
      <c r="IA84" s="7"/>
      <c r="IE84" t="s">
        <v>104</v>
      </c>
      <c r="IF84">
        <v>4.9690000000000003</v>
      </c>
      <c r="IG84">
        <v>0.626</v>
      </c>
      <c r="IH84">
        <v>3.79</v>
      </c>
      <c r="II84">
        <v>4.577</v>
      </c>
      <c r="IJ84">
        <v>4.9560000000000004</v>
      </c>
      <c r="IK84">
        <v>5.35</v>
      </c>
      <c r="IL84">
        <v>6.2750000000000004</v>
      </c>
      <c r="IM84">
        <v>1.04</v>
      </c>
      <c r="IN84">
        <v>88</v>
      </c>
      <c r="IS84" t="s">
        <v>104</v>
      </c>
      <c r="IT84">
        <v>4.96</v>
      </c>
      <c r="IU84">
        <v>0.65300000000000002</v>
      </c>
      <c r="IV84">
        <v>3.5990000000000002</v>
      </c>
      <c r="IW84">
        <v>4.5389999999999997</v>
      </c>
      <c r="IX84">
        <v>4.9820000000000002</v>
      </c>
      <c r="IY84">
        <v>5.3620000000000001</v>
      </c>
      <c r="IZ84">
        <v>6.26</v>
      </c>
      <c r="JA84">
        <v>1.0089999999999999</v>
      </c>
      <c r="JB84">
        <v>400</v>
      </c>
      <c r="JF84" t="s">
        <v>104</v>
      </c>
      <c r="JG84">
        <v>5.0590000000000002</v>
      </c>
      <c r="JH84">
        <v>0.73799999999999999</v>
      </c>
      <c r="JI84">
        <v>3.5910000000000002</v>
      </c>
      <c r="JJ84">
        <v>4.5970000000000004</v>
      </c>
      <c r="JK84">
        <v>5.04</v>
      </c>
      <c r="JL84">
        <v>5.516</v>
      </c>
      <c r="JM84">
        <v>6.58</v>
      </c>
      <c r="JN84">
        <v>1.004</v>
      </c>
      <c r="JO84">
        <v>790</v>
      </c>
      <c r="JT84" t="s">
        <v>104</v>
      </c>
      <c r="JU84">
        <v>4.9820000000000002</v>
      </c>
      <c r="JV84">
        <v>0.73599999999999999</v>
      </c>
      <c r="JW84">
        <v>3.5579999999999998</v>
      </c>
      <c r="JX84">
        <v>4.5</v>
      </c>
      <c r="JY84">
        <v>4.97</v>
      </c>
      <c r="JZ84">
        <v>5.4550000000000001</v>
      </c>
      <c r="KA84">
        <v>6.4459999999999997</v>
      </c>
      <c r="KB84">
        <v>1.0069999999999999</v>
      </c>
      <c r="KC84">
        <v>330</v>
      </c>
      <c r="KH84" t="s">
        <v>104</v>
      </c>
      <c r="KI84">
        <v>5.141</v>
      </c>
      <c r="KJ84">
        <v>0.74</v>
      </c>
      <c r="KK84">
        <v>3.6949999999999998</v>
      </c>
      <c r="KL84">
        <v>4.6589999999999998</v>
      </c>
      <c r="KM84">
        <v>5.1360000000000001</v>
      </c>
      <c r="KN84">
        <v>5.59</v>
      </c>
      <c r="KO84">
        <v>6.6980000000000004</v>
      </c>
      <c r="KP84">
        <v>1.0089999999999999</v>
      </c>
      <c r="KQ84">
        <v>310</v>
      </c>
      <c r="KR84">
        <f t="shared" si="3"/>
        <v>170.8865694759881</v>
      </c>
      <c r="KV84" t="s">
        <v>104</v>
      </c>
      <c r="KW84">
        <v>5.07</v>
      </c>
      <c r="KX84">
        <v>0.752</v>
      </c>
      <c r="KY84">
        <v>3.5659999999999998</v>
      </c>
      <c r="KZ84">
        <v>4.5659999999999998</v>
      </c>
      <c r="LA84">
        <v>5.0730000000000004</v>
      </c>
      <c r="LB84">
        <v>5.5869999999999997</v>
      </c>
      <c r="LC84">
        <v>6.5069999999999997</v>
      </c>
      <c r="LD84">
        <v>1.0609999999999999</v>
      </c>
      <c r="LE84">
        <v>39</v>
      </c>
      <c r="LJ84" t="s">
        <v>189</v>
      </c>
      <c r="LK84">
        <v>-0.10299999999999999</v>
      </c>
      <c r="LL84">
        <v>0.182</v>
      </c>
      <c r="LM84">
        <v>-0.46600000000000003</v>
      </c>
      <c r="LN84">
        <v>-0.222</v>
      </c>
      <c r="LO84">
        <v>-0.10299999999999999</v>
      </c>
      <c r="LP84">
        <v>1.7999999999999999E-2</v>
      </c>
      <c r="LQ84">
        <v>0.252</v>
      </c>
      <c r="LR84">
        <v>1.002</v>
      </c>
      <c r="LS84">
        <v>1700</v>
      </c>
      <c r="LX84" t="s">
        <v>189</v>
      </c>
      <c r="LY84">
        <v>0.95099999999999996</v>
      </c>
      <c r="LZ84">
        <v>1.524</v>
      </c>
      <c r="MA84">
        <v>-1.534</v>
      </c>
      <c r="MB84">
        <v>-0.223</v>
      </c>
      <c r="MC84">
        <v>0.86499999999999999</v>
      </c>
      <c r="MD84">
        <v>1.917</v>
      </c>
      <c r="ME84">
        <v>4.3220000000000001</v>
      </c>
      <c r="MF84">
        <v>2.141</v>
      </c>
      <c r="MG84">
        <v>5</v>
      </c>
      <c r="ML84" t="s">
        <v>104</v>
      </c>
      <c r="MM84">
        <v>4.92</v>
      </c>
      <c r="MN84">
        <v>1.054</v>
      </c>
      <c r="MO84">
        <v>2.597</v>
      </c>
      <c r="MP84">
        <v>4.2629999999999999</v>
      </c>
      <c r="MQ84">
        <v>5.0190000000000001</v>
      </c>
      <c r="MR84">
        <v>5.6849999999999996</v>
      </c>
      <c r="MS84">
        <v>6.6719999999999997</v>
      </c>
      <c r="MT84">
        <v>1.06</v>
      </c>
      <c r="MU84">
        <v>42</v>
      </c>
      <c r="MZ84" t="s">
        <v>104</v>
      </c>
      <c r="NA84">
        <v>5.0549999999999997</v>
      </c>
      <c r="NB84">
        <v>0.877</v>
      </c>
      <c r="NC84">
        <v>3.2629999999999999</v>
      </c>
      <c r="ND84">
        <v>4.4829999999999997</v>
      </c>
      <c r="NE84">
        <v>5.0810000000000004</v>
      </c>
      <c r="NF84">
        <v>5.7050000000000001</v>
      </c>
      <c r="NG84">
        <v>6.6509999999999998</v>
      </c>
      <c r="NH84">
        <v>1.0780000000000001</v>
      </c>
      <c r="NI84">
        <v>54</v>
      </c>
      <c r="NM84" t="s">
        <v>104</v>
      </c>
      <c r="NN84">
        <v>4.0609999999999999</v>
      </c>
      <c r="NO84">
        <v>0.88100000000000001</v>
      </c>
      <c r="NP84">
        <v>2.1360000000000001</v>
      </c>
      <c r="NQ84">
        <v>3.47</v>
      </c>
      <c r="NR84">
        <v>4.085</v>
      </c>
      <c r="NS84">
        <v>4.7270000000000003</v>
      </c>
      <c r="NT84">
        <v>5.6189999999999998</v>
      </c>
      <c r="NU84">
        <v>1.07</v>
      </c>
      <c r="NV84">
        <v>37</v>
      </c>
      <c r="NY84" t="s">
        <v>104</v>
      </c>
      <c r="NZ84">
        <v>4.7969999999999997</v>
      </c>
      <c r="OA84">
        <v>0.85199999999999998</v>
      </c>
      <c r="OB84">
        <v>2.69</v>
      </c>
      <c r="OC84">
        <v>4.3209999999999997</v>
      </c>
      <c r="OD84">
        <v>4.9130000000000003</v>
      </c>
      <c r="OE84">
        <v>5.4119999999999999</v>
      </c>
      <c r="OF84">
        <v>6.0720000000000001</v>
      </c>
      <c r="OG84">
        <v>1.133</v>
      </c>
      <c r="OH84">
        <v>130</v>
      </c>
      <c r="OP84" t="s">
        <v>104</v>
      </c>
      <c r="OQ84">
        <v>4.633</v>
      </c>
      <c r="OR84">
        <v>0.79</v>
      </c>
      <c r="OS84">
        <v>3.0230000000000001</v>
      </c>
      <c r="OT84">
        <v>4.1449999999999996</v>
      </c>
      <c r="OU84">
        <v>4.718</v>
      </c>
      <c r="OV84">
        <v>5.1619999999999999</v>
      </c>
      <c r="OW84">
        <v>6.056</v>
      </c>
      <c r="OX84">
        <v>1.0840000000000001</v>
      </c>
      <c r="OY84">
        <v>44</v>
      </c>
      <c r="PB84" t="s">
        <v>104</v>
      </c>
      <c r="PC84">
        <v>3.1619999999999999</v>
      </c>
      <c r="PD84">
        <v>0.78600000000000003</v>
      </c>
      <c r="PE84">
        <v>1.492</v>
      </c>
      <c r="PF84">
        <v>2.6549999999999998</v>
      </c>
      <c r="PG84">
        <v>3.254</v>
      </c>
      <c r="PH84">
        <v>3.7320000000000002</v>
      </c>
      <c r="PI84">
        <v>4.4829999999999997</v>
      </c>
      <c r="PJ84">
        <v>1.016</v>
      </c>
      <c r="PK84">
        <v>510</v>
      </c>
      <c r="PN84" t="s">
        <v>104</v>
      </c>
      <c r="PO84">
        <v>3.2509999999999999</v>
      </c>
      <c r="PP84">
        <v>0.88500000000000001</v>
      </c>
      <c r="PQ84">
        <v>1.2569999999999999</v>
      </c>
      <c r="PR84">
        <v>2.7120000000000002</v>
      </c>
      <c r="PS84">
        <v>3.3410000000000002</v>
      </c>
      <c r="PT84">
        <v>3.9129999999999998</v>
      </c>
      <c r="PU84">
        <v>4.6420000000000003</v>
      </c>
      <c r="PV84">
        <v>1.0449999999999999</v>
      </c>
      <c r="PW84">
        <v>50</v>
      </c>
      <c r="QA84" t="s">
        <v>104</v>
      </c>
      <c r="QB84">
        <v>3.6379999999999999</v>
      </c>
      <c r="QC84">
        <v>0.38700000000000001</v>
      </c>
      <c r="QD84">
        <v>2.85</v>
      </c>
      <c r="QE84">
        <v>3.3889999999999998</v>
      </c>
      <c r="QF84">
        <v>3.6589999999999998</v>
      </c>
      <c r="QG84">
        <v>3.911</v>
      </c>
      <c r="QH84">
        <v>4.3369999999999997</v>
      </c>
      <c r="QI84">
        <v>1.0149999999999999</v>
      </c>
      <c r="QJ84">
        <v>170</v>
      </c>
      <c r="QL84">
        <f t="shared" si="4"/>
        <v>-0.38700000000000001</v>
      </c>
    </row>
    <row r="85" spans="1:454">
      <c r="A85" t="s">
        <v>105</v>
      </c>
      <c r="B85">
        <v>4.5919999999999996</v>
      </c>
      <c r="C85">
        <v>0.92300000000000004</v>
      </c>
      <c r="D85">
        <v>2.7109999999999999</v>
      </c>
      <c r="E85">
        <v>3.9980000000000002</v>
      </c>
      <c r="F85">
        <v>4.6580000000000004</v>
      </c>
      <c r="G85">
        <v>5.1790000000000003</v>
      </c>
      <c r="H85">
        <v>6.3380000000000001</v>
      </c>
      <c r="I85">
        <v>1.0900000000000001</v>
      </c>
      <c r="J85">
        <v>47</v>
      </c>
      <c r="O85" t="s">
        <v>105</v>
      </c>
      <c r="P85">
        <v>5.343</v>
      </c>
      <c r="Q85">
        <v>1.2609999999999999</v>
      </c>
      <c r="R85">
        <v>2.7269999999999999</v>
      </c>
      <c r="S85">
        <v>4.4509999999999996</v>
      </c>
      <c r="T85">
        <v>5.4429999999999996</v>
      </c>
      <c r="U85">
        <v>6.4009999999999998</v>
      </c>
      <c r="V85">
        <v>7.2679999999999998</v>
      </c>
      <c r="W85">
        <v>1.02</v>
      </c>
      <c r="X85">
        <v>120</v>
      </c>
      <c r="AC85" t="s">
        <v>105</v>
      </c>
      <c r="AD85">
        <v>6.048</v>
      </c>
      <c r="AE85">
        <v>0.83299999999999996</v>
      </c>
      <c r="AF85">
        <v>4.3250000000000002</v>
      </c>
      <c r="AG85">
        <v>5.4349999999999996</v>
      </c>
      <c r="AH85">
        <v>6.133</v>
      </c>
      <c r="AI85">
        <v>6.7140000000000004</v>
      </c>
      <c r="AJ85">
        <v>7.3129999999999997</v>
      </c>
      <c r="AK85">
        <v>1.0269999999999999</v>
      </c>
      <c r="AL85">
        <v>81</v>
      </c>
      <c r="AQ85" t="s">
        <v>105</v>
      </c>
      <c r="AR85">
        <v>6.15</v>
      </c>
      <c r="AS85">
        <v>0.78400000000000003</v>
      </c>
      <c r="AT85">
        <v>4.5019999999999998</v>
      </c>
      <c r="AU85">
        <v>5.6130000000000004</v>
      </c>
      <c r="AV85">
        <v>6.22</v>
      </c>
      <c r="AW85">
        <v>6.7880000000000003</v>
      </c>
      <c r="AX85">
        <v>7.3159999999999998</v>
      </c>
      <c r="AY85">
        <v>1.012</v>
      </c>
      <c r="AZ85">
        <v>210</v>
      </c>
      <c r="BE85" t="s">
        <v>105</v>
      </c>
      <c r="BF85">
        <v>6.4119999999999999</v>
      </c>
      <c r="BG85">
        <v>0.622</v>
      </c>
      <c r="BH85">
        <v>5.0229999999999997</v>
      </c>
      <c r="BI85">
        <v>6.0019999999999998</v>
      </c>
      <c r="BJ85">
        <v>6.4880000000000004</v>
      </c>
      <c r="BK85">
        <v>6.91</v>
      </c>
      <c r="BL85">
        <v>7.3259999999999996</v>
      </c>
      <c r="BM85">
        <v>1.0009999999999999</v>
      </c>
      <c r="BN85">
        <v>3000</v>
      </c>
      <c r="BS85" t="s">
        <v>105</v>
      </c>
      <c r="BT85">
        <v>5.7919999999999998</v>
      </c>
      <c r="BU85">
        <v>0.9</v>
      </c>
      <c r="BV85">
        <v>3.9510000000000001</v>
      </c>
      <c r="BW85">
        <v>5.1509999999999998</v>
      </c>
      <c r="BX85">
        <v>5.827</v>
      </c>
      <c r="BY85">
        <v>6.4950000000000001</v>
      </c>
      <c r="BZ85">
        <v>7.266</v>
      </c>
      <c r="CA85">
        <v>1.0049999999999999</v>
      </c>
      <c r="CB85">
        <v>450</v>
      </c>
      <c r="CG85" t="s">
        <v>105</v>
      </c>
      <c r="CH85">
        <v>6.3920000000000003</v>
      </c>
      <c r="CI85">
        <v>0.61799999999999999</v>
      </c>
      <c r="CJ85">
        <v>5.1020000000000003</v>
      </c>
      <c r="CK85">
        <v>5.9720000000000004</v>
      </c>
      <c r="CL85">
        <v>6.4509999999999996</v>
      </c>
      <c r="CM85">
        <v>6.9009999999999998</v>
      </c>
      <c r="CN85">
        <v>7.3230000000000004</v>
      </c>
      <c r="CO85">
        <v>1.0089999999999999</v>
      </c>
      <c r="CP85">
        <v>250</v>
      </c>
      <c r="CU85" t="s">
        <v>105</v>
      </c>
      <c r="CV85">
        <v>6.5389999999999997</v>
      </c>
      <c r="CW85">
        <v>0.66800000000000004</v>
      </c>
      <c r="CX85">
        <v>4.992</v>
      </c>
      <c r="CY85">
        <v>6.1379999999999999</v>
      </c>
      <c r="CZ85">
        <v>6.67</v>
      </c>
      <c r="DA85">
        <v>7.0880000000000001</v>
      </c>
      <c r="DB85">
        <v>7.3769999999999998</v>
      </c>
      <c r="DC85">
        <v>1.0149999999999999</v>
      </c>
      <c r="DD85">
        <v>170</v>
      </c>
      <c r="DI85" t="s">
        <v>105</v>
      </c>
      <c r="DJ85">
        <v>5.9029999999999996</v>
      </c>
      <c r="DK85">
        <v>0.88600000000000001</v>
      </c>
      <c r="DL85">
        <v>4.1369999999999996</v>
      </c>
      <c r="DM85">
        <v>5.2930000000000001</v>
      </c>
      <c r="DN85">
        <v>5.96</v>
      </c>
      <c r="DO85">
        <v>6.6289999999999996</v>
      </c>
      <c r="DP85">
        <v>7.3090000000000002</v>
      </c>
      <c r="DQ85">
        <v>1.0149999999999999</v>
      </c>
      <c r="DR85">
        <v>160</v>
      </c>
      <c r="DY85" t="s">
        <v>105</v>
      </c>
      <c r="DZ85">
        <v>6.2329999999999997</v>
      </c>
      <c r="EA85">
        <v>0.77900000000000003</v>
      </c>
      <c r="EB85">
        <v>4.4779999999999998</v>
      </c>
      <c r="EC85">
        <v>5.7110000000000003</v>
      </c>
      <c r="ED85">
        <v>6.3550000000000004</v>
      </c>
      <c r="EE85">
        <v>6.8659999999999997</v>
      </c>
      <c r="EF85">
        <v>7.3250000000000002</v>
      </c>
      <c r="EG85">
        <v>1.0029999999999999</v>
      </c>
      <c r="EH85">
        <v>2300</v>
      </c>
      <c r="EK85" t="s">
        <v>105</v>
      </c>
      <c r="EL85">
        <v>6.3330000000000002</v>
      </c>
      <c r="EM85">
        <v>0.78100000000000003</v>
      </c>
      <c r="EN85">
        <v>4.5490000000000004</v>
      </c>
      <c r="EO85">
        <v>5.84</v>
      </c>
      <c r="EP85">
        <v>6.4740000000000002</v>
      </c>
      <c r="EQ85">
        <v>6.9740000000000002</v>
      </c>
      <c r="ER85">
        <v>7.343</v>
      </c>
      <c r="ES85">
        <v>1.0009999999999999</v>
      </c>
      <c r="ET85">
        <v>1500</v>
      </c>
      <c r="EY85" t="s">
        <v>105</v>
      </c>
      <c r="EZ85">
        <v>6.4569999999999999</v>
      </c>
      <c r="FA85">
        <v>0.70399999999999996</v>
      </c>
      <c r="FB85">
        <v>4.7949999999999999</v>
      </c>
      <c r="FC85">
        <v>6.032</v>
      </c>
      <c r="FD85">
        <v>6.5960000000000001</v>
      </c>
      <c r="FE85">
        <v>7.0330000000000004</v>
      </c>
      <c r="FF85">
        <v>7.3470000000000004</v>
      </c>
      <c r="FG85">
        <v>1.0009999999999999</v>
      </c>
      <c r="FH85">
        <v>3000</v>
      </c>
      <c r="GA85" t="s">
        <v>105</v>
      </c>
      <c r="GB85">
        <v>6.0190000000000001</v>
      </c>
      <c r="GC85">
        <v>0.61</v>
      </c>
      <c r="GD85">
        <v>4.7869999999999999</v>
      </c>
      <c r="GE85">
        <v>5.6059999999999999</v>
      </c>
      <c r="GF85">
        <v>6.0289999999999999</v>
      </c>
      <c r="GG85">
        <v>6.4340000000000002</v>
      </c>
      <c r="GH85">
        <v>7.1779999999999999</v>
      </c>
      <c r="GI85">
        <v>1.0009999999999999</v>
      </c>
      <c r="GJ85">
        <v>3000</v>
      </c>
      <c r="GO85" t="s">
        <v>105</v>
      </c>
      <c r="GP85">
        <v>6.4489999999999998</v>
      </c>
      <c r="GQ85">
        <v>0.71399999999999997</v>
      </c>
      <c r="GR85">
        <v>4.7359999999999998</v>
      </c>
      <c r="GS85">
        <v>6.056</v>
      </c>
      <c r="GT85">
        <v>6.61</v>
      </c>
      <c r="GU85">
        <v>7.0069999999999997</v>
      </c>
      <c r="GV85">
        <v>7.3470000000000004</v>
      </c>
      <c r="GW85">
        <v>1.0009999999999999</v>
      </c>
      <c r="GX85">
        <v>2700</v>
      </c>
      <c r="HC85" t="s">
        <v>105</v>
      </c>
      <c r="HD85">
        <v>6.5549999999999997</v>
      </c>
      <c r="HE85">
        <v>0.627</v>
      </c>
      <c r="HF85">
        <v>5.0380000000000003</v>
      </c>
      <c r="HG85">
        <v>6.1989999999999998</v>
      </c>
      <c r="HH85">
        <v>6.6859999999999999</v>
      </c>
      <c r="HI85">
        <v>7.0510000000000002</v>
      </c>
      <c r="HJ85">
        <v>7.35</v>
      </c>
      <c r="HK85">
        <v>1.0069999999999999</v>
      </c>
      <c r="HL85">
        <v>730</v>
      </c>
      <c r="HP85" s="7"/>
      <c r="HQ85" s="7" t="s">
        <v>105</v>
      </c>
      <c r="HR85" s="7">
        <v>6.6360000000000001</v>
      </c>
      <c r="HS85" s="7">
        <v>0.56200000000000006</v>
      </c>
      <c r="HT85" s="7">
        <v>5.2610000000000001</v>
      </c>
      <c r="HU85" s="7">
        <v>6.32</v>
      </c>
      <c r="HV85" s="7">
        <v>6.7519999999999998</v>
      </c>
      <c r="HW85" s="7">
        <v>7.077</v>
      </c>
      <c r="HX85" s="7">
        <v>7.3540000000000001</v>
      </c>
      <c r="HY85" s="7">
        <v>1.002</v>
      </c>
      <c r="HZ85" s="7">
        <v>2000</v>
      </c>
      <c r="IA85" s="7"/>
      <c r="IE85" t="s">
        <v>105</v>
      </c>
      <c r="IF85">
        <v>6.33</v>
      </c>
      <c r="IG85">
        <v>0.59199999999999997</v>
      </c>
      <c r="IH85">
        <v>5.08</v>
      </c>
      <c r="II85">
        <v>5.9420000000000002</v>
      </c>
      <c r="IJ85">
        <v>6.3609999999999998</v>
      </c>
      <c r="IK85">
        <v>6.7930000000000001</v>
      </c>
      <c r="IL85">
        <v>7.27</v>
      </c>
      <c r="IM85">
        <v>1.0209999999999999</v>
      </c>
      <c r="IN85">
        <v>190</v>
      </c>
      <c r="IS85" t="s">
        <v>105</v>
      </c>
      <c r="IT85">
        <v>6.2519999999999998</v>
      </c>
      <c r="IU85">
        <v>0.63200000000000001</v>
      </c>
      <c r="IV85">
        <v>4.891</v>
      </c>
      <c r="IW85">
        <v>5.8369999999999997</v>
      </c>
      <c r="IX85">
        <v>6.2930000000000001</v>
      </c>
      <c r="IY85">
        <v>6.7290000000000001</v>
      </c>
      <c r="IZ85">
        <v>7.2930000000000001</v>
      </c>
      <c r="JA85">
        <v>1.012</v>
      </c>
      <c r="JB85">
        <v>180</v>
      </c>
      <c r="JF85" t="s">
        <v>105</v>
      </c>
      <c r="JG85">
        <v>6.4050000000000002</v>
      </c>
      <c r="JH85">
        <v>0.628</v>
      </c>
      <c r="JI85">
        <v>5.0309999999999997</v>
      </c>
      <c r="JJ85">
        <v>5.99</v>
      </c>
      <c r="JK85">
        <v>6.4880000000000004</v>
      </c>
      <c r="JL85">
        <v>6.9160000000000004</v>
      </c>
      <c r="JM85">
        <v>7.319</v>
      </c>
      <c r="JN85">
        <v>1.004</v>
      </c>
      <c r="JO85">
        <v>810</v>
      </c>
      <c r="JT85" t="s">
        <v>105</v>
      </c>
      <c r="JU85">
        <v>6.3639999999999999</v>
      </c>
      <c r="JV85">
        <v>0.64800000000000002</v>
      </c>
      <c r="JW85">
        <v>4.93</v>
      </c>
      <c r="JX85">
        <v>5.923</v>
      </c>
      <c r="JY85">
        <v>6.4329999999999998</v>
      </c>
      <c r="JZ85">
        <v>6.883</v>
      </c>
      <c r="KA85">
        <v>7.3170000000000002</v>
      </c>
      <c r="KB85">
        <v>1.0009999999999999</v>
      </c>
      <c r="KC85">
        <v>2600</v>
      </c>
      <c r="KH85" t="s">
        <v>105</v>
      </c>
      <c r="KI85">
        <v>6.5170000000000003</v>
      </c>
      <c r="KJ85">
        <v>0.59699999999999998</v>
      </c>
      <c r="KK85">
        <v>5.1909999999999998</v>
      </c>
      <c r="KL85">
        <v>6.1390000000000002</v>
      </c>
      <c r="KM85">
        <v>6.6029999999999998</v>
      </c>
      <c r="KN85">
        <v>6.9960000000000004</v>
      </c>
      <c r="KO85">
        <v>7.3369999999999997</v>
      </c>
      <c r="KP85">
        <v>1.0049999999999999</v>
      </c>
      <c r="KQ85">
        <v>940</v>
      </c>
      <c r="KR85">
        <f t="shared" si="3"/>
        <v>676.54570073484467</v>
      </c>
      <c r="KV85" t="s">
        <v>105</v>
      </c>
      <c r="KW85">
        <v>6.2290000000000001</v>
      </c>
      <c r="KX85">
        <v>0.67200000000000004</v>
      </c>
      <c r="KY85">
        <v>4.9710000000000001</v>
      </c>
      <c r="KZ85">
        <v>5.7370000000000001</v>
      </c>
      <c r="LA85">
        <v>6.23</v>
      </c>
      <c r="LB85">
        <v>6.7190000000000003</v>
      </c>
      <c r="LC85">
        <v>7.5019999999999998</v>
      </c>
      <c r="LD85">
        <v>1.0740000000000001</v>
      </c>
      <c r="LE85">
        <v>32</v>
      </c>
      <c r="LJ85" t="s">
        <v>190</v>
      </c>
      <c r="LK85">
        <v>0.3</v>
      </c>
      <c r="LL85">
        <v>0.86399999999999999</v>
      </c>
      <c r="LM85">
        <v>-1.3939999999999999</v>
      </c>
      <c r="LN85">
        <v>-0.27500000000000002</v>
      </c>
      <c r="LO85">
        <v>0.314</v>
      </c>
      <c r="LP85">
        <v>0.879</v>
      </c>
      <c r="LQ85">
        <v>1.976</v>
      </c>
      <c r="LR85">
        <v>1.004</v>
      </c>
      <c r="LS85">
        <v>510</v>
      </c>
      <c r="LX85" t="s">
        <v>190</v>
      </c>
      <c r="LY85">
        <v>1.8560000000000001</v>
      </c>
      <c r="LZ85">
        <v>1.4119999999999999</v>
      </c>
      <c r="MA85">
        <v>-0.57299999999999995</v>
      </c>
      <c r="MB85">
        <v>0.83399999999999996</v>
      </c>
      <c r="MC85">
        <v>1.746</v>
      </c>
      <c r="MD85">
        <v>2.8140000000000001</v>
      </c>
      <c r="ME85">
        <v>4.9050000000000002</v>
      </c>
      <c r="MF85">
        <v>1.8839999999999999</v>
      </c>
      <c r="MG85">
        <v>5</v>
      </c>
      <c r="ML85" t="s">
        <v>105</v>
      </c>
      <c r="MM85">
        <v>5.9359999999999999</v>
      </c>
      <c r="MN85">
        <v>1.008</v>
      </c>
      <c r="MO85">
        <v>3.6970000000000001</v>
      </c>
      <c r="MP85">
        <v>5.2919999999999998</v>
      </c>
      <c r="MQ85">
        <v>6.0490000000000004</v>
      </c>
      <c r="MR85">
        <v>6.7039999999999997</v>
      </c>
      <c r="MS85">
        <v>7.4960000000000004</v>
      </c>
      <c r="MT85">
        <v>1.0840000000000001</v>
      </c>
      <c r="MU85">
        <v>37</v>
      </c>
      <c r="MZ85" t="s">
        <v>105</v>
      </c>
      <c r="NA85">
        <v>6.0739999999999998</v>
      </c>
      <c r="NB85">
        <v>0.79700000000000004</v>
      </c>
      <c r="NC85">
        <v>4.4930000000000003</v>
      </c>
      <c r="ND85">
        <v>5.5190000000000001</v>
      </c>
      <c r="NE85">
        <v>6.0949999999999998</v>
      </c>
      <c r="NF85">
        <v>6.6980000000000004</v>
      </c>
      <c r="NG85">
        <v>7.4720000000000004</v>
      </c>
      <c r="NH85">
        <v>1.073</v>
      </c>
      <c r="NI85">
        <v>46</v>
      </c>
      <c r="NM85" t="s">
        <v>105</v>
      </c>
      <c r="NN85">
        <v>4.7670000000000003</v>
      </c>
      <c r="NO85">
        <v>0.85299999999999998</v>
      </c>
      <c r="NP85">
        <v>2.8849999999999998</v>
      </c>
      <c r="NQ85">
        <v>4.2</v>
      </c>
      <c r="NR85">
        <v>4.7770000000000001</v>
      </c>
      <c r="NS85">
        <v>5.4160000000000004</v>
      </c>
      <c r="NT85">
        <v>6.29</v>
      </c>
      <c r="NU85">
        <v>1.07</v>
      </c>
      <c r="NV85">
        <v>36</v>
      </c>
      <c r="NY85" t="s">
        <v>105</v>
      </c>
      <c r="NZ85">
        <v>5.0090000000000003</v>
      </c>
      <c r="OA85">
        <v>0.84199999999999997</v>
      </c>
      <c r="OB85">
        <v>2.8580000000000001</v>
      </c>
      <c r="OC85">
        <v>4.54</v>
      </c>
      <c r="OD85">
        <v>5.1390000000000002</v>
      </c>
      <c r="OE85">
        <v>5.6269999999999998</v>
      </c>
      <c r="OF85">
        <v>6.1870000000000003</v>
      </c>
      <c r="OG85">
        <v>1.1379999999999999</v>
      </c>
      <c r="OH85">
        <v>130</v>
      </c>
      <c r="OP85" t="s">
        <v>105</v>
      </c>
      <c r="OQ85">
        <v>4.8150000000000004</v>
      </c>
      <c r="OR85">
        <v>0.72</v>
      </c>
      <c r="OS85">
        <v>3.2839999999999998</v>
      </c>
      <c r="OT85">
        <v>4.3319999999999999</v>
      </c>
      <c r="OU85">
        <v>4.9550000000000001</v>
      </c>
      <c r="OV85">
        <v>5.3460000000000001</v>
      </c>
      <c r="OW85">
        <v>5.9329999999999998</v>
      </c>
      <c r="OX85">
        <v>1.0980000000000001</v>
      </c>
      <c r="OY85">
        <v>32</v>
      </c>
      <c r="PB85" t="s">
        <v>105</v>
      </c>
      <c r="PC85">
        <v>3.931</v>
      </c>
      <c r="PD85">
        <v>0.74199999999999999</v>
      </c>
      <c r="PE85">
        <v>2.351</v>
      </c>
      <c r="PF85">
        <v>3.47</v>
      </c>
      <c r="PG85">
        <v>4.0309999999999997</v>
      </c>
      <c r="PH85">
        <v>4.4710000000000001</v>
      </c>
      <c r="PI85">
        <v>5.1639999999999997</v>
      </c>
      <c r="PJ85">
        <v>1.0069999999999999</v>
      </c>
      <c r="PK85">
        <v>330</v>
      </c>
      <c r="PN85" t="s">
        <v>105</v>
      </c>
      <c r="PO85">
        <v>3.6059999999999999</v>
      </c>
      <c r="PP85">
        <v>0.86099999999999999</v>
      </c>
      <c r="PQ85">
        <v>1.655</v>
      </c>
      <c r="PR85">
        <v>3.0920000000000001</v>
      </c>
      <c r="PS85">
        <v>3.69</v>
      </c>
      <c r="PT85">
        <v>4.2629999999999999</v>
      </c>
      <c r="PU85">
        <v>4.9260000000000002</v>
      </c>
      <c r="PV85">
        <v>1.0529999999999999</v>
      </c>
      <c r="PW85">
        <v>62</v>
      </c>
      <c r="QA85" t="s">
        <v>105</v>
      </c>
      <c r="QB85">
        <v>5.0289999999999999</v>
      </c>
      <c r="QC85">
        <v>0.3</v>
      </c>
      <c r="QD85">
        <v>4.3419999999999996</v>
      </c>
      <c r="QE85">
        <v>4.8440000000000003</v>
      </c>
      <c r="QF85">
        <v>5.0570000000000004</v>
      </c>
      <c r="QG85">
        <v>5.2389999999999999</v>
      </c>
      <c r="QH85">
        <v>5.5490000000000004</v>
      </c>
      <c r="QI85">
        <v>1.052</v>
      </c>
      <c r="QJ85">
        <v>44</v>
      </c>
      <c r="QL85">
        <f t="shared" si="4"/>
        <v>-1.423</v>
      </c>
    </row>
    <row r="86" spans="1:454">
      <c r="A86" t="s">
        <v>106</v>
      </c>
      <c r="B86">
        <v>4.0179999999999998</v>
      </c>
      <c r="C86">
        <v>0.92200000000000004</v>
      </c>
      <c r="D86">
        <v>2.0739999999999998</v>
      </c>
      <c r="E86">
        <v>3.4350000000000001</v>
      </c>
      <c r="F86">
        <v>4.1230000000000002</v>
      </c>
      <c r="G86">
        <v>4.6360000000000001</v>
      </c>
      <c r="H86">
        <v>5.7519999999999998</v>
      </c>
      <c r="I86">
        <v>1.0740000000000001</v>
      </c>
      <c r="J86">
        <v>60</v>
      </c>
      <c r="O86" t="s">
        <v>106</v>
      </c>
      <c r="P86">
        <v>3.2829999999999999</v>
      </c>
      <c r="Q86">
        <v>1.3460000000000001</v>
      </c>
      <c r="R86">
        <v>0.746</v>
      </c>
      <c r="S86">
        <v>2.355</v>
      </c>
      <c r="T86">
        <v>3.1960000000000002</v>
      </c>
      <c r="U86">
        <v>4.1669999999999998</v>
      </c>
      <c r="V86">
        <v>6.093</v>
      </c>
      <c r="W86">
        <v>1.006</v>
      </c>
      <c r="X86">
        <v>380</v>
      </c>
      <c r="AC86" t="s">
        <v>106</v>
      </c>
      <c r="AD86">
        <v>4.9770000000000003</v>
      </c>
      <c r="AE86">
        <v>0.96399999999999997</v>
      </c>
      <c r="AF86">
        <v>3.0649999999999999</v>
      </c>
      <c r="AG86">
        <v>4.33</v>
      </c>
      <c r="AH86">
        <v>4.9740000000000002</v>
      </c>
      <c r="AI86">
        <v>5.6660000000000004</v>
      </c>
      <c r="AJ86">
        <v>6.7809999999999997</v>
      </c>
      <c r="AK86">
        <v>1.018</v>
      </c>
      <c r="AL86">
        <v>120</v>
      </c>
      <c r="AQ86" t="s">
        <v>106</v>
      </c>
      <c r="AR86">
        <v>5.19</v>
      </c>
      <c r="AS86">
        <v>0.88100000000000001</v>
      </c>
      <c r="AT86">
        <v>3.3740000000000001</v>
      </c>
      <c r="AU86">
        <v>4.6120000000000001</v>
      </c>
      <c r="AV86">
        <v>5.218</v>
      </c>
      <c r="AW86">
        <v>5.8129999999999997</v>
      </c>
      <c r="AX86">
        <v>6.8410000000000002</v>
      </c>
      <c r="AY86">
        <v>1.026</v>
      </c>
      <c r="AZ86">
        <v>88</v>
      </c>
      <c r="BE86" t="s">
        <v>106</v>
      </c>
      <c r="BF86">
        <v>5.8090000000000002</v>
      </c>
      <c r="BG86">
        <v>0.68700000000000006</v>
      </c>
      <c r="BH86">
        <v>4.4980000000000002</v>
      </c>
      <c r="BI86">
        <v>5.3280000000000003</v>
      </c>
      <c r="BJ86">
        <v>5.7930000000000001</v>
      </c>
      <c r="BK86">
        <v>6.3040000000000003</v>
      </c>
      <c r="BL86">
        <v>7.1189999999999998</v>
      </c>
      <c r="BM86">
        <v>1.004</v>
      </c>
      <c r="BN86">
        <v>530</v>
      </c>
      <c r="BS86" t="s">
        <v>106</v>
      </c>
      <c r="BT86">
        <v>4.5359999999999996</v>
      </c>
      <c r="BU86">
        <v>0.99199999999999999</v>
      </c>
      <c r="BV86">
        <v>2.621</v>
      </c>
      <c r="BW86">
        <v>3.8439999999999999</v>
      </c>
      <c r="BX86">
        <v>4.5599999999999996</v>
      </c>
      <c r="BY86">
        <v>5.242</v>
      </c>
      <c r="BZ86">
        <v>6.4550000000000001</v>
      </c>
      <c r="CA86">
        <v>1.0169999999999999</v>
      </c>
      <c r="CB86">
        <v>180</v>
      </c>
      <c r="CG86" t="s">
        <v>106</v>
      </c>
      <c r="CH86">
        <v>5.5469999999999997</v>
      </c>
      <c r="CI86">
        <v>0.76300000000000001</v>
      </c>
      <c r="CJ86">
        <v>4.0019999999999998</v>
      </c>
      <c r="CK86">
        <v>5.0339999999999998</v>
      </c>
      <c r="CL86">
        <v>5.5540000000000003</v>
      </c>
      <c r="CM86">
        <v>6.0640000000000001</v>
      </c>
      <c r="CN86">
        <v>7.0439999999999996</v>
      </c>
      <c r="CO86">
        <v>1.0129999999999999</v>
      </c>
      <c r="CP86">
        <v>160</v>
      </c>
      <c r="CU86" t="s">
        <v>106</v>
      </c>
      <c r="CV86">
        <v>5.5789999999999997</v>
      </c>
      <c r="CW86">
        <v>0.77400000000000002</v>
      </c>
      <c r="CX86">
        <v>3.9630000000000001</v>
      </c>
      <c r="CY86">
        <v>5.0469999999999997</v>
      </c>
      <c r="CZ86">
        <v>5.63</v>
      </c>
      <c r="DA86">
        <v>6.1539999999999999</v>
      </c>
      <c r="DB86">
        <v>6.923</v>
      </c>
      <c r="DC86">
        <v>1.0169999999999999</v>
      </c>
      <c r="DD86">
        <v>140</v>
      </c>
      <c r="DI86" t="s">
        <v>106</v>
      </c>
      <c r="DJ86">
        <v>4.8</v>
      </c>
      <c r="DK86">
        <v>1.0009999999999999</v>
      </c>
      <c r="DL86">
        <v>2.8359999999999999</v>
      </c>
      <c r="DM86">
        <v>4.1219999999999999</v>
      </c>
      <c r="DN86">
        <v>4.7939999999999996</v>
      </c>
      <c r="DO86">
        <v>5.5010000000000003</v>
      </c>
      <c r="DP86">
        <v>6.7229999999999999</v>
      </c>
      <c r="DQ86">
        <v>1.0069999999999999</v>
      </c>
      <c r="DR86">
        <v>890</v>
      </c>
      <c r="DY86" t="s">
        <v>106</v>
      </c>
      <c r="DZ86">
        <v>5.4029999999999996</v>
      </c>
      <c r="EA86">
        <v>0.92300000000000004</v>
      </c>
      <c r="EB86">
        <v>3.484</v>
      </c>
      <c r="EC86">
        <v>4.7939999999999996</v>
      </c>
      <c r="ED86">
        <v>5.452</v>
      </c>
      <c r="EE86">
        <v>6.0949999999999998</v>
      </c>
      <c r="EF86">
        <v>7.0209999999999999</v>
      </c>
      <c r="EG86">
        <v>1.0029999999999999</v>
      </c>
      <c r="EH86">
        <v>1700</v>
      </c>
      <c r="EK86" t="s">
        <v>106</v>
      </c>
      <c r="EL86">
        <v>5.0419999999999998</v>
      </c>
      <c r="EM86">
        <v>0.9</v>
      </c>
      <c r="EN86">
        <v>3.181</v>
      </c>
      <c r="EO86">
        <v>4.4660000000000002</v>
      </c>
      <c r="EP86">
        <v>5.0739999999999998</v>
      </c>
      <c r="EQ86">
        <v>5.6449999999999996</v>
      </c>
      <c r="ER86">
        <v>6.7809999999999997</v>
      </c>
      <c r="ES86">
        <v>1.0069999999999999</v>
      </c>
      <c r="ET86">
        <v>310</v>
      </c>
      <c r="EY86" t="s">
        <v>106</v>
      </c>
      <c r="EZ86">
        <v>5.4960000000000004</v>
      </c>
      <c r="FA86">
        <v>0.93500000000000005</v>
      </c>
      <c r="FB86">
        <v>3.5310000000000001</v>
      </c>
      <c r="FC86">
        <v>4.8710000000000004</v>
      </c>
      <c r="FD86">
        <v>5.55</v>
      </c>
      <c r="FE86">
        <v>6.202</v>
      </c>
      <c r="FF86">
        <v>7.1109999999999998</v>
      </c>
      <c r="FG86">
        <v>1.004</v>
      </c>
      <c r="FH86">
        <v>570</v>
      </c>
      <c r="GA86" t="s">
        <v>106</v>
      </c>
      <c r="GB86">
        <v>5.5209999999999999</v>
      </c>
      <c r="GC86">
        <v>0.55600000000000005</v>
      </c>
      <c r="GD86">
        <v>4.4640000000000004</v>
      </c>
      <c r="GE86">
        <v>5.1219999999999999</v>
      </c>
      <c r="GF86">
        <v>5.5049999999999999</v>
      </c>
      <c r="GG86">
        <v>5.8920000000000003</v>
      </c>
      <c r="GH86">
        <v>6.6509999999999998</v>
      </c>
      <c r="GI86">
        <v>1.002</v>
      </c>
      <c r="GJ86">
        <v>1100</v>
      </c>
      <c r="GO86" t="s">
        <v>106</v>
      </c>
      <c r="GP86">
        <v>5.5339999999999998</v>
      </c>
      <c r="GQ86">
        <v>0.92800000000000005</v>
      </c>
      <c r="GR86">
        <v>3.5619999999999998</v>
      </c>
      <c r="GS86">
        <v>4.9390000000000001</v>
      </c>
      <c r="GT86">
        <v>5.6029999999999998</v>
      </c>
      <c r="GU86">
        <v>6.2080000000000002</v>
      </c>
      <c r="GV86">
        <v>7.133</v>
      </c>
      <c r="GW86">
        <v>1.0009999999999999</v>
      </c>
      <c r="GX86">
        <v>3000</v>
      </c>
      <c r="HC86" t="s">
        <v>106</v>
      </c>
      <c r="HD86">
        <v>5.9509999999999996</v>
      </c>
      <c r="HE86">
        <v>0.76</v>
      </c>
      <c r="HF86">
        <v>4.3</v>
      </c>
      <c r="HG86">
        <v>5.4610000000000003</v>
      </c>
      <c r="HH86">
        <v>6.01</v>
      </c>
      <c r="HI86">
        <v>6.5119999999999996</v>
      </c>
      <c r="HJ86">
        <v>7.2450000000000001</v>
      </c>
      <c r="HK86">
        <v>1.004</v>
      </c>
      <c r="HL86">
        <v>810</v>
      </c>
      <c r="HP86" s="7"/>
      <c r="HQ86" s="7" t="s">
        <v>106</v>
      </c>
      <c r="HR86" s="7">
        <v>5.9950000000000001</v>
      </c>
      <c r="HS86" s="7">
        <v>0.68899999999999995</v>
      </c>
      <c r="HT86" s="7">
        <v>4.4960000000000004</v>
      </c>
      <c r="HU86" s="7">
        <v>5.569</v>
      </c>
      <c r="HV86" s="7">
        <v>6.0419999999999998</v>
      </c>
      <c r="HW86" s="7">
        <v>6.4980000000000002</v>
      </c>
      <c r="HX86" s="7">
        <v>7.1829999999999998</v>
      </c>
      <c r="HY86" s="7">
        <v>1.004</v>
      </c>
      <c r="HZ86" s="7">
        <v>1000</v>
      </c>
      <c r="IA86" s="7"/>
      <c r="IE86" t="s">
        <v>106</v>
      </c>
      <c r="IF86">
        <v>5.633</v>
      </c>
      <c r="IG86">
        <v>0.58099999999999996</v>
      </c>
      <c r="IH86">
        <v>4.4480000000000004</v>
      </c>
      <c r="II86">
        <v>5.2779999999999996</v>
      </c>
      <c r="IJ86">
        <v>5.6449999999999996</v>
      </c>
      <c r="IK86">
        <v>6.0129999999999999</v>
      </c>
      <c r="IL86">
        <v>6.7539999999999996</v>
      </c>
      <c r="IM86">
        <v>1.0609999999999999</v>
      </c>
      <c r="IN86">
        <v>52</v>
      </c>
      <c r="IS86" t="s">
        <v>106</v>
      </c>
      <c r="IT86">
        <v>5.6230000000000002</v>
      </c>
      <c r="IU86">
        <v>0.625</v>
      </c>
      <c r="IV86">
        <v>4.2619999999999996</v>
      </c>
      <c r="IW86">
        <v>5.2270000000000003</v>
      </c>
      <c r="IX86">
        <v>5.6609999999999996</v>
      </c>
      <c r="IY86">
        <v>6.0549999999999997</v>
      </c>
      <c r="IZ86">
        <v>6.774</v>
      </c>
      <c r="JA86">
        <v>1.014</v>
      </c>
      <c r="JB86">
        <v>170</v>
      </c>
      <c r="JF86" t="s">
        <v>106</v>
      </c>
      <c r="JG86">
        <v>5.766</v>
      </c>
      <c r="JH86">
        <v>0.68100000000000005</v>
      </c>
      <c r="JI86">
        <v>4.335</v>
      </c>
      <c r="JJ86">
        <v>5.3259999999999996</v>
      </c>
      <c r="JK86">
        <v>5.7880000000000003</v>
      </c>
      <c r="JL86">
        <v>6.2220000000000004</v>
      </c>
      <c r="JM86">
        <v>7.0490000000000004</v>
      </c>
      <c r="JN86">
        <v>1.006</v>
      </c>
      <c r="JO86">
        <v>580</v>
      </c>
      <c r="JT86" t="s">
        <v>106</v>
      </c>
      <c r="JU86">
        <v>5.7320000000000002</v>
      </c>
      <c r="JV86">
        <v>0.68600000000000005</v>
      </c>
      <c r="JW86">
        <v>4.3780000000000001</v>
      </c>
      <c r="JX86">
        <v>5.2640000000000002</v>
      </c>
      <c r="JY86">
        <v>5.7460000000000004</v>
      </c>
      <c r="JZ86">
        <v>6.2080000000000002</v>
      </c>
      <c r="KA86">
        <v>7.0609999999999999</v>
      </c>
      <c r="KB86">
        <v>1.002</v>
      </c>
      <c r="KC86">
        <v>1800</v>
      </c>
      <c r="KH86" t="s">
        <v>106</v>
      </c>
      <c r="KI86">
        <v>5.9610000000000003</v>
      </c>
      <c r="KJ86">
        <v>0.67900000000000005</v>
      </c>
      <c r="KK86">
        <v>4.5</v>
      </c>
      <c r="KL86">
        <v>5.524</v>
      </c>
      <c r="KM86">
        <v>5.9790000000000001</v>
      </c>
      <c r="KN86">
        <v>6.4489999999999998</v>
      </c>
      <c r="KO86">
        <v>7.1630000000000003</v>
      </c>
      <c r="KP86">
        <v>1.0029999999999999</v>
      </c>
      <c r="KQ86">
        <v>810</v>
      </c>
      <c r="KR86">
        <f t="shared" si="3"/>
        <v>387.99792823170128</v>
      </c>
      <c r="KV86" t="s">
        <v>106</v>
      </c>
      <c r="KW86">
        <v>5.7050000000000001</v>
      </c>
      <c r="KX86">
        <v>0.63400000000000001</v>
      </c>
      <c r="KY86">
        <v>4.4589999999999996</v>
      </c>
      <c r="KZ86">
        <v>5.2469999999999999</v>
      </c>
      <c r="LA86">
        <v>5.72</v>
      </c>
      <c r="LB86">
        <v>6.1740000000000004</v>
      </c>
      <c r="LC86">
        <v>6.859</v>
      </c>
      <c r="LD86">
        <v>1.085</v>
      </c>
      <c r="LE86">
        <v>29</v>
      </c>
      <c r="LJ86" t="s">
        <v>191</v>
      </c>
      <c r="LK86">
        <v>-0.87</v>
      </c>
      <c r="LL86">
        <v>0.16700000000000001</v>
      </c>
      <c r="LM86">
        <v>-1.1990000000000001</v>
      </c>
      <c r="LN86">
        <v>-0.98199999999999998</v>
      </c>
      <c r="LO86">
        <v>-0.86799999999999999</v>
      </c>
      <c r="LP86">
        <v>-0.755</v>
      </c>
      <c r="LQ86">
        <v>-0.54400000000000004</v>
      </c>
      <c r="LR86">
        <v>1.006</v>
      </c>
      <c r="LS86">
        <v>350</v>
      </c>
      <c r="LX86" t="s">
        <v>191</v>
      </c>
      <c r="LY86">
        <v>-1.7330000000000001</v>
      </c>
      <c r="LZ86">
        <v>0.437</v>
      </c>
      <c r="MA86">
        <v>-2.6909999999999998</v>
      </c>
      <c r="MB86">
        <v>-2</v>
      </c>
      <c r="MC86">
        <v>-1.69</v>
      </c>
      <c r="MD86">
        <v>-1.419</v>
      </c>
      <c r="ME86">
        <v>-0.98499999999999999</v>
      </c>
      <c r="MF86">
        <v>1.1539999999999999</v>
      </c>
      <c r="MG86">
        <v>18</v>
      </c>
      <c r="ML86" t="s">
        <v>106</v>
      </c>
      <c r="MM86">
        <v>5.476</v>
      </c>
      <c r="MN86">
        <v>0.99099999999999999</v>
      </c>
      <c r="MO86">
        <v>3.27</v>
      </c>
      <c r="MP86">
        <v>4.8490000000000002</v>
      </c>
      <c r="MQ86">
        <v>5.593</v>
      </c>
      <c r="MR86">
        <v>6.23</v>
      </c>
      <c r="MS86">
        <v>6.992</v>
      </c>
      <c r="MT86">
        <v>1.087</v>
      </c>
      <c r="MU86">
        <v>37</v>
      </c>
      <c r="MZ86" t="s">
        <v>106</v>
      </c>
      <c r="NA86">
        <v>5.6130000000000004</v>
      </c>
      <c r="NB86">
        <v>0.78700000000000003</v>
      </c>
      <c r="NC86">
        <v>3.9929999999999999</v>
      </c>
      <c r="ND86">
        <v>5.0650000000000004</v>
      </c>
      <c r="NE86">
        <v>5.6479999999999997</v>
      </c>
      <c r="NF86">
        <v>6.2080000000000002</v>
      </c>
      <c r="NG86">
        <v>6.9560000000000004</v>
      </c>
      <c r="NH86">
        <v>1.085</v>
      </c>
      <c r="NI86">
        <v>45</v>
      </c>
      <c r="NM86" t="s">
        <v>106</v>
      </c>
      <c r="NN86">
        <v>4.4470000000000001</v>
      </c>
      <c r="NO86">
        <v>0.86099999999999999</v>
      </c>
      <c r="NP86">
        <v>2.552</v>
      </c>
      <c r="NQ86">
        <v>3.875</v>
      </c>
      <c r="NR86">
        <v>4.4589999999999996</v>
      </c>
      <c r="NS86">
        <v>5.1050000000000004</v>
      </c>
      <c r="NT86">
        <v>5.9649999999999999</v>
      </c>
      <c r="NU86">
        <v>1.07</v>
      </c>
      <c r="NV86">
        <v>36</v>
      </c>
      <c r="NY86" t="s">
        <v>106</v>
      </c>
      <c r="NZ86">
        <v>4.9130000000000003</v>
      </c>
      <c r="OA86">
        <v>0.83799999999999997</v>
      </c>
      <c r="OB86">
        <v>2.7829999999999999</v>
      </c>
      <c r="OC86">
        <v>4.45</v>
      </c>
      <c r="OD86">
        <v>5.0439999999999996</v>
      </c>
      <c r="OE86">
        <v>5.5289999999999999</v>
      </c>
      <c r="OF86">
        <v>6.1130000000000004</v>
      </c>
      <c r="OG86">
        <v>1.1379999999999999</v>
      </c>
      <c r="OH86">
        <v>130</v>
      </c>
      <c r="OP86" t="s">
        <v>106</v>
      </c>
      <c r="OQ86">
        <v>4.7329999999999997</v>
      </c>
      <c r="OR86">
        <v>0.74</v>
      </c>
      <c r="OS86">
        <v>3.1760000000000002</v>
      </c>
      <c r="OT86">
        <v>4.2590000000000003</v>
      </c>
      <c r="OU86">
        <v>4.8490000000000002</v>
      </c>
      <c r="OV86">
        <v>5.2480000000000002</v>
      </c>
      <c r="OW86">
        <v>5.968</v>
      </c>
      <c r="OX86">
        <v>1.0940000000000001</v>
      </c>
      <c r="OY86">
        <v>36</v>
      </c>
      <c r="PB86" t="s">
        <v>106</v>
      </c>
      <c r="PC86">
        <v>3.5830000000000002</v>
      </c>
      <c r="PD86">
        <v>0.748</v>
      </c>
      <c r="PE86">
        <v>1.9770000000000001</v>
      </c>
      <c r="PF86">
        <v>3.121</v>
      </c>
      <c r="PG86">
        <v>3.68</v>
      </c>
      <c r="PH86">
        <v>4.1230000000000002</v>
      </c>
      <c r="PI86">
        <v>4.83</v>
      </c>
      <c r="PJ86">
        <v>1.006</v>
      </c>
      <c r="PK86">
        <v>350</v>
      </c>
      <c r="PN86" t="s">
        <v>106</v>
      </c>
      <c r="PO86">
        <v>3.532</v>
      </c>
      <c r="PP86">
        <v>0.86199999999999999</v>
      </c>
      <c r="PQ86">
        <v>1.5720000000000001</v>
      </c>
      <c r="PR86">
        <v>3.0219999999999998</v>
      </c>
      <c r="PS86">
        <v>3.6230000000000002</v>
      </c>
      <c r="PT86">
        <v>4.1849999999999996</v>
      </c>
      <c r="PU86">
        <v>4.8650000000000002</v>
      </c>
      <c r="PV86">
        <v>1.0549999999999999</v>
      </c>
      <c r="PW86">
        <v>64</v>
      </c>
      <c r="QA86" t="s">
        <v>106</v>
      </c>
      <c r="QB86">
        <v>4.9850000000000003</v>
      </c>
      <c r="QC86">
        <v>0.29799999999999999</v>
      </c>
      <c r="QD86">
        <v>4.3019999999999996</v>
      </c>
      <c r="QE86">
        <v>4.8010000000000002</v>
      </c>
      <c r="QF86">
        <v>5.0119999999999996</v>
      </c>
      <c r="QG86">
        <v>5.194</v>
      </c>
      <c r="QH86">
        <v>5.5</v>
      </c>
      <c r="QI86">
        <v>1.05</v>
      </c>
      <c r="QJ86">
        <v>45</v>
      </c>
      <c r="QL86">
        <f t="shared" si="4"/>
        <v>-1.4530000000000003</v>
      </c>
    </row>
    <row r="87" spans="1:454">
      <c r="A87" t="s">
        <v>107</v>
      </c>
      <c r="B87">
        <v>4.13</v>
      </c>
      <c r="C87">
        <v>0.92100000000000004</v>
      </c>
      <c r="D87">
        <v>2.246</v>
      </c>
      <c r="E87">
        <v>3.5379999999999998</v>
      </c>
      <c r="F87">
        <v>4.234</v>
      </c>
      <c r="G87">
        <v>4.7560000000000002</v>
      </c>
      <c r="H87">
        <v>5.9</v>
      </c>
      <c r="I87">
        <v>1.071</v>
      </c>
      <c r="J87">
        <v>45</v>
      </c>
      <c r="O87" t="s">
        <v>107</v>
      </c>
      <c r="P87">
        <v>3</v>
      </c>
      <c r="Q87">
        <v>1.3520000000000001</v>
      </c>
      <c r="R87">
        <v>0.57399999999999995</v>
      </c>
      <c r="S87">
        <v>2.0419999999999998</v>
      </c>
      <c r="T87">
        <v>2.9340000000000002</v>
      </c>
      <c r="U87">
        <v>3.8919999999999999</v>
      </c>
      <c r="V87">
        <v>5.7480000000000002</v>
      </c>
      <c r="W87">
        <v>1.012</v>
      </c>
      <c r="X87">
        <v>230</v>
      </c>
      <c r="AC87" t="s">
        <v>107</v>
      </c>
      <c r="AD87">
        <v>4.8129999999999997</v>
      </c>
      <c r="AE87">
        <v>0.98799999999999999</v>
      </c>
      <c r="AF87">
        <v>2.7930000000000001</v>
      </c>
      <c r="AG87">
        <v>4.141</v>
      </c>
      <c r="AH87">
        <v>4.8330000000000002</v>
      </c>
      <c r="AI87">
        <v>5.484</v>
      </c>
      <c r="AJ87">
        <v>6.7110000000000003</v>
      </c>
      <c r="AK87">
        <v>1.0209999999999999</v>
      </c>
      <c r="AL87">
        <v>99</v>
      </c>
      <c r="AQ87" t="s">
        <v>107</v>
      </c>
      <c r="AR87">
        <v>4.9870000000000001</v>
      </c>
      <c r="AS87">
        <v>0.95299999999999996</v>
      </c>
      <c r="AT87">
        <v>3.0609999999999999</v>
      </c>
      <c r="AU87">
        <v>4.3540000000000001</v>
      </c>
      <c r="AV87">
        <v>5.0119999999999996</v>
      </c>
      <c r="AW87">
        <v>5.6180000000000003</v>
      </c>
      <c r="AX87">
        <v>6.8209999999999997</v>
      </c>
      <c r="AY87">
        <v>1.0209999999999999</v>
      </c>
      <c r="AZ87">
        <v>120</v>
      </c>
      <c r="BE87" t="s">
        <v>107</v>
      </c>
      <c r="BF87">
        <v>5.5549999999999997</v>
      </c>
      <c r="BG87">
        <v>0.72099999999999997</v>
      </c>
      <c r="BH87">
        <v>4.1559999999999997</v>
      </c>
      <c r="BI87">
        <v>5.0730000000000004</v>
      </c>
      <c r="BJ87">
        <v>5.5430000000000001</v>
      </c>
      <c r="BK87">
        <v>6.0430000000000001</v>
      </c>
      <c r="BL87">
        <v>6.984</v>
      </c>
      <c r="BM87">
        <v>1.006</v>
      </c>
      <c r="BN87">
        <v>600</v>
      </c>
      <c r="BS87" t="s">
        <v>107</v>
      </c>
      <c r="BT87">
        <v>4.2789999999999999</v>
      </c>
      <c r="BU87">
        <v>1.105</v>
      </c>
      <c r="BV87">
        <v>2.1080000000000001</v>
      </c>
      <c r="BW87">
        <v>3.5259999999999998</v>
      </c>
      <c r="BX87">
        <v>4.3079999999999998</v>
      </c>
      <c r="BY87">
        <v>5.0439999999999996</v>
      </c>
      <c r="BZ87">
        <v>6.3789999999999996</v>
      </c>
      <c r="CA87">
        <v>1.046</v>
      </c>
      <c r="CB87">
        <v>96</v>
      </c>
      <c r="CG87" t="s">
        <v>107</v>
      </c>
      <c r="CH87">
        <v>5.4580000000000002</v>
      </c>
      <c r="CI87">
        <v>0.74</v>
      </c>
      <c r="CJ87">
        <v>4.07</v>
      </c>
      <c r="CK87">
        <v>4.9379999999999997</v>
      </c>
      <c r="CL87">
        <v>5.4470000000000001</v>
      </c>
      <c r="CM87">
        <v>5.9690000000000003</v>
      </c>
      <c r="CN87">
        <v>6.9610000000000003</v>
      </c>
      <c r="CO87">
        <v>1.0069999999999999</v>
      </c>
      <c r="CP87">
        <v>320</v>
      </c>
      <c r="CU87" t="s">
        <v>107</v>
      </c>
      <c r="CV87">
        <v>5.7329999999999997</v>
      </c>
      <c r="CW87">
        <v>0.88200000000000001</v>
      </c>
      <c r="CX87">
        <v>3.8690000000000002</v>
      </c>
      <c r="CY87">
        <v>5.1180000000000003</v>
      </c>
      <c r="CZ87">
        <v>5.8010000000000002</v>
      </c>
      <c r="DA87">
        <v>6.4169999999999998</v>
      </c>
      <c r="DB87">
        <v>7.1580000000000004</v>
      </c>
      <c r="DC87">
        <v>1.026</v>
      </c>
      <c r="DD87">
        <v>93</v>
      </c>
      <c r="DI87" t="s">
        <v>107</v>
      </c>
      <c r="DJ87">
        <v>4.718</v>
      </c>
      <c r="DK87">
        <v>1.048</v>
      </c>
      <c r="DL87">
        <v>2.5990000000000002</v>
      </c>
      <c r="DM87">
        <v>4.0110000000000001</v>
      </c>
      <c r="DN87">
        <v>4.7350000000000003</v>
      </c>
      <c r="DO87">
        <v>5.4260000000000002</v>
      </c>
      <c r="DP87">
        <v>6.7409999999999997</v>
      </c>
      <c r="DQ87">
        <v>1.0049999999999999</v>
      </c>
      <c r="DR87">
        <v>490</v>
      </c>
      <c r="DY87" t="s">
        <v>107</v>
      </c>
      <c r="DZ87">
        <v>5.3769999999999998</v>
      </c>
      <c r="EA87">
        <v>0.94099999999999995</v>
      </c>
      <c r="EB87">
        <v>3.4089999999999998</v>
      </c>
      <c r="EC87">
        <v>4.7519999999999998</v>
      </c>
      <c r="ED87">
        <v>5.4130000000000003</v>
      </c>
      <c r="EE87">
        <v>6.0609999999999999</v>
      </c>
      <c r="EF87">
        <v>7.0430000000000001</v>
      </c>
      <c r="EG87">
        <v>1.004</v>
      </c>
      <c r="EH87">
        <v>1900</v>
      </c>
      <c r="EK87" t="s">
        <v>107</v>
      </c>
      <c r="EL87">
        <v>5.6050000000000004</v>
      </c>
      <c r="EM87">
        <v>0.90200000000000002</v>
      </c>
      <c r="EN87">
        <v>3.6549999999999998</v>
      </c>
      <c r="EO87">
        <v>5.0110000000000001</v>
      </c>
      <c r="EP87">
        <v>5.6470000000000002</v>
      </c>
      <c r="EQ87">
        <v>6.2560000000000002</v>
      </c>
      <c r="ER87">
        <v>7.1520000000000001</v>
      </c>
      <c r="ES87">
        <v>1.0029999999999999</v>
      </c>
      <c r="ET87">
        <v>690</v>
      </c>
      <c r="EY87" t="s">
        <v>107</v>
      </c>
      <c r="EZ87">
        <v>5.4790000000000001</v>
      </c>
      <c r="FA87">
        <v>0.93600000000000005</v>
      </c>
      <c r="FB87">
        <v>3.484</v>
      </c>
      <c r="FC87">
        <v>4.8680000000000003</v>
      </c>
      <c r="FD87">
        <v>5.5529999999999999</v>
      </c>
      <c r="FE87">
        <v>6.1449999999999996</v>
      </c>
      <c r="FF87">
        <v>7.109</v>
      </c>
      <c r="FG87">
        <v>1.0029999999999999</v>
      </c>
      <c r="FH87">
        <v>1100</v>
      </c>
      <c r="GA87" t="s">
        <v>107</v>
      </c>
      <c r="GB87">
        <v>5.2839999999999998</v>
      </c>
      <c r="GC87">
        <v>0.59899999999999998</v>
      </c>
      <c r="GD87">
        <v>4.149</v>
      </c>
      <c r="GE87">
        <v>4.8899999999999997</v>
      </c>
      <c r="GF87">
        <v>5.26</v>
      </c>
      <c r="GG87">
        <v>5.6580000000000004</v>
      </c>
      <c r="GH87">
        <v>6.5389999999999997</v>
      </c>
      <c r="GI87">
        <v>1.004</v>
      </c>
      <c r="GJ87">
        <v>560</v>
      </c>
      <c r="GO87" t="s">
        <v>107</v>
      </c>
      <c r="GP87">
        <v>5.5220000000000002</v>
      </c>
      <c r="GQ87">
        <v>0.92300000000000004</v>
      </c>
      <c r="GR87">
        <v>3.5249999999999999</v>
      </c>
      <c r="GS87">
        <v>4.9169999999999998</v>
      </c>
      <c r="GT87">
        <v>5.5869999999999997</v>
      </c>
      <c r="GU87">
        <v>6.2080000000000002</v>
      </c>
      <c r="GV87">
        <v>7.1260000000000003</v>
      </c>
      <c r="GW87">
        <v>1.0009999999999999</v>
      </c>
      <c r="GX87">
        <v>2800</v>
      </c>
      <c r="HC87" t="s">
        <v>107</v>
      </c>
      <c r="HD87">
        <v>5.8440000000000003</v>
      </c>
      <c r="HE87">
        <v>0.80900000000000005</v>
      </c>
      <c r="HF87">
        <v>4.1189999999999998</v>
      </c>
      <c r="HG87">
        <v>5.3179999999999996</v>
      </c>
      <c r="HH87">
        <v>5.89</v>
      </c>
      <c r="HI87">
        <v>6.431</v>
      </c>
      <c r="HJ87">
        <v>7.2190000000000003</v>
      </c>
      <c r="HK87">
        <v>1.0029999999999999</v>
      </c>
      <c r="HL87">
        <v>850</v>
      </c>
      <c r="HP87" s="7"/>
      <c r="HQ87" s="7" t="s">
        <v>107</v>
      </c>
      <c r="HR87" s="7">
        <v>5.7809999999999997</v>
      </c>
      <c r="HS87" s="7">
        <v>0.748</v>
      </c>
      <c r="HT87" s="7">
        <v>4.1950000000000003</v>
      </c>
      <c r="HU87" s="7">
        <v>5.3170000000000002</v>
      </c>
      <c r="HV87" s="7">
        <v>5.8150000000000004</v>
      </c>
      <c r="HW87" s="7">
        <v>6.3250000000000002</v>
      </c>
      <c r="HX87" s="7">
        <v>7.1159999999999997</v>
      </c>
      <c r="HY87" s="7">
        <v>1.004</v>
      </c>
      <c r="HZ87" s="7">
        <v>1100</v>
      </c>
      <c r="IA87" s="7"/>
      <c r="IE87" t="s">
        <v>107</v>
      </c>
      <c r="IF87">
        <v>5.3529999999999998</v>
      </c>
      <c r="IG87">
        <v>0.59199999999999997</v>
      </c>
      <c r="IH87">
        <v>4.1109999999999998</v>
      </c>
      <c r="II87">
        <v>4.9800000000000004</v>
      </c>
      <c r="IJ87">
        <v>5.3570000000000002</v>
      </c>
      <c r="IK87">
        <v>5.75</v>
      </c>
      <c r="IL87">
        <v>6.49</v>
      </c>
      <c r="IM87">
        <v>1.071</v>
      </c>
      <c r="IN87">
        <v>43</v>
      </c>
      <c r="IS87" t="s">
        <v>107</v>
      </c>
      <c r="IT87">
        <v>5.3520000000000003</v>
      </c>
      <c r="IU87">
        <v>0.65400000000000003</v>
      </c>
      <c r="IV87">
        <v>3.887</v>
      </c>
      <c r="IW87">
        <v>4.9640000000000004</v>
      </c>
      <c r="IX87">
        <v>5.3739999999999997</v>
      </c>
      <c r="IY87">
        <v>5.78</v>
      </c>
      <c r="IZ87">
        <v>6.5679999999999996</v>
      </c>
      <c r="JA87">
        <v>1.024</v>
      </c>
      <c r="JB87">
        <v>100</v>
      </c>
      <c r="JF87" t="s">
        <v>107</v>
      </c>
      <c r="JG87">
        <v>5.5629999999999997</v>
      </c>
      <c r="JH87">
        <v>0.70499999999999996</v>
      </c>
      <c r="JI87">
        <v>4.1429999999999998</v>
      </c>
      <c r="JJ87">
        <v>5.0999999999999996</v>
      </c>
      <c r="JK87">
        <v>5.5519999999999996</v>
      </c>
      <c r="JL87">
        <v>6.0339999999999998</v>
      </c>
      <c r="JM87">
        <v>6.94</v>
      </c>
      <c r="JN87">
        <v>1.004</v>
      </c>
      <c r="JO87">
        <v>550</v>
      </c>
      <c r="JT87" t="s">
        <v>107</v>
      </c>
      <c r="JU87">
        <v>5.4729999999999999</v>
      </c>
      <c r="JV87">
        <v>0.73199999999999998</v>
      </c>
      <c r="JW87">
        <v>4.0140000000000002</v>
      </c>
      <c r="JX87">
        <v>4.9859999999999998</v>
      </c>
      <c r="JY87">
        <v>5.4729999999999999</v>
      </c>
      <c r="JZ87">
        <v>5.9710000000000001</v>
      </c>
      <c r="KA87">
        <v>6.8760000000000003</v>
      </c>
      <c r="KB87">
        <v>1.002</v>
      </c>
      <c r="KC87">
        <v>3000</v>
      </c>
      <c r="KH87" t="s">
        <v>107</v>
      </c>
      <c r="KI87">
        <v>5.8040000000000003</v>
      </c>
      <c r="KJ87">
        <v>0.73</v>
      </c>
      <c r="KK87">
        <v>4.3540000000000001</v>
      </c>
      <c r="KL87">
        <v>5.3159999999999998</v>
      </c>
      <c r="KM87">
        <v>5.8209999999999997</v>
      </c>
      <c r="KN87">
        <v>6.3090000000000002</v>
      </c>
      <c r="KO87">
        <v>7.173</v>
      </c>
      <c r="KP87">
        <v>1.004</v>
      </c>
      <c r="KQ87">
        <v>880</v>
      </c>
      <c r="KR87">
        <f t="shared" si="3"/>
        <v>331.62340407248792</v>
      </c>
      <c r="KV87" t="s">
        <v>107</v>
      </c>
      <c r="KW87">
        <v>5.9459999999999997</v>
      </c>
      <c r="KX87">
        <v>0.63500000000000001</v>
      </c>
      <c r="KY87">
        <v>4.7110000000000003</v>
      </c>
      <c r="KZ87">
        <v>5.4930000000000003</v>
      </c>
      <c r="LA87">
        <v>5.9589999999999996</v>
      </c>
      <c r="LB87">
        <v>6.431</v>
      </c>
      <c r="LC87">
        <v>7.1070000000000002</v>
      </c>
      <c r="LD87">
        <v>1.0840000000000001</v>
      </c>
      <c r="LE87">
        <v>29</v>
      </c>
      <c r="LJ87" t="s">
        <v>192</v>
      </c>
      <c r="LK87">
        <v>0.20100000000000001</v>
      </c>
      <c r="LL87">
        <v>9.8759999999999994</v>
      </c>
      <c r="LM87">
        <v>-20.472999999999999</v>
      </c>
      <c r="LN87">
        <v>-6.2910000000000004</v>
      </c>
      <c r="LO87">
        <v>0.127</v>
      </c>
      <c r="LP87">
        <v>6.7990000000000004</v>
      </c>
      <c r="LQ87">
        <v>19.606000000000002</v>
      </c>
      <c r="LR87">
        <v>1.0009999999999999</v>
      </c>
      <c r="LS87">
        <v>3000</v>
      </c>
      <c r="LX87" t="s">
        <v>192</v>
      </c>
      <c r="LY87">
        <v>7.4999999999999997E-2</v>
      </c>
      <c r="LZ87">
        <v>9.9749999999999996</v>
      </c>
      <c r="MA87">
        <v>-19.530999999999999</v>
      </c>
      <c r="MB87">
        <v>-6.569</v>
      </c>
      <c r="MC87">
        <v>0.112</v>
      </c>
      <c r="MD87">
        <v>6.9489999999999998</v>
      </c>
      <c r="ME87">
        <v>19.077999999999999</v>
      </c>
      <c r="MF87">
        <v>1.0009999999999999</v>
      </c>
      <c r="MG87">
        <v>2600</v>
      </c>
      <c r="ML87" t="s">
        <v>107</v>
      </c>
      <c r="MM87">
        <v>5.6870000000000003</v>
      </c>
      <c r="MN87">
        <v>0.99099999999999999</v>
      </c>
      <c r="MO87">
        <v>3.4820000000000002</v>
      </c>
      <c r="MP87">
        <v>5.0579999999999998</v>
      </c>
      <c r="MQ87">
        <v>5.8040000000000003</v>
      </c>
      <c r="MR87">
        <v>6.4450000000000003</v>
      </c>
      <c r="MS87">
        <v>7.2009999999999996</v>
      </c>
      <c r="MT87">
        <v>1.087</v>
      </c>
      <c r="MU87">
        <v>36</v>
      </c>
      <c r="MZ87" t="s">
        <v>107</v>
      </c>
      <c r="NA87">
        <v>5.8250000000000002</v>
      </c>
      <c r="NB87">
        <v>0.78100000000000003</v>
      </c>
      <c r="NC87">
        <v>4.2489999999999997</v>
      </c>
      <c r="ND87">
        <v>5.27</v>
      </c>
      <c r="NE87">
        <v>5.843</v>
      </c>
      <c r="NF87">
        <v>6.43</v>
      </c>
      <c r="NG87">
        <v>7.165</v>
      </c>
      <c r="NH87">
        <v>1.081</v>
      </c>
      <c r="NI87">
        <v>44</v>
      </c>
      <c r="NM87" t="s">
        <v>107</v>
      </c>
      <c r="NN87">
        <v>4.5940000000000003</v>
      </c>
      <c r="NO87">
        <v>0.85699999999999998</v>
      </c>
      <c r="NP87">
        <v>2.6970000000000001</v>
      </c>
      <c r="NQ87">
        <v>4.0270000000000001</v>
      </c>
      <c r="NR87">
        <v>4.6050000000000004</v>
      </c>
      <c r="NS87">
        <v>5.2469999999999999</v>
      </c>
      <c r="NT87">
        <v>6.1109999999999998</v>
      </c>
      <c r="NU87">
        <v>1.07</v>
      </c>
      <c r="NV87">
        <v>36</v>
      </c>
      <c r="NY87" t="s">
        <v>107</v>
      </c>
      <c r="NZ87">
        <v>4.9569999999999999</v>
      </c>
      <c r="OA87">
        <v>0.83799999999999997</v>
      </c>
      <c r="OB87">
        <v>2.8340000000000001</v>
      </c>
      <c r="OC87">
        <v>4.4930000000000003</v>
      </c>
      <c r="OD87">
        <v>5.0860000000000003</v>
      </c>
      <c r="OE87">
        <v>5.5730000000000004</v>
      </c>
      <c r="OF87">
        <v>6.1429999999999998</v>
      </c>
      <c r="OG87">
        <v>1.139</v>
      </c>
      <c r="OH87">
        <v>130</v>
      </c>
      <c r="OP87" t="s">
        <v>107</v>
      </c>
      <c r="OQ87">
        <v>4.7699999999999996</v>
      </c>
      <c r="OR87">
        <v>0.72799999999999998</v>
      </c>
      <c r="OS87">
        <v>3.2160000000000002</v>
      </c>
      <c r="OT87">
        <v>4.3049999999999997</v>
      </c>
      <c r="OU87">
        <v>4.8929999999999998</v>
      </c>
      <c r="OV87">
        <v>5.2939999999999996</v>
      </c>
      <c r="OW87">
        <v>5.9489999999999998</v>
      </c>
      <c r="OX87">
        <v>1.097</v>
      </c>
      <c r="OY87">
        <v>34</v>
      </c>
      <c r="PB87" t="s">
        <v>107</v>
      </c>
      <c r="PC87">
        <v>3.7429999999999999</v>
      </c>
      <c r="PD87">
        <v>0.74199999999999999</v>
      </c>
      <c r="PE87">
        <v>2.14</v>
      </c>
      <c r="PF87">
        <v>3.286</v>
      </c>
      <c r="PG87">
        <v>3.8330000000000002</v>
      </c>
      <c r="PH87">
        <v>4.2839999999999998</v>
      </c>
      <c r="PI87">
        <v>4.976</v>
      </c>
      <c r="PJ87">
        <v>1.006</v>
      </c>
      <c r="PK87">
        <v>340</v>
      </c>
      <c r="PN87" t="s">
        <v>107</v>
      </c>
      <c r="PO87">
        <v>3.577</v>
      </c>
      <c r="PP87">
        <v>0.86099999999999999</v>
      </c>
      <c r="PQ87">
        <v>1.625</v>
      </c>
      <c r="PR87">
        <v>3.0649999999999999</v>
      </c>
      <c r="PS87">
        <v>3.661</v>
      </c>
      <c r="PT87">
        <v>4.2329999999999997</v>
      </c>
      <c r="PU87">
        <v>4.8979999999999997</v>
      </c>
      <c r="PV87">
        <v>1.054</v>
      </c>
      <c r="PW87">
        <v>63</v>
      </c>
      <c r="QA87" t="s">
        <v>107</v>
      </c>
      <c r="QB87">
        <v>5.0149999999999997</v>
      </c>
      <c r="QC87">
        <v>0.29899999999999999</v>
      </c>
      <c r="QD87">
        <v>4.3319999999999999</v>
      </c>
      <c r="QE87">
        <v>4.83</v>
      </c>
      <c r="QF87">
        <v>5.0419999999999998</v>
      </c>
      <c r="QG87">
        <v>5.2249999999999996</v>
      </c>
      <c r="QH87">
        <v>5.5350000000000001</v>
      </c>
      <c r="QI87">
        <v>1.0509999999999999</v>
      </c>
      <c r="QJ87">
        <v>44</v>
      </c>
      <c r="QL87">
        <f t="shared" si="4"/>
        <v>-1.4379999999999997</v>
      </c>
    </row>
    <row r="88" spans="1:454">
      <c r="A88" t="s">
        <v>108</v>
      </c>
      <c r="B88">
        <v>4.0629999999999997</v>
      </c>
      <c r="C88">
        <v>0.94399999999999995</v>
      </c>
      <c r="D88">
        <v>2.1030000000000002</v>
      </c>
      <c r="E88">
        <v>3.4649999999999999</v>
      </c>
      <c r="F88">
        <v>4.13</v>
      </c>
      <c r="G88">
        <v>4.6529999999999996</v>
      </c>
      <c r="H88">
        <v>5.8949999999999996</v>
      </c>
      <c r="I88">
        <v>1.0369999999999999</v>
      </c>
      <c r="J88">
        <v>97</v>
      </c>
      <c r="O88" t="s">
        <v>108</v>
      </c>
      <c r="P88">
        <v>3.8330000000000002</v>
      </c>
      <c r="Q88">
        <v>1.6879999999999999</v>
      </c>
      <c r="R88">
        <v>0.60799999999999998</v>
      </c>
      <c r="S88">
        <v>2.577</v>
      </c>
      <c r="T88">
        <v>3.798</v>
      </c>
      <c r="U88">
        <v>5.0659999999999998</v>
      </c>
      <c r="V88">
        <v>6.9950000000000001</v>
      </c>
      <c r="W88">
        <v>1.002</v>
      </c>
      <c r="X88">
        <v>1300</v>
      </c>
      <c r="AC88" t="s">
        <v>108</v>
      </c>
      <c r="AD88">
        <v>5.0449999999999999</v>
      </c>
      <c r="AE88">
        <v>1.0489999999999999</v>
      </c>
      <c r="AF88">
        <v>2.956</v>
      </c>
      <c r="AG88">
        <v>4.3239999999999998</v>
      </c>
      <c r="AH88">
        <v>5.0670000000000002</v>
      </c>
      <c r="AI88">
        <v>5.7969999999999997</v>
      </c>
      <c r="AJ88">
        <v>6.992</v>
      </c>
      <c r="AK88">
        <v>1.014</v>
      </c>
      <c r="AL88">
        <v>150</v>
      </c>
      <c r="AQ88" t="s">
        <v>108</v>
      </c>
      <c r="AR88">
        <v>5.2130000000000001</v>
      </c>
      <c r="AS88">
        <v>0.98299999999999998</v>
      </c>
      <c r="AT88">
        <v>3.2120000000000002</v>
      </c>
      <c r="AU88">
        <v>4.5519999999999996</v>
      </c>
      <c r="AV88">
        <v>5.2549999999999999</v>
      </c>
      <c r="AW88">
        <v>5.9169999999999998</v>
      </c>
      <c r="AX88">
        <v>7.0209999999999999</v>
      </c>
      <c r="AY88">
        <v>1.0189999999999999</v>
      </c>
      <c r="AZ88">
        <v>160</v>
      </c>
      <c r="BE88" t="s">
        <v>108</v>
      </c>
      <c r="BF88">
        <v>5.4130000000000003</v>
      </c>
      <c r="BG88">
        <v>0.81200000000000006</v>
      </c>
      <c r="BH88">
        <v>3.8450000000000002</v>
      </c>
      <c r="BI88">
        <v>4.8630000000000004</v>
      </c>
      <c r="BJ88">
        <v>5.4139999999999997</v>
      </c>
      <c r="BK88">
        <v>5.9770000000000003</v>
      </c>
      <c r="BL88">
        <v>7.0110000000000001</v>
      </c>
      <c r="BM88">
        <v>1.0009999999999999</v>
      </c>
      <c r="BN88">
        <v>3000</v>
      </c>
      <c r="BS88" t="s">
        <v>108</v>
      </c>
      <c r="BT88">
        <v>4.6230000000000002</v>
      </c>
      <c r="BU88">
        <v>1.137</v>
      </c>
      <c r="BV88">
        <v>2.35</v>
      </c>
      <c r="BW88">
        <v>3.835</v>
      </c>
      <c r="BX88">
        <v>4.6319999999999997</v>
      </c>
      <c r="BY88">
        <v>5.4249999999999998</v>
      </c>
      <c r="BZ88">
        <v>6.7539999999999996</v>
      </c>
      <c r="CA88">
        <v>1.014</v>
      </c>
      <c r="CB88">
        <v>330</v>
      </c>
      <c r="CG88" t="s">
        <v>108</v>
      </c>
      <c r="CH88">
        <v>5.3330000000000002</v>
      </c>
      <c r="CI88">
        <v>0.79300000000000004</v>
      </c>
      <c r="CJ88">
        <v>3.8260000000000001</v>
      </c>
      <c r="CK88">
        <v>4.7789999999999999</v>
      </c>
      <c r="CL88">
        <v>5.3220000000000001</v>
      </c>
      <c r="CM88">
        <v>5.8689999999999998</v>
      </c>
      <c r="CN88">
        <v>6.883</v>
      </c>
      <c r="CO88">
        <v>1.008</v>
      </c>
      <c r="CP88">
        <v>260</v>
      </c>
      <c r="CU88" t="s">
        <v>108</v>
      </c>
      <c r="CV88">
        <v>5.6040000000000001</v>
      </c>
      <c r="CW88">
        <v>0.80700000000000005</v>
      </c>
      <c r="CX88">
        <v>3.9430000000000001</v>
      </c>
      <c r="CY88">
        <v>5.0880000000000001</v>
      </c>
      <c r="CZ88">
        <v>5.6660000000000004</v>
      </c>
      <c r="DA88">
        <v>6.1790000000000003</v>
      </c>
      <c r="DB88">
        <v>7.0629999999999997</v>
      </c>
      <c r="DC88">
        <v>1.01</v>
      </c>
      <c r="DD88">
        <v>230</v>
      </c>
      <c r="DI88" t="s">
        <v>108</v>
      </c>
      <c r="DJ88">
        <v>4.899</v>
      </c>
      <c r="DK88">
        <v>1.071</v>
      </c>
      <c r="DL88">
        <v>2.734</v>
      </c>
      <c r="DM88">
        <v>4.1680000000000001</v>
      </c>
      <c r="DN88">
        <v>4.91</v>
      </c>
      <c r="DO88">
        <v>5.6740000000000004</v>
      </c>
      <c r="DP88">
        <v>6.8890000000000002</v>
      </c>
      <c r="DQ88">
        <v>1.0089999999999999</v>
      </c>
      <c r="DR88">
        <v>450</v>
      </c>
      <c r="DY88" t="s">
        <v>108</v>
      </c>
      <c r="DZ88">
        <v>5.3070000000000004</v>
      </c>
      <c r="EA88">
        <v>1.002</v>
      </c>
      <c r="EB88">
        <v>3.2210000000000001</v>
      </c>
      <c r="EC88">
        <v>4.6689999999999996</v>
      </c>
      <c r="ED88">
        <v>5.3769999999999998</v>
      </c>
      <c r="EE88">
        <v>6.0220000000000002</v>
      </c>
      <c r="EF88">
        <v>7.077</v>
      </c>
      <c r="EG88">
        <v>1.0089999999999999</v>
      </c>
      <c r="EH88">
        <v>980</v>
      </c>
      <c r="EK88" t="s">
        <v>108</v>
      </c>
      <c r="EL88">
        <v>5.2069999999999999</v>
      </c>
      <c r="EM88">
        <v>1.173</v>
      </c>
      <c r="EN88">
        <v>2.6669999999999998</v>
      </c>
      <c r="EO88">
        <v>4.4349999999999996</v>
      </c>
      <c r="EP88">
        <v>5.3040000000000003</v>
      </c>
      <c r="EQ88">
        <v>6.0759999999999996</v>
      </c>
      <c r="ER88">
        <v>7.1269999999999998</v>
      </c>
      <c r="ES88">
        <v>1.016</v>
      </c>
      <c r="ET88">
        <v>550</v>
      </c>
      <c r="EY88" t="s">
        <v>108</v>
      </c>
      <c r="EZ88">
        <v>5.4809999999999999</v>
      </c>
      <c r="FA88">
        <v>1.075</v>
      </c>
      <c r="FB88">
        <v>3.25</v>
      </c>
      <c r="FC88">
        <v>4.7619999999999996</v>
      </c>
      <c r="FD88">
        <v>5.5419999999999998</v>
      </c>
      <c r="FE88">
        <v>6.3070000000000004</v>
      </c>
      <c r="FF88">
        <v>7.2610000000000001</v>
      </c>
      <c r="FG88">
        <v>1.0009999999999999</v>
      </c>
      <c r="FH88">
        <v>3000</v>
      </c>
      <c r="GA88" t="s">
        <v>108</v>
      </c>
      <c r="GB88">
        <v>5.34</v>
      </c>
      <c r="GC88">
        <v>0.79500000000000004</v>
      </c>
      <c r="GD88">
        <v>3.8580000000000001</v>
      </c>
      <c r="GE88">
        <v>4.7859999999999996</v>
      </c>
      <c r="GF88">
        <v>5.31</v>
      </c>
      <c r="GG88">
        <v>5.8760000000000003</v>
      </c>
      <c r="GH88">
        <v>6.9379999999999997</v>
      </c>
      <c r="GI88">
        <v>1.0009999999999999</v>
      </c>
      <c r="GJ88">
        <v>3000</v>
      </c>
      <c r="GO88" t="s">
        <v>108</v>
      </c>
      <c r="GP88">
        <v>5.4470000000000001</v>
      </c>
      <c r="GQ88">
        <v>1.06</v>
      </c>
      <c r="GR88">
        <v>3.2770000000000001</v>
      </c>
      <c r="GS88">
        <v>4.74</v>
      </c>
      <c r="GT88">
        <v>5.52</v>
      </c>
      <c r="GU88">
        <v>6.2359999999999998</v>
      </c>
      <c r="GV88">
        <v>7.218</v>
      </c>
      <c r="GW88">
        <v>1.0049999999999999</v>
      </c>
      <c r="GX88">
        <v>460</v>
      </c>
      <c r="HC88" t="s">
        <v>108</v>
      </c>
      <c r="HD88">
        <v>5.6760000000000002</v>
      </c>
      <c r="HE88">
        <v>0.94499999999999995</v>
      </c>
      <c r="HF88">
        <v>3.6480000000000001</v>
      </c>
      <c r="HG88">
        <v>5.0549999999999997</v>
      </c>
      <c r="HH88">
        <v>5.742</v>
      </c>
      <c r="HI88">
        <v>6.399</v>
      </c>
      <c r="HJ88">
        <v>7.218</v>
      </c>
      <c r="HK88">
        <v>1.008</v>
      </c>
      <c r="HL88">
        <v>290</v>
      </c>
      <c r="HP88" s="7"/>
      <c r="HQ88" s="7" t="s">
        <v>108</v>
      </c>
      <c r="HR88" s="7">
        <v>5.7240000000000002</v>
      </c>
      <c r="HS88" s="7">
        <v>0.90100000000000002</v>
      </c>
      <c r="HT88" s="7">
        <v>3.8690000000000002</v>
      </c>
      <c r="HU88" s="7">
        <v>5.117</v>
      </c>
      <c r="HV88" s="7">
        <v>5.7590000000000003</v>
      </c>
      <c r="HW88" s="7">
        <v>6.4219999999999997</v>
      </c>
      <c r="HX88" s="7">
        <v>7.2409999999999997</v>
      </c>
      <c r="HY88" s="7">
        <v>1.0029999999999999</v>
      </c>
      <c r="HZ88" s="7">
        <v>1000</v>
      </c>
      <c r="IA88" s="7"/>
      <c r="IE88" t="s">
        <v>108</v>
      </c>
      <c r="IF88">
        <v>5.3920000000000003</v>
      </c>
      <c r="IG88">
        <v>0.85499999999999998</v>
      </c>
      <c r="IH88">
        <v>3.8330000000000002</v>
      </c>
      <c r="II88">
        <v>4.798</v>
      </c>
      <c r="IJ88">
        <v>5.3360000000000003</v>
      </c>
      <c r="IK88">
        <v>5.9930000000000003</v>
      </c>
      <c r="IL88">
        <v>7.0709999999999997</v>
      </c>
      <c r="IM88">
        <v>1.0129999999999999</v>
      </c>
      <c r="IN88">
        <v>210</v>
      </c>
      <c r="IS88" t="s">
        <v>108</v>
      </c>
      <c r="IT88">
        <v>5.391</v>
      </c>
      <c r="IU88">
        <v>0.84299999999999997</v>
      </c>
      <c r="IV88">
        <v>3.774</v>
      </c>
      <c r="IW88">
        <v>4.8120000000000003</v>
      </c>
      <c r="IX88">
        <v>5.3689999999999998</v>
      </c>
      <c r="IY88">
        <v>5.9740000000000002</v>
      </c>
      <c r="IZ88">
        <v>7.0439999999999996</v>
      </c>
      <c r="JA88">
        <v>1.0089999999999999</v>
      </c>
      <c r="JB88">
        <v>280</v>
      </c>
      <c r="JF88" t="s">
        <v>108</v>
      </c>
      <c r="JG88">
        <v>5.5620000000000003</v>
      </c>
      <c r="JH88">
        <v>0.89600000000000002</v>
      </c>
      <c r="JI88">
        <v>3.855</v>
      </c>
      <c r="JJ88">
        <v>4.9180000000000001</v>
      </c>
      <c r="JK88">
        <v>5.593</v>
      </c>
      <c r="JL88">
        <v>6.218</v>
      </c>
      <c r="JM88">
        <v>7.1760000000000002</v>
      </c>
      <c r="JN88">
        <v>1.006</v>
      </c>
      <c r="JO88">
        <v>440</v>
      </c>
      <c r="JT88" t="s">
        <v>108</v>
      </c>
      <c r="JU88">
        <v>5.5149999999999997</v>
      </c>
      <c r="JV88">
        <v>0.89500000000000002</v>
      </c>
      <c r="JW88">
        <v>3.819</v>
      </c>
      <c r="JX88">
        <v>4.8650000000000002</v>
      </c>
      <c r="JY88">
        <v>5.5179999999999998</v>
      </c>
      <c r="JZ88">
        <v>6.18</v>
      </c>
      <c r="KA88">
        <v>7.1669999999999998</v>
      </c>
      <c r="KB88">
        <v>1.0009999999999999</v>
      </c>
      <c r="KC88">
        <v>3000</v>
      </c>
      <c r="KH88" t="s">
        <v>108</v>
      </c>
      <c r="KI88">
        <v>5.7610000000000001</v>
      </c>
      <c r="KJ88">
        <v>0.89200000000000002</v>
      </c>
      <c r="KK88">
        <v>3.9860000000000002</v>
      </c>
      <c r="KL88">
        <v>5.1369999999999996</v>
      </c>
      <c r="KM88">
        <v>5.78</v>
      </c>
      <c r="KN88">
        <v>6.4690000000000003</v>
      </c>
      <c r="KO88">
        <v>7.25</v>
      </c>
      <c r="KP88">
        <v>1.0009999999999999</v>
      </c>
      <c r="KQ88">
        <v>2500</v>
      </c>
      <c r="KR88">
        <f t="shared" si="3"/>
        <v>317.66583597383749</v>
      </c>
      <c r="KV88" t="s">
        <v>108</v>
      </c>
      <c r="KW88">
        <v>5.6879999999999997</v>
      </c>
      <c r="KX88">
        <v>0.63500000000000001</v>
      </c>
      <c r="KY88">
        <v>4.4379999999999997</v>
      </c>
      <c r="KZ88">
        <v>5.2309999999999999</v>
      </c>
      <c r="LA88">
        <v>5.7060000000000004</v>
      </c>
      <c r="LB88">
        <v>6.1539999999999999</v>
      </c>
      <c r="LC88">
        <v>6.8479999999999999</v>
      </c>
      <c r="LD88">
        <v>1.0840000000000001</v>
      </c>
      <c r="LE88">
        <v>29</v>
      </c>
      <c r="LJ88" t="s">
        <v>131</v>
      </c>
      <c r="LK88">
        <v>0.96499999999999997</v>
      </c>
      <c r="LL88">
        <v>3.3000000000000002E-2</v>
      </c>
      <c r="LM88">
        <v>0.88100000000000001</v>
      </c>
      <c r="LN88">
        <v>0.95</v>
      </c>
      <c r="LO88">
        <v>0.97399999999999998</v>
      </c>
      <c r="LP88">
        <v>0.99</v>
      </c>
      <c r="LQ88">
        <v>0.999</v>
      </c>
      <c r="LR88">
        <v>1.004</v>
      </c>
      <c r="LS88">
        <v>1100</v>
      </c>
      <c r="LX88" t="s">
        <v>131</v>
      </c>
      <c r="LY88">
        <v>-2.2450000000000001</v>
      </c>
      <c r="LZ88">
        <v>3.7050000000000001</v>
      </c>
      <c r="MA88">
        <v>-9.5830000000000002</v>
      </c>
      <c r="MB88">
        <v>-4.6509999999999998</v>
      </c>
      <c r="MC88">
        <v>-2.2770000000000001</v>
      </c>
      <c r="MD88">
        <v>0.23400000000000001</v>
      </c>
      <c r="ME88">
        <v>4.8010000000000002</v>
      </c>
      <c r="MF88">
        <v>1.286</v>
      </c>
      <c r="MG88">
        <v>12</v>
      </c>
      <c r="ML88" t="s">
        <v>108</v>
      </c>
      <c r="MM88">
        <v>5.4610000000000003</v>
      </c>
      <c r="MN88">
        <v>0.99099999999999999</v>
      </c>
      <c r="MO88">
        <v>3.254</v>
      </c>
      <c r="MP88">
        <v>4.835</v>
      </c>
      <c r="MQ88">
        <v>5.5789999999999997</v>
      </c>
      <c r="MR88">
        <v>6.2149999999999999</v>
      </c>
      <c r="MS88">
        <v>6.98</v>
      </c>
      <c r="MT88">
        <v>1.087</v>
      </c>
      <c r="MU88">
        <v>37</v>
      </c>
      <c r="MZ88" t="s">
        <v>108</v>
      </c>
      <c r="NA88">
        <v>5.5979999999999999</v>
      </c>
      <c r="NB88">
        <v>0.78800000000000003</v>
      </c>
      <c r="NC88">
        <v>3.9769999999999999</v>
      </c>
      <c r="ND88">
        <v>5.05</v>
      </c>
      <c r="NE88">
        <v>5.6340000000000003</v>
      </c>
      <c r="NF88">
        <v>6.1950000000000003</v>
      </c>
      <c r="NG88">
        <v>6.9470000000000001</v>
      </c>
      <c r="NH88">
        <v>1.085</v>
      </c>
      <c r="NI88">
        <v>45</v>
      </c>
      <c r="NM88" t="s">
        <v>108</v>
      </c>
      <c r="NN88">
        <v>4.4370000000000003</v>
      </c>
      <c r="NO88">
        <v>0.86099999999999999</v>
      </c>
      <c r="NP88">
        <v>2.54</v>
      </c>
      <c r="NQ88">
        <v>3.8639999999999999</v>
      </c>
      <c r="NR88">
        <v>4.4489999999999998</v>
      </c>
      <c r="NS88">
        <v>5.0949999999999998</v>
      </c>
      <c r="NT88">
        <v>5.9560000000000004</v>
      </c>
      <c r="NU88">
        <v>1.07</v>
      </c>
      <c r="NV88">
        <v>36</v>
      </c>
      <c r="NY88" t="s">
        <v>108</v>
      </c>
      <c r="NZ88">
        <v>4.91</v>
      </c>
      <c r="OA88">
        <v>0.83799999999999997</v>
      </c>
      <c r="OB88">
        <v>2.778</v>
      </c>
      <c r="OC88">
        <v>4.4470000000000001</v>
      </c>
      <c r="OD88">
        <v>5.04</v>
      </c>
      <c r="OE88">
        <v>5.5259999999999998</v>
      </c>
      <c r="OF88">
        <v>6.11</v>
      </c>
      <c r="OG88">
        <v>1.1379999999999999</v>
      </c>
      <c r="OH88">
        <v>130</v>
      </c>
      <c r="OP88" t="s">
        <v>108</v>
      </c>
      <c r="OQ88">
        <v>4.7300000000000004</v>
      </c>
      <c r="OR88">
        <v>0.74099999999999999</v>
      </c>
      <c r="OS88">
        <v>3.1749999999999998</v>
      </c>
      <c r="OT88">
        <v>4.2560000000000002</v>
      </c>
      <c r="OU88">
        <v>4.8440000000000003</v>
      </c>
      <c r="OV88">
        <v>5.2450000000000001</v>
      </c>
      <c r="OW88">
        <v>5.9710000000000001</v>
      </c>
      <c r="OX88">
        <v>1.0940000000000001</v>
      </c>
      <c r="OY88">
        <v>36</v>
      </c>
      <c r="PB88" t="s">
        <v>108</v>
      </c>
      <c r="PC88">
        <v>3.5720000000000001</v>
      </c>
      <c r="PD88">
        <v>0.748</v>
      </c>
      <c r="PE88">
        <v>1.9690000000000001</v>
      </c>
      <c r="PF88">
        <v>3.11</v>
      </c>
      <c r="PG88">
        <v>3.6720000000000002</v>
      </c>
      <c r="PH88">
        <v>4.1109999999999998</v>
      </c>
      <c r="PI88">
        <v>4.8230000000000004</v>
      </c>
      <c r="PJ88">
        <v>1.006</v>
      </c>
      <c r="PK88">
        <v>350</v>
      </c>
      <c r="PN88" t="s">
        <v>108</v>
      </c>
      <c r="PO88">
        <v>3.4289999999999998</v>
      </c>
      <c r="PP88">
        <v>0.86799999999999999</v>
      </c>
      <c r="PQ88">
        <v>1.474</v>
      </c>
      <c r="PR88">
        <v>2.911</v>
      </c>
      <c r="PS88">
        <v>3.51</v>
      </c>
      <c r="PT88">
        <v>4.0810000000000004</v>
      </c>
      <c r="PU88">
        <v>4.7690000000000001</v>
      </c>
      <c r="PV88">
        <v>1.0469999999999999</v>
      </c>
      <c r="PW88">
        <v>48</v>
      </c>
      <c r="QA88" t="s">
        <v>108</v>
      </c>
      <c r="QB88">
        <v>4.8540000000000001</v>
      </c>
      <c r="QC88">
        <v>0.29799999999999999</v>
      </c>
      <c r="QD88">
        <v>4.1779999999999999</v>
      </c>
      <c r="QE88">
        <v>4.6710000000000003</v>
      </c>
      <c r="QF88">
        <v>4.8819999999999997</v>
      </c>
      <c r="QG88">
        <v>5.0640000000000001</v>
      </c>
      <c r="QH88">
        <v>5.3630000000000004</v>
      </c>
      <c r="QI88">
        <v>1.044</v>
      </c>
      <c r="QJ88">
        <v>52</v>
      </c>
      <c r="QL88">
        <f t="shared" si="4"/>
        <v>-1.4250000000000003</v>
      </c>
    </row>
    <row r="89" spans="1:454">
      <c r="A89" t="s">
        <v>109</v>
      </c>
      <c r="B89">
        <v>4.5330000000000004</v>
      </c>
      <c r="C89">
        <v>0.93700000000000006</v>
      </c>
      <c r="D89">
        <v>2.6539999999999999</v>
      </c>
      <c r="E89">
        <v>3.948</v>
      </c>
      <c r="F89">
        <v>4.5720000000000001</v>
      </c>
      <c r="G89">
        <v>5.0880000000000001</v>
      </c>
      <c r="H89">
        <v>6.391</v>
      </c>
      <c r="I89">
        <v>1.0820000000000001</v>
      </c>
      <c r="J89">
        <v>57</v>
      </c>
      <c r="O89" t="s">
        <v>109</v>
      </c>
      <c r="P89">
        <v>5.702</v>
      </c>
      <c r="Q89">
        <v>1.093</v>
      </c>
      <c r="R89">
        <v>3.3220000000000001</v>
      </c>
      <c r="S89">
        <v>4.9420000000000002</v>
      </c>
      <c r="T89">
        <v>5.8419999999999996</v>
      </c>
      <c r="U89">
        <v>6.5819999999999999</v>
      </c>
      <c r="V89">
        <v>7.298</v>
      </c>
      <c r="W89">
        <v>1.018</v>
      </c>
      <c r="X89">
        <v>140</v>
      </c>
      <c r="AC89" t="s">
        <v>109</v>
      </c>
      <c r="AD89">
        <v>6.2370000000000001</v>
      </c>
      <c r="AE89">
        <v>0.76100000000000001</v>
      </c>
      <c r="AF89">
        <v>4.5810000000000004</v>
      </c>
      <c r="AG89">
        <v>5.7290000000000001</v>
      </c>
      <c r="AH89">
        <v>6.359</v>
      </c>
      <c r="AI89">
        <v>6.8490000000000002</v>
      </c>
      <c r="AJ89">
        <v>7.3150000000000004</v>
      </c>
      <c r="AK89">
        <v>1.0409999999999999</v>
      </c>
      <c r="AL89">
        <v>67</v>
      </c>
      <c r="AQ89" t="s">
        <v>109</v>
      </c>
      <c r="AR89">
        <v>6.3620000000000001</v>
      </c>
      <c r="AS89">
        <v>0.70199999999999996</v>
      </c>
      <c r="AT89">
        <v>4.76</v>
      </c>
      <c r="AU89">
        <v>5.9189999999999996</v>
      </c>
      <c r="AV89">
        <v>6.48</v>
      </c>
      <c r="AW89">
        <v>6.9210000000000003</v>
      </c>
      <c r="AX89">
        <v>7.34</v>
      </c>
      <c r="AY89">
        <v>1.02</v>
      </c>
      <c r="AZ89">
        <v>140</v>
      </c>
      <c r="BE89" t="s">
        <v>109</v>
      </c>
      <c r="BF89">
        <v>6.7080000000000002</v>
      </c>
      <c r="BG89">
        <v>0.48399999999999999</v>
      </c>
      <c r="BH89">
        <v>5.5730000000000004</v>
      </c>
      <c r="BI89">
        <v>6.4050000000000002</v>
      </c>
      <c r="BJ89">
        <v>6.7960000000000003</v>
      </c>
      <c r="BK89">
        <v>7.0949999999999998</v>
      </c>
      <c r="BL89">
        <v>7.351</v>
      </c>
      <c r="BM89">
        <v>1.0009999999999999</v>
      </c>
      <c r="BN89">
        <v>3000</v>
      </c>
      <c r="BS89" t="s">
        <v>109</v>
      </c>
      <c r="BT89">
        <v>6.0839999999999996</v>
      </c>
      <c r="BU89">
        <v>0.77900000000000003</v>
      </c>
      <c r="BV89">
        <v>4.5090000000000003</v>
      </c>
      <c r="BW89">
        <v>5.5279999999999996</v>
      </c>
      <c r="BX89">
        <v>6.141</v>
      </c>
      <c r="BY89">
        <v>6.6970000000000001</v>
      </c>
      <c r="BZ89">
        <v>7.3040000000000003</v>
      </c>
      <c r="CA89">
        <v>1.004</v>
      </c>
      <c r="CB89">
        <v>720</v>
      </c>
      <c r="CG89" t="s">
        <v>109</v>
      </c>
      <c r="CH89">
        <v>6.6689999999999996</v>
      </c>
      <c r="CI89">
        <v>0.50700000000000001</v>
      </c>
      <c r="CJ89">
        <v>5.4930000000000003</v>
      </c>
      <c r="CK89">
        <v>6.3380000000000001</v>
      </c>
      <c r="CL89">
        <v>6.7590000000000003</v>
      </c>
      <c r="CM89">
        <v>7.0789999999999997</v>
      </c>
      <c r="CN89">
        <v>7.343</v>
      </c>
      <c r="CO89">
        <v>1.0269999999999999</v>
      </c>
      <c r="CP89">
        <v>94</v>
      </c>
      <c r="CU89" t="s">
        <v>109</v>
      </c>
      <c r="CV89">
        <v>6.58</v>
      </c>
      <c r="CW89">
        <v>0.56200000000000006</v>
      </c>
      <c r="CX89">
        <v>5.3150000000000004</v>
      </c>
      <c r="CY89">
        <v>6.2210000000000001</v>
      </c>
      <c r="CZ89">
        <v>6.6769999999999996</v>
      </c>
      <c r="DA89">
        <v>7.0460000000000003</v>
      </c>
      <c r="DB89">
        <v>7.3390000000000004</v>
      </c>
      <c r="DC89">
        <v>1.02</v>
      </c>
      <c r="DD89">
        <v>130</v>
      </c>
      <c r="DI89" t="s">
        <v>109</v>
      </c>
      <c r="DJ89">
        <v>6.1369999999999996</v>
      </c>
      <c r="DK89">
        <v>0.81899999999999995</v>
      </c>
      <c r="DL89">
        <v>4.2939999999999996</v>
      </c>
      <c r="DM89">
        <v>5.5780000000000003</v>
      </c>
      <c r="DN89">
        <v>6.2329999999999997</v>
      </c>
      <c r="DO89">
        <v>6.8109999999999999</v>
      </c>
      <c r="DP89">
        <v>7.319</v>
      </c>
      <c r="DQ89">
        <v>1.0249999999999999</v>
      </c>
      <c r="DR89">
        <v>120</v>
      </c>
      <c r="DY89" t="s">
        <v>109</v>
      </c>
      <c r="DZ89">
        <v>6.4050000000000002</v>
      </c>
      <c r="EA89">
        <v>0.70699999999999996</v>
      </c>
      <c r="EB89">
        <v>4.766</v>
      </c>
      <c r="EC89">
        <v>5.9619999999999997</v>
      </c>
      <c r="ED89">
        <v>6.5490000000000004</v>
      </c>
      <c r="EE89">
        <v>6.968</v>
      </c>
      <c r="EF89">
        <v>7.3380000000000001</v>
      </c>
      <c r="EG89">
        <v>1.0009999999999999</v>
      </c>
      <c r="EH89">
        <v>3000</v>
      </c>
      <c r="EK89" t="s">
        <v>109</v>
      </c>
      <c r="EL89">
        <v>6.35</v>
      </c>
      <c r="EM89">
        <v>0.73</v>
      </c>
      <c r="EN89">
        <v>4.6289999999999996</v>
      </c>
      <c r="EO89">
        <v>5.9109999999999996</v>
      </c>
      <c r="EP89">
        <v>6.4880000000000004</v>
      </c>
      <c r="EQ89">
        <v>6.9269999999999996</v>
      </c>
      <c r="ER89">
        <v>7.3390000000000004</v>
      </c>
      <c r="ES89">
        <v>1.0029999999999999</v>
      </c>
      <c r="ET89">
        <v>640</v>
      </c>
      <c r="EY89" t="s">
        <v>109</v>
      </c>
      <c r="EZ89">
        <v>6.65</v>
      </c>
      <c r="FA89">
        <v>0.58799999999999997</v>
      </c>
      <c r="FB89">
        <v>5.1130000000000004</v>
      </c>
      <c r="FC89">
        <v>6.3470000000000004</v>
      </c>
      <c r="FD89">
        <v>6.7850000000000001</v>
      </c>
      <c r="FE89">
        <v>7.1070000000000002</v>
      </c>
      <c r="FF89">
        <v>7.3529999999999998</v>
      </c>
      <c r="FG89">
        <v>1.0029999999999999</v>
      </c>
      <c r="FH89">
        <v>1900</v>
      </c>
      <c r="GA89" t="s">
        <v>109</v>
      </c>
      <c r="GB89">
        <v>6.4379999999999997</v>
      </c>
      <c r="GC89">
        <v>0.52300000000000002</v>
      </c>
      <c r="GD89">
        <v>5.3470000000000004</v>
      </c>
      <c r="GE89">
        <v>6.0810000000000004</v>
      </c>
      <c r="GF89">
        <v>6.468</v>
      </c>
      <c r="GG89">
        <v>6.843</v>
      </c>
      <c r="GH89">
        <v>7.2939999999999996</v>
      </c>
      <c r="GI89">
        <v>1.0009999999999999</v>
      </c>
      <c r="GJ89">
        <v>2500</v>
      </c>
      <c r="GO89" t="s">
        <v>109</v>
      </c>
      <c r="GP89">
        <v>6.6630000000000003</v>
      </c>
      <c r="GQ89">
        <v>0.57799999999999996</v>
      </c>
      <c r="GR89">
        <v>5.2320000000000002</v>
      </c>
      <c r="GS89">
        <v>6.3369999999999997</v>
      </c>
      <c r="GT89">
        <v>6.7990000000000004</v>
      </c>
      <c r="GU89">
        <v>7.1219999999999999</v>
      </c>
      <c r="GV89">
        <v>7.3559999999999999</v>
      </c>
      <c r="GW89">
        <v>1.0009999999999999</v>
      </c>
      <c r="GX89">
        <v>2400</v>
      </c>
      <c r="HC89" t="s">
        <v>109</v>
      </c>
      <c r="HD89">
        <v>6.76</v>
      </c>
      <c r="HE89">
        <v>0.51400000000000001</v>
      </c>
      <c r="HF89">
        <v>5.41</v>
      </c>
      <c r="HG89">
        <v>6.4950000000000001</v>
      </c>
      <c r="HH89">
        <v>6.8929999999999998</v>
      </c>
      <c r="HI89">
        <v>7.1479999999999997</v>
      </c>
      <c r="HJ89">
        <v>7.36</v>
      </c>
      <c r="HK89">
        <v>1.002</v>
      </c>
      <c r="HL89">
        <v>1800</v>
      </c>
      <c r="HP89" s="7"/>
      <c r="HQ89" s="7" t="s">
        <v>109</v>
      </c>
      <c r="HR89" s="7">
        <v>6.8310000000000004</v>
      </c>
      <c r="HS89" s="7">
        <v>0.45800000000000002</v>
      </c>
      <c r="HT89" s="7">
        <v>5.657</v>
      </c>
      <c r="HU89" s="7">
        <v>6.5979999999999999</v>
      </c>
      <c r="HV89" s="7">
        <v>6.944</v>
      </c>
      <c r="HW89" s="7">
        <v>7.1890000000000001</v>
      </c>
      <c r="HX89" s="7">
        <v>7.359</v>
      </c>
      <c r="HY89" s="7">
        <v>1.0069999999999999</v>
      </c>
      <c r="HZ89" s="7">
        <v>700</v>
      </c>
      <c r="IA89" s="7"/>
      <c r="IE89" t="s">
        <v>109</v>
      </c>
      <c r="IF89">
        <v>6.6769999999999996</v>
      </c>
      <c r="IG89">
        <v>0.47499999999999998</v>
      </c>
      <c r="IH89">
        <v>5.58</v>
      </c>
      <c r="II89">
        <v>6.4059999999999997</v>
      </c>
      <c r="IJ89">
        <v>6.7439999999999998</v>
      </c>
      <c r="IK89">
        <v>7.0449999999999999</v>
      </c>
      <c r="IL89">
        <v>7.3390000000000004</v>
      </c>
      <c r="IM89">
        <v>1.0409999999999999</v>
      </c>
      <c r="IN89">
        <v>110</v>
      </c>
      <c r="IS89" t="s">
        <v>109</v>
      </c>
      <c r="IT89">
        <v>6.5780000000000003</v>
      </c>
      <c r="IU89">
        <v>0.51600000000000001</v>
      </c>
      <c r="IV89">
        <v>5.36</v>
      </c>
      <c r="IW89">
        <v>6.2590000000000003</v>
      </c>
      <c r="IX89">
        <v>6.64</v>
      </c>
      <c r="IY89">
        <v>6.9820000000000002</v>
      </c>
      <c r="IZ89">
        <v>7.327</v>
      </c>
      <c r="JA89">
        <v>1.014</v>
      </c>
      <c r="JB89">
        <v>210</v>
      </c>
      <c r="JF89" t="s">
        <v>109</v>
      </c>
      <c r="JG89">
        <v>6.6719999999999997</v>
      </c>
      <c r="JH89">
        <v>0.52600000000000002</v>
      </c>
      <c r="JI89">
        <v>5.4139999999999997</v>
      </c>
      <c r="JJ89">
        <v>6.3710000000000004</v>
      </c>
      <c r="JK89">
        <v>6.782</v>
      </c>
      <c r="JL89">
        <v>7.0819999999999999</v>
      </c>
      <c r="JM89">
        <v>7.35</v>
      </c>
      <c r="JN89">
        <v>1.004</v>
      </c>
      <c r="JO89">
        <v>770</v>
      </c>
      <c r="JT89" t="s">
        <v>109</v>
      </c>
      <c r="JU89">
        <v>6.64</v>
      </c>
      <c r="JV89">
        <v>0.53300000000000003</v>
      </c>
      <c r="JW89">
        <v>5.4039999999999999</v>
      </c>
      <c r="JX89">
        <v>6.3</v>
      </c>
      <c r="JY89">
        <v>6.742</v>
      </c>
      <c r="JZ89">
        <v>7.07</v>
      </c>
      <c r="KA89">
        <v>7.3419999999999996</v>
      </c>
      <c r="KB89">
        <v>1.002</v>
      </c>
      <c r="KC89">
        <v>1100</v>
      </c>
      <c r="KH89" t="s">
        <v>109</v>
      </c>
      <c r="KI89">
        <v>6.7210000000000001</v>
      </c>
      <c r="KJ89">
        <v>0.49299999999999999</v>
      </c>
      <c r="KK89">
        <v>5.5190000000000001</v>
      </c>
      <c r="KL89">
        <v>6.4370000000000003</v>
      </c>
      <c r="KM89">
        <v>6.8170000000000002</v>
      </c>
      <c r="KN89">
        <v>7.1120000000000001</v>
      </c>
      <c r="KO89">
        <v>7.35</v>
      </c>
      <c r="KP89">
        <v>1.008</v>
      </c>
      <c r="KQ89">
        <v>740</v>
      </c>
      <c r="KR89">
        <f t="shared" si="3"/>
        <v>829.64674353987789</v>
      </c>
      <c r="KV89" t="s">
        <v>109</v>
      </c>
      <c r="KW89">
        <v>5.9930000000000003</v>
      </c>
      <c r="KX89">
        <v>0.63900000000000001</v>
      </c>
      <c r="KY89">
        <v>4.7640000000000002</v>
      </c>
      <c r="KZ89">
        <v>5.5309999999999997</v>
      </c>
      <c r="LA89">
        <v>6.0019999999999998</v>
      </c>
      <c r="LB89">
        <v>6.4770000000000003</v>
      </c>
      <c r="LC89">
        <v>7.1669999999999998</v>
      </c>
      <c r="LD89">
        <v>1.083</v>
      </c>
      <c r="LE89">
        <v>29</v>
      </c>
      <c r="LJ89" t="s">
        <v>132</v>
      </c>
      <c r="LK89">
        <v>0.97699999999999998</v>
      </c>
      <c r="LL89">
        <v>0.02</v>
      </c>
      <c r="LM89">
        <v>0.92500000000000004</v>
      </c>
      <c r="LN89">
        <v>0.96699999999999997</v>
      </c>
      <c r="LO89">
        <v>0.98199999999999998</v>
      </c>
      <c r="LP89">
        <v>0.99199999999999999</v>
      </c>
      <c r="LQ89">
        <v>0.999</v>
      </c>
      <c r="LR89">
        <v>1.0009999999999999</v>
      </c>
      <c r="LS89">
        <v>3000</v>
      </c>
      <c r="LX89" t="s">
        <v>132</v>
      </c>
      <c r="LY89">
        <v>-0.79600000000000004</v>
      </c>
      <c r="LZ89">
        <v>5.0579999999999998</v>
      </c>
      <c r="MA89">
        <v>-9.7270000000000003</v>
      </c>
      <c r="MB89">
        <v>-4.548</v>
      </c>
      <c r="MC89">
        <v>-1.4419999999999999</v>
      </c>
      <c r="MD89">
        <v>3.3879999999999999</v>
      </c>
      <c r="ME89">
        <v>8.7680000000000007</v>
      </c>
      <c r="MF89">
        <v>2.5910000000000002</v>
      </c>
      <c r="MG89">
        <v>4</v>
      </c>
      <c r="ML89" t="s">
        <v>109</v>
      </c>
      <c r="MM89">
        <v>5.7290000000000001</v>
      </c>
      <c r="MN89">
        <v>0.99299999999999999</v>
      </c>
      <c r="MO89">
        <v>3.5190000000000001</v>
      </c>
      <c r="MP89">
        <v>5.0990000000000002</v>
      </c>
      <c r="MQ89">
        <v>5.8449999999999998</v>
      </c>
      <c r="MR89">
        <v>6.4880000000000004</v>
      </c>
      <c r="MS89">
        <v>7.2480000000000002</v>
      </c>
      <c r="MT89">
        <v>1.087</v>
      </c>
      <c r="MU89">
        <v>36</v>
      </c>
      <c r="MZ89" t="s">
        <v>109</v>
      </c>
      <c r="NA89">
        <v>5.867</v>
      </c>
      <c r="NB89">
        <v>0.78200000000000003</v>
      </c>
      <c r="NC89">
        <v>4.2910000000000004</v>
      </c>
      <c r="ND89">
        <v>5.3159999999999998</v>
      </c>
      <c r="NE89">
        <v>5.883</v>
      </c>
      <c r="NF89">
        <v>6.4669999999999996</v>
      </c>
      <c r="NG89">
        <v>7.2009999999999996</v>
      </c>
      <c r="NH89">
        <v>1.08</v>
      </c>
      <c r="NI89">
        <v>44</v>
      </c>
      <c r="NM89" t="s">
        <v>109</v>
      </c>
      <c r="NN89">
        <v>4.6230000000000002</v>
      </c>
      <c r="NO89">
        <v>0.85599999999999998</v>
      </c>
      <c r="NP89">
        <v>2.7290000000000001</v>
      </c>
      <c r="NQ89">
        <v>4.0549999999999997</v>
      </c>
      <c r="NR89">
        <v>4.6340000000000003</v>
      </c>
      <c r="NS89">
        <v>5.2759999999999998</v>
      </c>
      <c r="NT89">
        <v>6.14</v>
      </c>
      <c r="NU89">
        <v>1.07</v>
      </c>
      <c r="NV89">
        <v>36</v>
      </c>
      <c r="NY89" t="s">
        <v>109</v>
      </c>
      <c r="NZ89">
        <v>4.9660000000000002</v>
      </c>
      <c r="OA89">
        <v>0.83799999999999997</v>
      </c>
      <c r="OB89">
        <v>2.8380000000000001</v>
      </c>
      <c r="OC89">
        <v>4.5</v>
      </c>
      <c r="OD89">
        <v>5.0949999999999998</v>
      </c>
      <c r="OE89">
        <v>5.5810000000000004</v>
      </c>
      <c r="OF89">
        <v>6.149</v>
      </c>
      <c r="OG89">
        <v>1.139</v>
      </c>
      <c r="OH89">
        <v>130</v>
      </c>
      <c r="OP89" t="s">
        <v>109</v>
      </c>
      <c r="OQ89">
        <v>4.7779999999999996</v>
      </c>
      <c r="OR89">
        <v>0.72699999999999998</v>
      </c>
      <c r="OS89">
        <v>3.234</v>
      </c>
      <c r="OT89">
        <v>4.3120000000000003</v>
      </c>
      <c r="OU89">
        <v>4.9029999999999996</v>
      </c>
      <c r="OV89">
        <v>5.3010000000000002</v>
      </c>
      <c r="OW89">
        <v>5.9409999999999998</v>
      </c>
      <c r="OX89">
        <v>1.097</v>
      </c>
      <c r="OY89">
        <v>33</v>
      </c>
      <c r="PB89" t="s">
        <v>109</v>
      </c>
      <c r="PC89">
        <v>3.774</v>
      </c>
      <c r="PD89">
        <v>0.74199999999999999</v>
      </c>
      <c r="PE89">
        <v>2.1840000000000002</v>
      </c>
      <c r="PF89">
        <v>3.319</v>
      </c>
      <c r="PG89">
        <v>3.867</v>
      </c>
      <c r="PH89">
        <v>4.3159999999999998</v>
      </c>
      <c r="PI89">
        <v>5.01</v>
      </c>
      <c r="PJ89">
        <v>1.006</v>
      </c>
      <c r="PK89">
        <v>340</v>
      </c>
      <c r="PN89" t="s">
        <v>109</v>
      </c>
      <c r="PO89">
        <v>3.4729999999999999</v>
      </c>
      <c r="PP89">
        <v>0.86499999999999999</v>
      </c>
      <c r="PQ89">
        <v>1.5249999999999999</v>
      </c>
      <c r="PR89">
        <v>2.9620000000000002</v>
      </c>
      <c r="PS89">
        <v>3.5579999999999998</v>
      </c>
      <c r="PT89">
        <v>4.1289999999999996</v>
      </c>
      <c r="PU89">
        <v>4.8099999999999996</v>
      </c>
      <c r="PV89">
        <v>1.0569999999999999</v>
      </c>
      <c r="PW89">
        <v>66</v>
      </c>
      <c r="QA89" t="s">
        <v>109</v>
      </c>
      <c r="QB89">
        <v>4.9240000000000004</v>
      </c>
      <c r="QC89">
        <v>0.29799999999999999</v>
      </c>
      <c r="QD89">
        <v>4.2409999999999997</v>
      </c>
      <c r="QE89">
        <v>4.74</v>
      </c>
      <c r="QF89">
        <v>4.952</v>
      </c>
      <c r="QG89">
        <v>5.133</v>
      </c>
      <c r="QH89">
        <v>5.4359999999999999</v>
      </c>
      <c r="QI89">
        <v>1.0469999999999999</v>
      </c>
      <c r="QJ89">
        <v>48</v>
      </c>
      <c r="QL89">
        <f t="shared" si="4"/>
        <v>-1.4510000000000005</v>
      </c>
    </row>
    <row r="90" spans="1:454">
      <c r="A90" t="s">
        <v>110</v>
      </c>
      <c r="B90">
        <v>3.915</v>
      </c>
      <c r="C90">
        <v>0.95199999999999996</v>
      </c>
      <c r="D90">
        <v>1.873</v>
      </c>
      <c r="E90">
        <v>3.3180000000000001</v>
      </c>
      <c r="F90">
        <v>4.0030000000000001</v>
      </c>
      <c r="G90">
        <v>4.5419999999999998</v>
      </c>
      <c r="H90">
        <v>5.665</v>
      </c>
      <c r="I90">
        <v>1.036</v>
      </c>
      <c r="J90">
        <v>100</v>
      </c>
      <c r="O90" t="s">
        <v>110</v>
      </c>
      <c r="P90">
        <v>3.5</v>
      </c>
      <c r="Q90">
        <v>1.29</v>
      </c>
      <c r="R90">
        <v>1.1299999999999999</v>
      </c>
      <c r="S90">
        <v>2.589</v>
      </c>
      <c r="T90">
        <v>3.47</v>
      </c>
      <c r="U90">
        <v>4.383</v>
      </c>
      <c r="V90">
        <v>6.1070000000000002</v>
      </c>
      <c r="W90">
        <v>1.014</v>
      </c>
      <c r="X90">
        <v>150</v>
      </c>
      <c r="AC90" t="s">
        <v>110</v>
      </c>
      <c r="AD90">
        <v>4.9939999999999998</v>
      </c>
      <c r="AE90">
        <v>0.91700000000000004</v>
      </c>
      <c r="AF90">
        <v>3.1760000000000002</v>
      </c>
      <c r="AG90">
        <v>4.3659999999999997</v>
      </c>
      <c r="AH90">
        <v>4.9880000000000004</v>
      </c>
      <c r="AI90">
        <v>5.6760000000000002</v>
      </c>
      <c r="AJ90">
        <v>6.6760000000000002</v>
      </c>
      <c r="AK90">
        <v>1.026</v>
      </c>
      <c r="AL90">
        <v>85</v>
      </c>
      <c r="AQ90" t="s">
        <v>110</v>
      </c>
      <c r="AR90">
        <v>5.1719999999999997</v>
      </c>
      <c r="AS90">
        <v>0.87</v>
      </c>
      <c r="AT90">
        <v>3.3650000000000002</v>
      </c>
      <c r="AU90">
        <v>4.5810000000000004</v>
      </c>
      <c r="AV90">
        <v>5.19</v>
      </c>
      <c r="AW90">
        <v>5.7850000000000001</v>
      </c>
      <c r="AX90">
        <v>6.8159999999999998</v>
      </c>
      <c r="AY90">
        <v>1.0209999999999999</v>
      </c>
      <c r="AZ90">
        <v>110</v>
      </c>
      <c r="BE90" t="s">
        <v>110</v>
      </c>
      <c r="BF90">
        <v>5.8559999999999999</v>
      </c>
      <c r="BG90">
        <v>0.65</v>
      </c>
      <c r="BH90">
        <v>4.5990000000000002</v>
      </c>
      <c r="BI90">
        <v>5.4169999999999998</v>
      </c>
      <c r="BJ90">
        <v>5.8460000000000001</v>
      </c>
      <c r="BK90">
        <v>6.3079999999999998</v>
      </c>
      <c r="BL90">
        <v>7.1219999999999999</v>
      </c>
      <c r="BM90">
        <v>1.002</v>
      </c>
      <c r="BN90">
        <v>1200</v>
      </c>
      <c r="BS90" t="s">
        <v>110</v>
      </c>
      <c r="BT90">
        <v>4.6059999999999999</v>
      </c>
      <c r="BU90">
        <v>1.0049999999999999</v>
      </c>
      <c r="BV90">
        <v>2.6120000000000001</v>
      </c>
      <c r="BW90">
        <v>3.9119999999999999</v>
      </c>
      <c r="BX90">
        <v>4.6029999999999998</v>
      </c>
      <c r="BY90">
        <v>5.3220000000000001</v>
      </c>
      <c r="BZ90">
        <v>6.4989999999999997</v>
      </c>
      <c r="CA90">
        <v>1.022</v>
      </c>
      <c r="CB90">
        <v>120</v>
      </c>
      <c r="CG90" t="s">
        <v>110</v>
      </c>
      <c r="CH90">
        <v>5.7619999999999996</v>
      </c>
      <c r="CI90">
        <v>0.70699999999999996</v>
      </c>
      <c r="CJ90">
        <v>4.3789999999999996</v>
      </c>
      <c r="CK90">
        <v>5.2850000000000001</v>
      </c>
      <c r="CL90">
        <v>5.77</v>
      </c>
      <c r="CM90">
        <v>6.2510000000000003</v>
      </c>
      <c r="CN90">
        <v>7.1189999999999998</v>
      </c>
      <c r="CO90">
        <v>1.0289999999999999</v>
      </c>
      <c r="CP90">
        <v>76</v>
      </c>
      <c r="CU90" t="s">
        <v>110</v>
      </c>
      <c r="CV90">
        <v>5.5010000000000003</v>
      </c>
      <c r="CW90">
        <v>0.72399999999999998</v>
      </c>
      <c r="CX90">
        <v>4.0709999999999997</v>
      </c>
      <c r="CY90">
        <v>5.03</v>
      </c>
      <c r="CZ90">
        <v>5.5010000000000003</v>
      </c>
      <c r="DA90">
        <v>5.984</v>
      </c>
      <c r="DB90">
        <v>6.9080000000000004</v>
      </c>
      <c r="DC90">
        <v>1.0189999999999999</v>
      </c>
      <c r="DD90">
        <v>120</v>
      </c>
      <c r="DI90" t="s">
        <v>110</v>
      </c>
      <c r="DJ90">
        <v>4.8479999999999999</v>
      </c>
      <c r="DK90">
        <v>0.94499999999999995</v>
      </c>
      <c r="DL90">
        <v>2.9460000000000002</v>
      </c>
      <c r="DM90">
        <v>4.2069999999999999</v>
      </c>
      <c r="DN90">
        <v>4.8600000000000003</v>
      </c>
      <c r="DO90">
        <v>5.5179999999999998</v>
      </c>
      <c r="DP90">
        <v>6.7119999999999997</v>
      </c>
      <c r="DQ90">
        <v>1.012</v>
      </c>
      <c r="DR90">
        <v>370</v>
      </c>
      <c r="DY90" t="s">
        <v>110</v>
      </c>
      <c r="DZ90">
        <v>5.4630000000000001</v>
      </c>
      <c r="EA90">
        <v>0.85699999999999998</v>
      </c>
      <c r="EB90">
        <v>3.6819999999999999</v>
      </c>
      <c r="EC90">
        <v>4.8849999999999998</v>
      </c>
      <c r="ED90">
        <v>5.5049999999999999</v>
      </c>
      <c r="EE90">
        <v>6.0919999999999996</v>
      </c>
      <c r="EF90">
        <v>6.976</v>
      </c>
      <c r="EG90">
        <v>1.002</v>
      </c>
      <c r="EH90">
        <v>1500</v>
      </c>
      <c r="EK90" t="s">
        <v>110</v>
      </c>
      <c r="EL90">
        <v>5.8019999999999996</v>
      </c>
      <c r="EM90">
        <v>0.84899999999999998</v>
      </c>
      <c r="EN90">
        <v>3.9860000000000002</v>
      </c>
      <c r="EO90">
        <v>5.2089999999999996</v>
      </c>
      <c r="EP90">
        <v>5.87</v>
      </c>
      <c r="EQ90">
        <v>6.415</v>
      </c>
      <c r="ER90">
        <v>7.2140000000000004</v>
      </c>
      <c r="ES90">
        <v>1.0109999999999999</v>
      </c>
      <c r="ET90">
        <v>180</v>
      </c>
      <c r="EY90" t="s">
        <v>110</v>
      </c>
      <c r="EZ90">
        <v>5.7320000000000002</v>
      </c>
      <c r="FA90">
        <v>0.84399999999999997</v>
      </c>
      <c r="FB90">
        <v>3.8929999999999998</v>
      </c>
      <c r="FC90">
        <v>5.1920000000000002</v>
      </c>
      <c r="FD90">
        <v>5.8019999999999996</v>
      </c>
      <c r="FE90">
        <v>6.351</v>
      </c>
      <c r="FF90">
        <v>7.1710000000000003</v>
      </c>
      <c r="FG90">
        <v>1.0009999999999999</v>
      </c>
      <c r="FH90">
        <v>3000</v>
      </c>
      <c r="GA90" t="s">
        <v>110</v>
      </c>
      <c r="GB90">
        <v>5.7759999999999998</v>
      </c>
      <c r="GC90">
        <v>0.56499999999999995</v>
      </c>
      <c r="GD90">
        <v>4.7469999999999999</v>
      </c>
      <c r="GE90">
        <v>5.38</v>
      </c>
      <c r="GF90">
        <v>5.7530000000000001</v>
      </c>
      <c r="GG90">
        <v>6.1520000000000001</v>
      </c>
      <c r="GH90">
        <v>6.9240000000000004</v>
      </c>
      <c r="GI90">
        <v>1.004</v>
      </c>
      <c r="GJ90">
        <v>590</v>
      </c>
      <c r="GO90" t="s">
        <v>110</v>
      </c>
      <c r="GP90">
        <v>5.7889999999999997</v>
      </c>
      <c r="GQ90">
        <v>0.85599999999999998</v>
      </c>
      <c r="GR90">
        <v>3.907</v>
      </c>
      <c r="GS90">
        <v>5.2380000000000004</v>
      </c>
      <c r="GT90">
        <v>5.8579999999999997</v>
      </c>
      <c r="GU90">
        <v>6.4249999999999998</v>
      </c>
      <c r="GV90">
        <v>7.202</v>
      </c>
      <c r="GW90">
        <v>1.002</v>
      </c>
      <c r="GX90">
        <v>1000</v>
      </c>
      <c r="HC90" t="s">
        <v>110</v>
      </c>
      <c r="HD90">
        <v>6.0579999999999998</v>
      </c>
      <c r="HE90">
        <v>0.72799999999999998</v>
      </c>
      <c r="HF90">
        <v>4.5430000000000001</v>
      </c>
      <c r="HG90">
        <v>5.5730000000000004</v>
      </c>
      <c r="HH90">
        <v>6.1219999999999999</v>
      </c>
      <c r="HI90">
        <v>6.6050000000000004</v>
      </c>
      <c r="HJ90">
        <v>7.2469999999999999</v>
      </c>
      <c r="HK90">
        <v>1.004</v>
      </c>
      <c r="HL90">
        <v>1000</v>
      </c>
      <c r="HP90" s="7"/>
      <c r="HQ90" s="7" t="s">
        <v>110</v>
      </c>
      <c r="HR90" s="7">
        <v>6.06</v>
      </c>
      <c r="HS90" s="7">
        <v>0.68</v>
      </c>
      <c r="HT90" s="7">
        <v>4.51</v>
      </c>
      <c r="HU90" s="7">
        <v>5.6319999999999997</v>
      </c>
      <c r="HV90" s="7">
        <v>6.11</v>
      </c>
      <c r="HW90" s="7">
        <v>6.556</v>
      </c>
      <c r="HX90" s="7">
        <v>7.2240000000000002</v>
      </c>
      <c r="HY90" s="7">
        <v>1.0029999999999999</v>
      </c>
      <c r="HZ90" s="7">
        <v>1000</v>
      </c>
      <c r="IA90" s="7"/>
      <c r="IE90" t="s">
        <v>110</v>
      </c>
      <c r="IF90">
        <v>5.7759999999999998</v>
      </c>
      <c r="IG90">
        <v>0.56699999999999995</v>
      </c>
      <c r="IH90">
        <v>4.5380000000000003</v>
      </c>
      <c r="II90">
        <v>5.4420000000000002</v>
      </c>
      <c r="IJ90">
        <v>5.7960000000000003</v>
      </c>
      <c r="IK90">
        <v>6.141</v>
      </c>
      <c r="IL90">
        <v>6.82</v>
      </c>
      <c r="IM90">
        <v>1.0680000000000001</v>
      </c>
      <c r="IN90">
        <v>55</v>
      </c>
      <c r="IS90" t="s">
        <v>110</v>
      </c>
      <c r="IT90">
        <v>5.7350000000000003</v>
      </c>
      <c r="IU90">
        <v>0.63</v>
      </c>
      <c r="IV90">
        <v>4.274</v>
      </c>
      <c r="IW90">
        <v>5.3879999999999999</v>
      </c>
      <c r="IX90">
        <v>5.7770000000000001</v>
      </c>
      <c r="IY90">
        <v>6.157</v>
      </c>
      <c r="IZ90">
        <v>6.891</v>
      </c>
      <c r="JA90">
        <v>1.03</v>
      </c>
      <c r="JB90">
        <v>84</v>
      </c>
      <c r="JF90" t="s">
        <v>110</v>
      </c>
      <c r="JG90">
        <v>5.86</v>
      </c>
      <c r="JH90">
        <v>0.67800000000000005</v>
      </c>
      <c r="JI90">
        <v>4.3860000000000001</v>
      </c>
      <c r="JJ90">
        <v>5.431</v>
      </c>
      <c r="JK90">
        <v>5.9050000000000002</v>
      </c>
      <c r="JL90">
        <v>6.3360000000000003</v>
      </c>
      <c r="JM90">
        <v>7.1210000000000004</v>
      </c>
      <c r="JN90">
        <v>1.004</v>
      </c>
      <c r="JO90">
        <v>620</v>
      </c>
      <c r="JT90" t="s">
        <v>110</v>
      </c>
      <c r="JU90">
        <v>5.8289999999999997</v>
      </c>
      <c r="JV90">
        <v>0.69</v>
      </c>
      <c r="JW90">
        <v>4.4119999999999999</v>
      </c>
      <c r="JX90">
        <v>5.3550000000000004</v>
      </c>
      <c r="JY90">
        <v>5.8470000000000004</v>
      </c>
      <c r="JZ90">
        <v>6.3289999999999997</v>
      </c>
      <c r="KA90">
        <v>7.11</v>
      </c>
      <c r="KB90">
        <v>1.004</v>
      </c>
      <c r="KC90">
        <v>580</v>
      </c>
      <c r="KH90" t="s">
        <v>110</v>
      </c>
      <c r="KI90">
        <v>6.0250000000000004</v>
      </c>
      <c r="KJ90">
        <v>0.64200000000000002</v>
      </c>
      <c r="KK90">
        <v>4.7039999999999997</v>
      </c>
      <c r="KL90">
        <v>5.609</v>
      </c>
      <c r="KM90">
        <v>6.069</v>
      </c>
      <c r="KN90">
        <v>6.4740000000000002</v>
      </c>
      <c r="KO90">
        <v>7.18</v>
      </c>
      <c r="KP90">
        <v>1.0049999999999999</v>
      </c>
      <c r="KQ90">
        <v>510</v>
      </c>
      <c r="KR90">
        <f t="shared" si="3"/>
        <v>413.64164202302879</v>
      </c>
      <c r="KV90" t="s">
        <v>110</v>
      </c>
      <c r="KW90">
        <v>5.4450000000000003</v>
      </c>
      <c r="KX90">
        <v>0.66300000000000003</v>
      </c>
      <c r="KY90">
        <v>4.1559999999999997</v>
      </c>
      <c r="KZ90">
        <v>4.9870000000000001</v>
      </c>
      <c r="LA90">
        <v>5.4569999999999999</v>
      </c>
      <c r="LB90">
        <v>5.9189999999999996</v>
      </c>
      <c r="LC90">
        <v>6.68</v>
      </c>
      <c r="LD90">
        <v>1.0780000000000001</v>
      </c>
      <c r="LE90">
        <v>31</v>
      </c>
      <c r="LJ90" t="s">
        <v>133</v>
      </c>
      <c r="LK90">
        <v>4.5999999999999999E-2</v>
      </c>
      <c r="LL90">
        <v>4.5999999999999999E-2</v>
      </c>
      <c r="LM90">
        <v>-3.9E-2</v>
      </c>
      <c r="LN90">
        <v>1.4999999999999999E-2</v>
      </c>
      <c r="LO90">
        <v>4.2999999999999997E-2</v>
      </c>
      <c r="LP90">
        <v>7.4999999999999997E-2</v>
      </c>
      <c r="LQ90">
        <v>0.14199999999999999</v>
      </c>
      <c r="LR90">
        <v>1.01</v>
      </c>
      <c r="LS90">
        <v>220</v>
      </c>
      <c r="LX90" t="s">
        <v>133</v>
      </c>
      <c r="LY90">
        <v>4.298</v>
      </c>
      <c r="LZ90">
        <v>5.2960000000000003</v>
      </c>
      <c r="MA90">
        <v>-3.7949999999999999</v>
      </c>
      <c r="MB90">
        <v>-1.0229999999999999</v>
      </c>
      <c r="MC90">
        <v>4.7370000000000001</v>
      </c>
      <c r="MD90">
        <v>8.4480000000000004</v>
      </c>
      <c r="ME90">
        <v>13.798999999999999</v>
      </c>
      <c r="MF90">
        <v>2.4820000000000002</v>
      </c>
      <c r="MG90">
        <v>4</v>
      </c>
      <c r="ML90" t="s">
        <v>110</v>
      </c>
      <c r="MM90">
        <v>5.2480000000000002</v>
      </c>
      <c r="MN90">
        <v>1.006</v>
      </c>
      <c r="MO90">
        <v>3.0110000000000001</v>
      </c>
      <c r="MP90">
        <v>4.6159999999999997</v>
      </c>
      <c r="MQ90">
        <v>5.3620000000000001</v>
      </c>
      <c r="MR90">
        <v>6.0019999999999998</v>
      </c>
      <c r="MS90">
        <v>6.8330000000000002</v>
      </c>
      <c r="MT90">
        <v>1.0860000000000001</v>
      </c>
      <c r="MU90">
        <v>39</v>
      </c>
      <c r="MZ90" t="s">
        <v>110</v>
      </c>
      <c r="NA90">
        <v>5.3840000000000003</v>
      </c>
      <c r="NB90">
        <v>0.81100000000000005</v>
      </c>
      <c r="NC90">
        <v>3.7109999999999999</v>
      </c>
      <c r="ND90">
        <v>4.835</v>
      </c>
      <c r="NE90">
        <v>5.4189999999999996</v>
      </c>
      <c r="NF90">
        <v>5.9829999999999997</v>
      </c>
      <c r="NG90">
        <v>6.7960000000000003</v>
      </c>
      <c r="NH90">
        <v>1.0840000000000001</v>
      </c>
      <c r="NI90">
        <v>47</v>
      </c>
      <c r="NM90" t="s">
        <v>110</v>
      </c>
      <c r="NN90">
        <v>4.2889999999999997</v>
      </c>
      <c r="NO90">
        <v>0.86799999999999999</v>
      </c>
      <c r="NP90">
        <v>2.3740000000000001</v>
      </c>
      <c r="NQ90">
        <v>3.7080000000000002</v>
      </c>
      <c r="NR90">
        <v>4.3049999999999997</v>
      </c>
      <c r="NS90">
        <v>4.95</v>
      </c>
      <c r="NT90">
        <v>5.8209999999999997</v>
      </c>
      <c r="NU90">
        <v>1.07</v>
      </c>
      <c r="NV90">
        <v>37</v>
      </c>
      <c r="NY90" t="s">
        <v>110</v>
      </c>
      <c r="NZ90">
        <v>4.8659999999999997</v>
      </c>
      <c r="OA90">
        <v>0.84099999999999997</v>
      </c>
      <c r="OB90">
        <v>2.7410000000000001</v>
      </c>
      <c r="OC90">
        <v>4.4000000000000004</v>
      </c>
      <c r="OD90">
        <v>4.992</v>
      </c>
      <c r="OE90">
        <v>5.4809999999999999</v>
      </c>
      <c r="OF90">
        <v>6.0869999999999997</v>
      </c>
      <c r="OG90">
        <v>1.137</v>
      </c>
      <c r="OH90">
        <v>130</v>
      </c>
      <c r="OP90" t="s">
        <v>110</v>
      </c>
      <c r="OQ90">
        <v>4.6920000000000002</v>
      </c>
      <c r="OR90">
        <v>0.75700000000000001</v>
      </c>
      <c r="OS90">
        <v>3.1190000000000002</v>
      </c>
      <c r="OT90">
        <v>4.2130000000000001</v>
      </c>
      <c r="OU90">
        <v>4.7930000000000001</v>
      </c>
      <c r="OV90">
        <v>5.21</v>
      </c>
      <c r="OW90">
        <v>5.9980000000000002</v>
      </c>
      <c r="OX90">
        <v>1.0900000000000001</v>
      </c>
      <c r="OY90">
        <v>39</v>
      </c>
      <c r="PB90" t="s">
        <v>110</v>
      </c>
      <c r="PC90">
        <v>3.41</v>
      </c>
      <c r="PD90">
        <v>0.76</v>
      </c>
      <c r="PE90">
        <v>1.7789999999999999</v>
      </c>
      <c r="PF90">
        <v>2.9350000000000001</v>
      </c>
      <c r="PG90">
        <v>3.5049999999999999</v>
      </c>
      <c r="PH90">
        <v>3.96</v>
      </c>
      <c r="PI90">
        <v>4.6740000000000004</v>
      </c>
      <c r="PJ90">
        <v>1.006</v>
      </c>
      <c r="PK90">
        <v>370</v>
      </c>
      <c r="PN90" t="s">
        <v>110</v>
      </c>
      <c r="PO90">
        <v>3.4580000000000002</v>
      </c>
      <c r="PP90">
        <v>0.86599999999999999</v>
      </c>
      <c r="PQ90">
        <v>1.514</v>
      </c>
      <c r="PR90">
        <v>2.9449999999999998</v>
      </c>
      <c r="PS90">
        <v>3.5419999999999998</v>
      </c>
      <c r="PT90">
        <v>4.1109999999999998</v>
      </c>
      <c r="PU90">
        <v>4.7930000000000001</v>
      </c>
      <c r="PV90">
        <v>1.0589999999999999</v>
      </c>
      <c r="PW90">
        <v>68</v>
      </c>
      <c r="QA90" t="s">
        <v>110</v>
      </c>
      <c r="QB90">
        <v>4.9029999999999996</v>
      </c>
      <c r="QC90">
        <v>0.29799999999999999</v>
      </c>
      <c r="QD90">
        <v>4.226</v>
      </c>
      <c r="QE90">
        <v>4.72</v>
      </c>
      <c r="QF90">
        <v>4.9320000000000004</v>
      </c>
      <c r="QG90">
        <v>5.1120000000000001</v>
      </c>
      <c r="QH90">
        <v>5.4139999999999997</v>
      </c>
      <c r="QI90">
        <v>1.046</v>
      </c>
      <c r="QJ90">
        <v>49</v>
      </c>
      <c r="QL90">
        <f t="shared" si="4"/>
        <v>-1.4449999999999994</v>
      </c>
    </row>
    <row r="91" spans="1:454">
      <c r="A91" t="s">
        <v>111</v>
      </c>
      <c r="B91">
        <v>4.101</v>
      </c>
      <c r="C91">
        <v>0.92700000000000005</v>
      </c>
      <c r="D91">
        <v>2.1800000000000002</v>
      </c>
      <c r="E91">
        <v>3.4990000000000001</v>
      </c>
      <c r="F91">
        <v>4.16</v>
      </c>
      <c r="G91">
        <v>4.7169999999999996</v>
      </c>
      <c r="H91">
        <v>5.8179999999999996</v>
      </c>
      <c r="I91">
        <v>1.0900000000000001</v>
      </c>
      <c r="J91">
        <v>63</v>
      </c>
      <c r="O91" t="s">
        <v>111</v>
      </c>
      <c r="P91">
        <v>3.9729999999999999</v>
      </c>
      <c r="Q91">
        <v>1.377</v>
      </c>
      <c r="R91">
        <v>1.29</v>
      </c>
      <c r="S91">
        <v>2.9980000000000002</v>
      </c>
      <c r="T91">
        <v>3.9630000000000001</v>
      </c>
      <c r="U91">
        <v>4.92</v>
      </c>
      <c r="V91">
        <v>6.6929999999999996</v>
      </c>
      <c r="W91">
        <v>1.0089999999999999</v>
      </c>
      <c r="X91">
        <v>240</v>
      </c>
      <c r="AC91" t="s">
        <v>111</v>
      </c>
      <c r="AD91">
        <v>5.2779999999999996</v>
      </c>
      <c r="AE91">
        <v>0.92800000000000005</v>
      </c>
      <c r="AF91">
        <v>3.448</v>
      </c>
      <c r="AG91">
        <v>4.6369999999999996</v>
      </c>
      <c r="AH91">
        <v>5.2939999999999996</v>
      </c>
      <c r="AI91">
        <v>5.944</v>
      </c>
      <c r="AJ91">
        <v>7.0069999999999997</v>
      </c>
      <c r="AK91">
        <v>1.02</v>
      </c>
      <c r="AL91">
        <v>110</v>
      </c>
      <c r="AQ91" t="s">
        <v>111</v>
      </c>
      <c r="AR91">
        <v>5.56</v>
      </c>
      <c r="AS91">
        <v>0.83799999999999997</v>
      </c>
      <c r="AT91">
        <v>3.8109999999999999</v>
      </c>
      <c r="AU91">
        <v>5.0170000000000003</v>
      </c>
      <c r="AV91">
        <v>5.6070000000000002</v>
      </c>
      <c r="AW91">
        <v>6.1639999999999997</v>
      </c>
      <c r="AX91">
        <v>7.0519999999999996</v>
      </c>
      <c r="AY91">
        <v>1.0109999999999999</v>
      </c>
      <c r="AZ91">
        <v>210</v>
      </c>
      <c r="BE91" t="s">
        <v>111</v>
      </c>
      <c r="BF91">
        <v>6.02</v>
      </c>
      <c r="BG91">
        <v>0.64800000000000002</v>
      </c>
      <c r="BH91">
        <v>4.6890000000000001</v>
      </c>
      <c r="BI91">
        <v>5.5819999999999999</v>
      </c>
      <c r="BJ91">
        <v>6.0419999999999998</v>
      </c>
      <c r="BK91">
        <v>6.4960000000000004</v>
      </c>
      <c r="BL91">
        <v>7.1920000000000002</v>
      </c>
      <c r="BM91">
        <v>1.002</v>
      </c>
      <c r="BN91">
        <v>3000</v>
      </c>
      <c r="BS91" t="s">
        <v>111</v>
      </c>
      <c r="BT91">
        <v>4.9630000000000001</v>
      </c>
      <c r="BU91">
        <v>0.95799999999999996</v>
      </c>
      <c r="BV91">
        <v>3.16</v>
      </c>
      <c r="BW91">
        <v>4.2709999999999999</v>
      </c>
      <c r="BX91">
        <v>4.9800000000000004</v>
      </c>
      <c r="BY91">
        <v>5.6319999999999997</v>
      </c>
      <c r="BZ91">
        <v>6.7969999999999997</v>
      </c>
      <c r="CA91">
        <v>1.0049999999999999</v>
      </c>
      <c r="CB91">
        <v>430</v>
      </c>
      <c r="CG91" t="s">
        <v>111</v>
      </c>
      <c r="CH91">
        <v>5.798</v>
      </c>
      <c r="CI91">
        <v>0.70799999999999996</v>
      </c>
      <c r="CJ91">
        <v>4.4059999999999997</v>
      </c>
      <c r="CK91">
        <v>5.2990000000000004</v>
      </c>
      <c r="CL91">
        <v>5.7960000000000003</v>
      </c>
      <c r="CM91">
        <v>6.3109999999999999</v>
      </c>
      <c r="CN91">
        <v>7.1289999999999996</v>
      </c>
      <c r="CO91">
        <v>1.014</v>
      </c>
      <c r="CP91">
        <v>150</v>
      </c>
      <c r="CU91" t="s">
        <v>111</v>
      </c>
      <c r="CV91">
        <v>5.7830000000000004</v>
      </c>
      <c r="CW91">
        <v>0.72</v>
      </c>
      <c r="CX91">
        <v>4.298</v>
      </c>
      <c r="CY91">
        <v>5.3220000000000001</v>
      </c>
      <c r="CZ91">
        <v>5.8330000000000002</v>
      </c>
      <c r="DA91">
        <v>6.3159999999999998</v>
      </c>
      <c r="DB91">
        <v>7.0209999999999999</v>
      </c>
      <c r="DC91">
        <v>1.018</v>
      </c>
      <c r="DD91">
        <v>130</v>
      </c>
      <c r="DI91" t="s">
        <v>111</v>
      </c>
      <c r="DJ91">
        <v>5.1269999999999998</v>
      </c>
      <c r="DK91">
        <v>0.97</v>
      </c>
      <c r="DL91">
        <v>3.26</v>
      </c>
      <c r="DM91">
        <v>4.4390000000000001</v>
      </c>
      <c r="DN91">
        <v>5.1420000000000003</v>
      </c>
      <c r="DO91">
        <v>5.8360000000000003</v>
      </c>
      <c r="DP91">
        <v>6.95</v>
      </c>
      <c r="DQ91">
        <v>1.0089999999999999</v>
      </c>
      <c r="DR91">
        <v>330</v>
      </c>
      <c r="DY91" t="s">
        <v>111</v>
      </c>
      <c r="DZ91">
        <v>5.5279999999999996</v>
      </c>
      <c r="EA91">
        <v>0.91200000000000003</v>
      </c>
      <c r="EB91">
        <v>3.6280000000000001</v>
      </c>
      <c r="EC91">
        <v>4.9210000000000003</v>
      </c>
      <c r="ED91">
        <v>5.5880000000000001</v>
      </c>
      <c r="EE91">
        <v>6.194</v>
      </c>
      <c r="EF91">
        <v>7.1289999999999996</v>
      </c>
      <c r="EG91">
        <v>1.006</v>
      </c>
      <c r="EH91">
        <v>830</v>
      </c>
      <c r="EK91" t="s">
        <v>111</v>
      </c>
      <c r="EL91">
        <v>5.1719999999999997</v>
      </c>
      <c r="EM91">
        <v>1.1950000000000001</v>
      </c>
      <c r="EN91">
        <v>2.8690000000000002</v>
      </c>
      <c r="EO91">
        <v>4.2930000000000001</v>
      </c>
      <c r="EP91">
        <v>5.2140000000000004</v>
      </c>
      <c r="EQ91">
        <v>6.1189999999999998</v>
      </c>
      <c r="ER91">
        <v>7.2140000000000004</v>
      </c>
      <c r="ES91">
        <v>1.006</v>
      </c>
      <c r="ET91">
        <v>360</v>
      </c>
      <c r="EY91" t="s">
        <v>111</v>
      </c>
      <c r="EZ91">
        <v>5.53</v>
      </c>
      <c r="FA91">
        <v>0.91800000000000004</v>
      </c>
      <c r="FB91">
        <v>3.63</v>
      </c>
      <c r="FC91">
        <v>4.9550000000000001</v>
      </c>
      <c r="FD91">
        <v>5.5979999999999999</v>
      </c>
      <c r="FE91">
        <v>6.19</v>
      </c>
      <c r="FF91">
        <v>7.1150000000000002</v>
      </c>
      <c r="FG91">
        <v>1.004</v>
      </c>
      <c r="FH91">
        <v>580</v>
      </c>
      <c r="GA91" t="s">
        <v>111</v>
      </c>
      <c r="GB91">
        <v>5.6390000000000002</v>
      </c>
      <c r="GC91">
        <v>0.58899999999999997</v>
      </c>
      <c r="GD91">
        <v>4.5</v>
      </c>
      <c r="GE91">
        <v>5.2320000000000002</v>
      </c>
      <c r="GF91">
        <v>5.6180000000000003</v>
      </c>
      <c r="GG91">
        <v>6.0419999999999998</v>
      </c>
      <c r="GH91">
        <v>6.8040000000000003</v>
      </c>
      <c r="GI91">
        <v>1.004</v>
      </c>
      <c r="GJ91">
        <v>520</v>
      </c>
      <c r="GO91" t="s">
        <v>111</v>
      </c>
      <c r="GP91">
        <v>5.5659999999999998</v>
      </c>
      <c r="GQ91">
        <v>0.93100000000000005</v>
      </c>
      <c r="GR91">
        <v>3.5579999999999998</v>
      </c>
      <c r="GS91">
        <v>4.9400000000000004</v>
      </c>
      <c r="GT91">
        <v>5.64</v>
      </c>
      <c r="GU91">
        <v>6.2389999999999999</v>
      </c>
      <c r="GV91">
        <v>7.1710000000000003</v>
      </c>
      <c r="GW91">
        <v>1.0009999999999999</v>
      </c>
      <c r="GX91">
        <v>2700</v>
      </c>
      <c r="HC91" t="s">
        <v>111</v>
      </c>
      <c r="HD91">
        <v>6.0330000000000004</v>
      </c>
      <c r="HE91">
        <v>0.76</v>
      </c>
      <c r="HF91">
        <v>4.4320000000000004</v>
      </c>
      <c r="HG91">
        <v>5.5540000000000003</v>
      </c>
      <c r="HH91">
        <v>6.0960000000000001</v>
      </c>
      <c r="HI91">
        <v>6.5869999999999997</v>
      </c>
      <c r="HJ91">
        <v>7.2839999999999998</v>
      </c>
      <c r="HK91">
        <v>1.0069999999999999</v>
      </c>
      <c r="HL91">
        <v>380</v>
      </c>
      <c r="HP91" s="7"/>
      <c r="HQ91" s="7" t="s">
        <v>111</v>
      </c>
      <c r="HR91" s="7">
        <v>6.22</v>
      </c>
      <c r="HS91" s="7">
        <v>0.66400000000000003</v>
      </c>
      <c r="HT91" s="7">
        <v>4.7519999999999998</v>
      </c>
      <c r="HU91" s="7">
        <v>5.7949999999999999</v>
      </c>
      <c r="HV91" s="7">
        <v>6.2720000000000002</v>
      </c>
      <c r="HW91" s="7">
        <v>6.7329999999999997</v>
      </c>
      <c r="HX91" s="7">
        <v>7.2839999999999998</v>
      </c>
      <c r="HY91" s="7">
        <v>1.002</v>
      </c>
      <c r="HZ91" s="7">
        <v>1400</v>
      </c>
      <c r="IA91" s="7"/>
      <c r="IE91" t="s">
        <v>111</v>
      </c>
      <c r="IF91">
        <v>5.931</v>
      </c>
      <c r="IG91">
        <v>0.64100000000000001</v>
      </c>
      <c r="IH91">
        <v>4.5910000000000002</v>
      </c>
      <c r="II91">
        <v>5.5190000000000001</v>
      </c>
      <c r="IJ91">
        <v>5.94</v>
      </c>
      <c r="IK91">
        <v>6.3620000000000001</v>
      </c>
      <c r="IL91">
        <v>7.1660000000000004</v>
      </c>
      <c r="IM91">
        <v>1.0249999999999999</v>
      </c>
      <c r="IN91">
        <v>140</v>
      </c>
      <c r="IS91" t="s">
        <v>111</v>
      </c>
      <c r="IT91">
        <v>5.7850000000000001</v>
      </c>
      <c r="IU91">
        <v>0.64</v>
      </c>
      <c r="IV91">
        <v>4.4889999999999999</v>
      </c>
      <c r="IW91">
        <v>5.3739999999999997</v>
      </c>
      <c r="IX91">
        <v>5.7930000000000001</v>
      </c>
      <c r="IY91">
        <v>6.2050000000000001</v>
      </c>
      <c r="IZ91">
        <v>7.0389999999999997</v>
      </c>
      <c r="JA91">
        <v>1.016</v>
      </c>
      <c r="JB91">
        <v>200</v>
      </c>
      <c r="JF91" t="s">
        <v>111</v>
      </c>
      <c r="JG91">
        <v>5.923</v>
      </c>
      <c r="JH91">
        <v>0.70799999999999996</v>
      </c>
      <c r="JI91">
        <v>4.4859999999999998</v>
      </c>
      <c r="JJ91">
        <v>5.4589999999999996</v>
      </c>
      <c r="JK91">
        <v>5.9550000000000001</v>
      </c>
      <c r="JL91">
        <v>6.4329999999999998</v>
      </c>
      <c r="JM91">
        <v>7.2080000000000002</v>
      </c>
      <c r="JN91">
        <v>1.002</v>
      </c>
      <c r="JO91">
        <v>2100</v>
      </c>
      <c r="JT91" t="s">
        <v>111</v>
      </c>
      <c r="JU91">
        <v>5.8810000000000002</v>
      </c>
      <c r="JV91">
        <v>0.71099999999999997</v>
      </c>
      <c r="JW91">
        <v>4.45</v>
      </c>
      <c r="JX91">
        <v>5.4210000000000003</v>
      </c>
      <c r="JY91">
        <v>5.8940000000000001</v>
      </c>
      <c r="JZ91">
        <v>6.3810000000000002</v>
      </c>
      <c r="KA91">
        <v>7.1769999999999996</v>
      </c>
      <c r="KB91">
        <v>1.0009999999999999</v>
      </c>
      <c r="KC91">
        <v>3000</v>
      </c>
      <c r="KH91" t="s">
        <v>111</v>
      </c>
      <c r="KI91">
        <v>6.0129999999999999</v>
      </c>
      <c r="KJ91">
        <v>0.66500000000000004</v>
      </c>
      <c r="KK91">
        <v>4.6289999999999996</v>
      </c>
      <c r="KL91">
        <v>5.5869999999999997</v>
      </c>
      <c r="KM91">
        <v>6.03</v>
      </c>
      <c r="KN91">
        <v>6.5010000000000003</v>
      </c>
      <c r="KO91">
        <v>7.2050000000000001</v>
      </c>
      <c r="KP91">
        <v>1.0069999999999999</v>
      </c>
      <c r="KQ91">
        <v>400</v>
      </c>
      <c r="KR91">
        <f t="shared" si="3"/>
        <v>408.70760574471535</v>
      </c>
      <c r="KV91" t="s">
        <v>111</v>
      </c>
      <c r="KW91">
        <v>5.7290000000000001</v>
      </c>
      <c r="KX91">
        <v>0.63300000000000001</v>
      </c>
      <c r="KY91">
        <v>4.4880000000000004</v>
      </c>
      <c r="KZ91">
        <v>5.274</v>
      </c>
      <c r="LA91">
        <v>5.7430000000000003</v>
      </c>
      <c r="LB91">
        <v>6.2</v>
      </c>
      <c r="LC91">
        <v>6.883</v>
      </c>
      <c r="LD91">
        <v>1.085</v>
      </c>
      <c r="LE91">
        <v>29</v>
      </c>
      <c r="LJ91" t="s">
        <v>134</v>
      </c>
      <c r="LK91">
        <v>-0.26600000000000001</v>
      </c>
      <c r="LL91">
        <v>7.4999999999999997E-2</v>
      </c>
      <c r="LM91">
        <v>-0.41499999999999998</v>
      </c>
      <c r="LN91">
        <v>-0.317</v>
      </c>
      <c r="LO91">
        <v>-0.26700000000000002</v>
      </c>
      <c r="LP91">
        <v>-0.21299999999999999</v>
      </c>
      <c r="LQ91">
        <v>-0.121</v>
      </c>
      <c r="LR91">
        <v>1.0069999999999999</v>
      </c>
      <c r="LS91">
        <v>330</v>
      </c>
      <c r="LX91" t="s">
        <v>134</v>
      </c>
      <c r="LY91">
        <v>-3.0000000000000001E-3</v>
      </c>
      <c r="LZ91">
        <v>4.548</v>
      </c>
      <c r="MA91">
        <v>-8.8130000000000006</v>
      </c>
      <c r="MB91">
        <v>-3.1070000000000002</v>
      </c>
      <c r="MC91">
        <v>-5.0999999999999997E-2</v>
      </c>
      <c r="MD91">
        <v>3.0720000000000001</v>
      </c>
      <c r="ME91">
        <v>8.8659999999999997</v>
      </c>
      <c r="MF91">
        <v>1.0029999999999999</v>
      </c>
      <c r="MG91">
        <v>730</v>
      </c>
      <c r="ML91" t="s">
        <v>111</v>
      </c>
      <c r="MM91">
        <v>5.4969999999999999</v>
      </c>
      <c r="MN91">
        <v>0.99</v>
      </c>
      <c r="MO91">
        <v>3.2930000000000001</v>
      </c>
      <c r="MP91">
        <v>4.87</v>
      </c>
      <c r="MQ91">
        <v>5.6150000000000002</v>
      </c>
      <c r="MR91">
        <v>6.2510000000000003</v>
      </c>
      <c r="MS91">
        <v>7.01</v>
      </c>
      <c r="MT91">
        <v>1.087</v>
      </c>
      <c r="MU91">
        <v>37</v>
      </c>
      <c r="MZ91" t="s">
        <v>111</v>
      </c>
      <c r="NA91">
        <v>5.6340000000000003</v>
      </c>
      <c r="NB91">
        <v>0.78600000000000003</v>
      </c>
      <c r="NC91">
        <v>4.0220000000000002</v>
      </c>
      <c r="ND91">
        <v>5.0810000000000004</v>
      </c>
      <c r="NE91">
        <v>5.6669999999999998</v>
      </c>
      <c r="NF91">
        <v>6.23</v>
      </c>
      <c r="NG91">
        <v>6.97</v>
      </c>
      <c r="NH91">
        <v>1.0840000000000001</v>
      </c>
      <c r="NI91">
        <v>45</v>
      </c>
      <c r="NM91" t="s">
        <v>111</v>
      </c>
      <c r="NN91">
        <v>4.4619999999999997</v>
      </c>
      <c r="NO91">
        <v>0.86099999999999999</v>
      </c>
      <c r="NP91">
        <v>2.5670000000000002</v>
      </c>
      <c r="NQ91">
        <v>3.891</v>
      </c>
      <c r="NR91">
        <v>4.4729999999999999</v>
      </c>
      <c r="NS91">
        <v>5.1189999999999998</v>
      </c>
      <c r="NT91">
        <v>5.9790000000000001</v>
      </c>
      <c r="NU91">
        <v>1.071</v>
      </c>
      <c r="NV91">
        <v>36</v>
      </c>
      <c r="NY91" t="s">
        <v>111</v>
      </c>
      <c r="NZ91">
        <v>4.9169999999999998</v>
      </c>
      <c r="OA91">
        <v>0.83699999999999997</v>
      </c>
      <c r="OB91">
        <v>2.7890000000000001</v>
      </c>
      <c r="OC91">
        <v>4.4550000000000001</v>
      </c>
      <c r="OD91">
        <v>5.048</v>
      </c>
      <c r="OE91">
        <v>5.5330000000000004</v>
      </c>
      <c r="OF91">
        <v>6.1150000000000002</v>
      </c>
      <c r="OG91">
        <v>1.1379999999999999</v>
      </c>
      <c r="OH91">
        <v>130</v>
      </c>
      <c r="OP91" t="s">
        <v>111</v>
      </c>
      <c r="OQ91">
        <v>4.7359999999999998</v>
      </c>
      <c r="OR91">
        <v>0.73899999999999999</v>
      </c>
      <c r="OS91">
        <v>3.1789999999999998</v>
      </c>
      <c r="OT91">
        <v>4.2640000000000002</v>
      </c>
      <c r="OU91">
        <v>4.8529999999999998</v>
      </c>
      <c r="OV91">
        <v>5.2519999999999998</v>
      </c>
      <c r="OW91">
        <v>5.9660000000000002</v>
      </c>
      <c r="OX91">
        <v>1.0940000000000001</v>
      </c>
      <c r="OY91">
        <v>36</v>
      </c>
      <c r="PB91" t="s">
        <v>111</v>
      </c>
      <c r="PC91">
        <v>3.5990000000000002</v>
      </c>
      <c r="PD91">
        <v>0.747</v>
      </c>
      <c r="PE91">
        <v>1.9870000000000001</v>
      </c>
      <c r="PF91">
        <v>3.1360000000000001</v>
      </c>
      <c r="PG91">
        <v>3.6989999999999998</v>
      </c>
      <c r="PH91">
        <v>4.141</v>
      </c>
      <c r="PI91">
        <v>4.8470000000000004</v>
      </c>
      <c r="PJ91">
        <v>1.006</v>
      </c>
      <c r="PK91">
        <v>350</v>
      </c>
      <c r="PN91" t="s">
        <v>111</v>
      </c>
      <c r="PO91">
        <v>3.5030000000000001</v>
      </c>
      <c r="PP91">
        <v>0.86399999999999999</v>
      </c>
      <c r="PQ91">
        <v>1.554</v>
      </c>
      <c r="PR91">
        <v>2.988</v>
      </c>
      <c r="PS91">
        <v>3.589</v>
      </c>
      <c r="PT91">
        <v>4.1559999999999997</v>
      </c>
      <c r="PU91">
        <v>4.843</v>
      </c>
      <c r="PV91">
        <v>1.0549999999999999</v>
      </c>
      <c r="PW91">
        <v>65</v>
      </c>
      <c r="QA91" t="s">
        <v>111</v>
      </c>
      <c r="QB91">
        <v>4.9580000000000002</v>
      </c>
      <c r="QC91">
        <v>0.29799999999999999</v>
      </c>
      <c r="QD91">
        <v>4.2750000000000004</v>
      </c>
      <c r="QE91">
        <v>4.7729999999999997</v>
      </c>
      <c r="QF91">
        <v>4.9870000000000001</v>
      </c>
      <c r="QG91">
        <v>5.1669999999999998</v>
      </c>
      <c r="QH91">
        <v>5.4720000000000004</v>
      </c>
      <c r="QI91">
        <v>1.0489999999999999</v>
      </c>
      <c r="QJ91">
        <v>46</v>
      </c>
      <c r="QL91">
        <f t="shared" si="4"/>
        <v>-1.4550000000000001</v>
      </c>
    </row>
    <row r="92" spans="1:454">
      <c r="A92" t="s">
        <v>112</v>
      </c>
      <c r="B92">
        <v>4.9870000000000001</v>
      </c>
      <c r="C92">
        <v>1.0149999999999999</v>
      </c>
      <c r="D92">
        <v>2.8759999999999999</v>
      </c>
      <c r="E92">
        <v>4.3250000000000002</v>
      </c>
      <c r="F92">
        <v>5.0090000000000003</v>
      </c>
      <c r="G92">
        <v>5.6529999999999996</v>
      </c>
      <c r="H92">
        <v>6.9470000000000001</v>
      </c>
      <c r="I92">
        <v>1.121</v>
      </c>
      <c r="J92">
        <v>27</v>
      </c>
      <c r="O92" t="s">
        <v>112</v>
      </c>
      <c r="P92">
        <v>4.8789999999999996</v>
      </c>
      <c r="Q92">
        <v>1.1950000000000001</v>
      </c>
      <c r="R92">
        <v>2.5830000000000002</v>
      </c>
      <c r="S92">
        <v>4.0350000000000001</v>
      </c>
      <c r="T92">
        <v>4.8869999999999996</v>
      </c>
      <c r="U92">
        <v>5.7549999999999999</v>
      </c>
      <c r="V92">
        <v>7.0819999999999999</v>
      </c>
      <c r="W92">
        <v>1.008</v>
      </c>
      <c r="X92">
        <v>290</v>
      </c>
      <c r="AC92" t="s">
        <v>112</v>
      </c>
      <c r="AD92">
        <v>6.1120000000000001</v>
      </c>
      <c r="AE92">
        <v>0.88</v>
      </c>
      <c r="AF92">
        <v>4.1420000000000003</v>
      </c>
      <c r="AG92">
        <v>5.5039999999999996</v>
      </c>
      <c r="AH92">
        <v>6.2009999999999996</v>
      </c>
      <c r="AI92">
        <v>6.8339999999999996</v>
      </c>
      <c r="AJ92">
        <v>7.3520000000000003</v>
      </c>
      <c r="AK92">
        <v>1.028</v>
      </c>
      <c r="AL92">
        <v>86</v>
      </c>
      <c r="AQ92" t="s">
        <v>112</v>
      </c>
      <c r="AR92">
        <v>6.25</v>
      </c>
      <c r="AS92">
        <v>0.83899999999999997</v>
      </c>
      <c r="AT92">
        <v>4.3010000000000002</v>
      </c>
      <c r="AU92">
        <v>5.702</v>
      </c>
      <c r="AV92">
        <v>6.3970000000000002</v>
      </c>
      <c r="AW92">
        <v>6.9450000000000003</v>
      </c>
      <c r="AX92">
        <v>7.3540000000000001</v>
      </c>
      <c r="AY92">
        <v>1.0149999999999999</v>
      </c>
      <c r="AZ92">
        <v>310</v>
      </c>
      <c r="BE92" t="s">
        <v>112</v>
      </c>
      <c r="BF92">
        <v>6.4240000000000004</v>
      </c>
      <c r="BG92">
        <v>0.64300000000000002</v>
      </c>
      <c r="BH92">
        <v>4.931</v>
      </c>
      <c r="BI92">
        <v>6.0049999999999999</v>
      </c>
      <c r="BJ92">
        <v>6.5039999999999996</v>
      </c>
      <c r="BK92">
        <v>6.96</v>
      </c>
      <c r="BL92">
        <v>7.3330000000000002</v>
      </c>
      <c r="BM92">
        <v>1.006</v>
      </c>
      <c r="BN92">
        <v>390</v>
      </c>
      <c r="BS92" t="s">
        <v>112</v>
      </c>
      <c r="BT92">
        <v>5.8390000000000004</v>
      </c>
      <c r="BU92">
        <v>0.94</v>
      </c>
      <c r="BV92">
        <v>3.952</v>
      </c>
      <c r="BW92">
        <v>5.13</v>
      </c>
      <c r="BX92">
        <v>5.891</v>
      </c>
      <c r="BY92">
        <v>6.6130000000000004</v>
      </c>
      <c r="BZ92">
        <v>7.3120000000000003</v>
      </c>
      <c r="CA92">
        <v>1.0089999999999999</v>
      </c>
      <c r="CB92">
        <v>260</v>
      </c>
      <c r="CG92" t="s">
        <v>112</v>
      </c>
      <c r="CH92">
        <v>6.4180000000000001</v>
      </c>
      <c r="CI92">
        <v>0.63700000000000001</v>
      </c>
      <c r="CJ92">
        <v>5.0289999999999999</v>
      </c>
      <c r="CK92">
        <v>5.9630000000000001</v>
      </c>
      <c r="CL92">
        <v>6.4939999999999998</v>
      </c>
      <c r="CM92">
        <v>6.9470000000000001</v>
      </c>
      <c r="CN92">
        <v>7.3360000000000003</v>
      </c>
      <c r="CO92">
        <v>1.008</v>
      </c>
      <c r="CP92">
        <v>330</v>
      </c>
      <c r="CU92" t="s">
        <v>112</v>
      </c>
      <c r="CV92">
        <v>6.7</v>
      </c>
      <c r="CW92">
        <v>0.68899999999999995</v>
      </c>
      <c r="CX92">
        <v>4.9420000000000002</v>
      </c>
      <c r="CY92">
        <v>6.3140000000000001</v>
      </c>
      <c r="CZ92">
        <v>6.9260000000000002</v>
      </c>
      <c r="DA92">
        <v>7.2649999999999997</v>
      </c>
      <c r="DB92">
        <v>7.38</v>
      </c>
      <c r="DC92">
        <v>1.0289999999999999</v>
      </c>
      <c r="DD92">
        <v>120</v>
      </c>
      <c r="DI92" t="s">
        <v>112</v>
      </c>
      <c r="DJ92">
        <v>6.024</v>
      </c>
      <c r="DK92">
        <v>0.91500000000000004</v>
      </c>
      <c r="DL92">
        <v>4.1669999999999998</v>
      </c>
      <c r="DM92">
        <v>5.359</v>
      </c>
      <c r="DN92">
        <v>6.1219999999999999</v>
      </c>
      <c r="DO92">
        <v>6.79</v>
      </c>
      <c r="DP92">
        <v>7.3449999999999998</v>
      </c>
      <c r="DQ92">
        <v>1.006</v>
      </c>
      <c r="DR92">
        <v>570</v>
      </c>
      <c r="DY92" t="s">
        <v>112</v>
      </c>
      <c r="DZ92">
        <v>6.2759999999999998</v>
      </c>
      <c r="EA92">
        <v>0.83299999999999996</v>
      </c>
      <c r="EB92">
        <v>4.3970000000000002</v>
      </c>
      <c r="EC92">
        <v>5.7149999999999999</v>
      </c>
      <c r="ED92">
        <v>6.4240000000000004</v>
      </c>
      <c r="EE92">
        <v>6.984</v>
      </c>
      <c r="EF92">
        <v>7.35</v>
      </c>
      <c r="EG92">
        <v>1.0089999999999999</v>
      </c>
      <c r="EH92">
        <v>390</v>
      </c>
      <c r="EK92" t="s">
        <v>112</v>
      </c>
      <c r="EL92">
        <v>5.0919999999999996</v>
      </c>
      <c r="EM92">
        <v>0.96899999999999997</v>
      </c>
      <c r="EN92">
        <v>3.2450000000000001</v>
      </c>
      <c r="EO92">
        <v>4.3979999999999997</v>
      </c>
      <c r="EP92">
        <v>5.0789999999999997</v>
      </c>
      <c r="EQ92">
        <v>5.7489999999999997</v>
      </c>
      <c r="ER92">
        <v>6.992</v>
      </c>
      <c r="ES92">
        <v>1.01</v>
      </c>
      <c r="ET92">
        <v>200</v>
      </c>
      <c r="EY92" t="s">
        <v>112</v>
      </c>
      <c r="EZ92">
        <v>6.3869999999999996</v>
      </c>
      <c r="FA92">
        <v>0.748</v>
      </c>
      <c r="FB92">
        <v>4.609</v>
      </c>
      <c r="FC92">
        <v>5.9470000000000001</v>
      </c>
      <c r="FD92">
        <v>6.5380000000000003</v>
      </c>
      <c r="FE92">
        <v>6.9790000000000001</v>
      </c>
      <c r="FF92">
        <v>7.343</v>
      </c>
      <c r="FG92">
        <v>1.002</v>
      </c>
      <c r="FH92">
        <v>1600</v>
      </c>
      <c r="GA92" t="s">
        <v>112</v>
      </c>
      <c r="GB92">
        <v>5.758</v>
      </c>
      <c r="GC92">
        <v>0.56499999999999995</v>
      </c>
      <c r="GD92">
        <v>4.681</v>
      </c>
      <c r="GE92">
        <v>5.3570000000000002</v>
      </c>
      <c r="GF92">
        <v>5.7389999999999999</v>
      </c>
      <c r="GG92">
        <v>6.1379999999999999</v>
      </c>
      <c r="GH92">
        <v>6.9029999999999996</v>
      </c>
      <c r="GI92">
        <v>1.0069999999999999</v>
      </c>
      <c r="GJ92">
        <v>320</v>
      </c>
      <c r="GO92" t="s">
        <v>112</v>
      </c>
      <c r="GP92">
        <v>6.423</v>
      </c>
      <c r="GQ92">
        <v>0.749</v>
      </c>
      <c r="GR92">
        <v>4.6630000000000003</v>
      </c>
      <c r="GS92">
        <v>5.9950000000000001</v>
      </c>
      <c r="GT92">
        <v>6.5979999999999999</v>
      </c>
      <c r="GU92">
        <v>7.0250000000000004</v>
      </c>
      <c r="GV92">
        <v>7.3449999999999998</v>
      </c>
      <c r="GW92">
        <v>1.0009999999999999</v>
      </c>
      <c r="GX92">
        <v>2200</v>
      </c>
      <c r="HC92" t="s">
        <v>112</v>
      </c>
      <c r="HD92">
        <v>6.55</v>
      </c>
      <c r="HE92">
        <v>0.66700000000000004</v>
      </c>
      <c r="HF92">
        <v>4.9249999999999998</v>
      </c>
      <c r="HG92">
        <v>6.18</v>
      </c>
      <c r="HH92">
        <v>6.6959999999999997</v>
      </c>
      <c r="HI92">
        <v>7.0810000000000004</v>
      </c>
      <c r="HJ92">
        <v>7.3470000000000004</v>
      </c>
      <c r="HK92">
        <v>1.004</v>
      </c>
      <c r="HL92">
        <v>660</v>
      </c>
      <c r="HP92" s="7"/>
      <c r="HQ92" s="7" t="s">
        <v>112</v>
      </c>
      <c r="HR92" s="7">
        <v>6.5389999999999997</v>
      </c>
      <c r="HS92" s="7">
        <v>0.64700000000000002</v>
      </c>
      <c r="HT92" s="7">
        <v>4.9649999999999999</v>
      </c>
      <c r="HU92" s="7">
        <v>6.1509999999999998</v>
      </c>
      <c r="HV92" s="7">
        <v>6.6890000000000001</v>
      </c>
      <c r="HW92" s="7">
        <v>7.0570000000000004</v>
      </c>
      <c r="HX92" s="7">
        <v>7.3479999999999999</v>
      </c>
      <c r="HY92" s="7">
        <v>1.0009999999999999</v>
      </c>
      <c r="HZ92" s="7">
        <v>3000</v>
      </c>
      <c r="IA92" s="7"/>
      <c r="IE92" t="s">
        <v>112</v>
      </c>
      <c r="IF92">
        <v>6.0439999999999996</v>
      </c>
      <c r="IG92">
        <v>0.61499999999999999</v>
      </c>
      <c r="IH92">
        <v>4.7759999999999998</v>
      </c>
      <c r="II92">
        <v>5.64</v>
      </c>
      <c r="IJ92">
        <v>6.0519999999999996</v>
      </c>
      <c r="IK92">
        <v>6.4749999999999996</v>
      </c>
      <c r="IL92">
        <v>7.2050000000000001</v>
      </c>
      <c r="IM92">
        <v>1.052</v>
      </c>
      <c r="IN92">
        <v>62</v>
      </c>
      <c r="IS92" t="s">
        <v>112</v>
      </c>
      <c r="IT92">
        <v>6.0810000000000004</v>
      </c>
      <c r="IU92">
        <v>0.68</v>
      </c>
      <c r="IV92">
        <v>4.5810000000000004</v>
      </c>
      <c r="IW92">
        <v>5.649</v>
      </c>
      <c r="IX92">
        <v>6.12</v>
      </c>
      <c r="IY92">
        <v>6.5659999999999998</v>
      </c>
      <c r="IZ92">
        <v>7.2560000000000002</v>
      </c>
      <c r="JA92">
        <v>1.024</v>
      </c>
      <c r="JB92">
        <v>120</v>
      </c>
      <c r="JF92" t="s">
        <v>112</v>
      </c>
      <c r="JG92">
        <v>6.2649999999999997</v>
      </c>
      <c r="JH92">
        <v>0.69699999999999995</v>
      </c>
      <c r="JI92">
        <v>4.7519999999999998</v>
      </c>
      <c r="JJ92">
        <v>5.806</v>
      </c>
      <c r="JK92">
        <v>6.3250000000000002</v>
      </c>
      <c r="JL92">
        <v>6.827</v>
      </c>
      <c r="JM92">
        <v>7.3129999999999997</v>
      </c>
      <c r="JN92">
        <v>1.0069999999999999</v>
      </c>
      <c r="JO92">
        <v>490</v>
      </c>
      <c r="JT92" t="s">
        <v>112</v>
      </c>
      <c r="JU92">
        <v>6.2080000000000002</v>
      </c>
      <c r="JV92">
        <v>0.70699999999999996</v>
      </c>
      <c r="JW92">
        <v>4.6900000000000004</v>
      </c>
      <c r="JX92">
        <v>5.7439999999999998</v>
      </c>
      <c r="JY92">
        <v>6.242</v>
      </c>
      <c r="JZ92">
        <v>6.7789999999999999</v>
      </c>
      <c r="KA92">
        <v>7.3079999999999998</v>
      </c>
      <c r="KB92">
        <v>1.002</v>
      </c>
      <c r="KC92">
        <v>1500</v>
      </c>
      <c r="KH92" t="s">
        <v>112</v>
      </c>
      <c r="KI92">
        <v>6.319</v>
      </c>
      <c r="KJ92">
        <v>0.66600000000000004</v>
      </c>
      <c r="KK92">
        <v>4.8339999999999996</v>
      </c>
      <c r="KL92">
        <v>5.883</v>
      </c>
      <c r="KM92">
        <v>6.3860000000000001</v>
      </c>
      <c r="KN92">
        <v>6.8360000000000003</v>
      </c>
      <c r="KO92">
        <v>7.3170000000000002</v>
      </c>
      <c r="KP92">
        <v>1.0049999999999999</v>
      </c>
      <c r="KQ92">
        <v>1400</v>
      </c>
      <c r="KR92">
        <f t="shared" si="3"/>
        <v>555.01769715287526</v>
      </c>
      <c r="KV92" t="s">
        <v>112</v>
      </c>
      <c r="KW92">
        <v>6.9260000000000002</v>
      </c>
      <c r="KX92">
        <v>0.88</v>
      </c>
      <c r="KY92">
        <v>5.3019999999999996</v>
      </c>
      <c r="KZ92">
        <v>6.3010000000000002</v>
      </c>
      <c r="LA92">
        <v>6.8979999999999997</v>
      </c>
      <c r="LB92">
        <v>7.54</v>
      </c>
      <c r="LC92">
        <v>8.6720000000000006</v>
      </c>
      <c r="LD92">
        <v>1.042</v>
      </c>
      <c r="LE92">
        <v>52</v>
      </c>
      <c r="LJ92" t="s">
        <v>135</v>
      </c>
      <c r="LK92">
        <v>0.19400000000000001</v>
      </c>
      <c r="LL92">
        <v>1.377</v>
      </c>
      <c r="LM92">
        <v>-1.821</v>
      </c>
      <c r="LN92">
        <v>-0.751</v>
      </c>
      <c r="LO92">
        <v>-4.7E-2</v>
      </c>
      <c r="LP92">
        <v>0.876</v>
      </c>
      <c r="LQ92">
        <v>3.6240000000000001</v>
      </c>
      <c r="LR92">
        <v>1.0029999999999999</v>
      </c>
      <c r="LS92">
        <v>2300</v>
      </c>
      <c r="LX92" t="s">
        <v>135</v>
      </c>
      <c r="LY92">
        <v>-2.355</v>
      </c>
      <c r="LZ92">
        <v>3.262</v>
      </c>
      <c r="MA92">
        <v>-9.4009999999999998</v>
      </c>
      <c r="MB92">
        <v>-4.4349999999999996</v>
      </c>
      <c r="MC92">
        <v>-2.0270000000000001</v>
      </c>
      <c r="MD92">
        <v>-5.5E-2</v>
      </c>
      <c r="ME92">
        <v>3.5259999999999998</v>
      </c>
      <c r="MF92">
        <v>1.004</v>
      </c>
      <c r="MG92">
        <v>590</v>
      </c>
      <c r="ML92" t="s">
        <v>112</v>
      </c>
      <c r="MM92">
        <v>6.5460000000000003</v>
      </c>
      <c r="MN92">
        <v>1.1240000000000001</v>
      </c>
      <c r="MO92">
        <v>4.1210000000000004</v>
      </c>
      <c r="MP92">
        <v>5.8230000000000004</v>
      </c>
      <c r="MQ92">
        <v>6.6319999999999997</v>
      </c>
      <c r="MR92">
        <v>7.3630000000000004</v>
      </c>
      <c r="MS92">
        <v>8.4640000000000004</v>
      </c>
      <c r="MT92">
        <v>1.069</v>
      </c>
      <c r="MU92">
        <v>43</v>
      </c>
      <c r="MZ92" t="s">
        <v>112</v>
      </c>
      <c r="NA92">
        <v>6.6870000000000003</v>
      </c>
      <c r="NB92">
        <v>0.92200000000000004</v>
      </c>
      <c r="NC92">
        <v>4.9169999999999998</v>
      </c>
      <c r="ND92">
        <v>5.9909999999999997</v>
      </c>
      <c r="NE92">
        <v>6.7050000000000001</v>
      </c>
      <c r="NF92">
        <v>7.3659999999999997</v>
      </c>
      <c r="NG92">
        <v>8.4149999999999991</v>
      </c>
      <c r="NH92">
        <v>1.046</v>
      </c>
      <c r="NI92">
        <v>58</v>
      </c>
      <c r="NM92" t="s">
        <v>112</v>
      </c>
      <c r="NN92">
        <v>5.1909999999999998</v>
      </c>
      <c r="NO92">
        <v>0.85599999999999998</v>
      </c>
      <c r="NP92">
        <v>3.3159999999999998</v>
      </c>
      <c r="NQ92">
        <v>4.63</v>
      </c>
      <c r="NR92">
        <v>5.2069999999999999</v>
      </c>
      <c r="NS92">
        <v>5.83</v>
      </c>
      <c r="NT92">
        <v>6.7119999999999997</v>
      </c>
      <c r="NU92">
        <v>1.0680000000000001</v>
      </c>
      <c r="NV92">
        <v>37</v>
      </c>
      <c r="NY92" t="s">
        <v>112</v>
      </c>
      <c r="NZ92">
        <v>5.1360000000000001</v>
      </c>
      <c r="OA92">
        <v>0.871</v>
      </c>
      <c r="OB92">
        <v>2.9049999999999998</v>
      </c>
      <c r="OC92">
        <v>4.6520000000000001</v>
      </c>
      <c r="OD92">
        <v>5.2709999999999999</v>
      </c>
      <c r="OE92">
        <v>5.7770000000000001</v>
      </c>
      <c r="OF92">
        <v>6.3769999999999998</v>
      </c>
      <c r="OG92">
        <v>1.1319999999999999</v>
      </c>
      <c r="OH92">
        <v>140</v>
      </c>
      <c r="OP92" t="s">
        <v>112</v>
      </c>
      <c r="OQ92">
        <v>4.9240000000000004</v>
      </c>
      <c r="OR92">
        <v>0.72499999999999998</v>
      </c>
      <c r="OS92">
        <v>3.375</v>
      </c>
      <c r="OT92">
        <v>4.4329999999999998</v>
      </c>
      <c r="OU92">
        <v>5.0739999999999998</v>
      </c>
      <c r="OV92">
        <v>5.4649999999999999</v>
      </c>
      <c r="OW92">
        <v>6.024</v>
      </c>
      <c r="OX92">
        <v>1.0980000000000001</v>
      </c>
      <c r="OY92">
        <v>29</v>
      </c>
      <c r="PB92" t="s">
        <v>112</v>
      </c>
      <c r="PC92">
        <v>4.3940000000000001</v>
      </c>
      <c r="PD92">
        <v>0.77200000000000002</v>
      </c>
      <c r="PE92">
        <v>2.7450000000000001</v>
      </c>
      <c r="PF92">
        <v>3.9140000000000001</v>
      </c>
      <c r="PG92">
        <v>4.4790000000000001</v>
      </c>
      <c r="PH92">
        <v>4.9409999999999998</v>
      </c>
      <c r="PI92">
        <v>5.7069999999999999</v>
      </c>
      <c r="PJ92">
        <v>1.006</v>
      </c>
      <c r="PK92">
        <v>360</v>
      </c>
      <c r="PN92" t="s">
        <v>112</v>
      </c>
      <c r="PO92">
        <v>4.0659999999999998</v>
      </c>
      <c r="PP92">
        <v>0.88900000000000001</v>
      </c>
      <c r="PQ92">
        <v>2.1419999999999999</v>
      </c>
      <c r="PR92">
        <v>3.5219999999999998</v>
      </c>
      <c r="PS92">
        <v>4.1479999999999997</v>
      </c>
      <c r="PT92">
        <v>4.734</v>
      </c>
      <c r="PU92">
        <v>5.4580000000000002</v>
      </c>
      <c r="PV92">
        <v>1.048</v>
      </c>
      <c r="PW92">
        <v>63</v>
      </c>
      <c r="QA92" t="s">
        <v>112</v>
      </c>
      <c r="QB92">
        <v>4.8789999999999996</v>
      </c>
      <c r="QC92">
        <v>0.33400000000000002</v>
      </c>
      <c r="QD92">
        <v>4.1630000000000003</v>
      </c>
      <c r="QE92">
        <v>4.67</v>
      </c>
      <c r="QF92">
        <v>4.9109999999999996</v>
      </c>
      <c r="QG92">
        <v>5.1139999999999999</v>
      </c>
      <c r="QH92">
        <v>5.452</v>
      </c>
      <c r="QI92">
        <v>1.018</v>
      </c>
      <c r="QJ92">
        <v>170</v>
      </c>
      <c r="QL92">
        <f t="shared" si="4"/>
        <v>-0.81299999999999972</v>
      </c>
    </row>
    <row r="93" spans="1:454">
      <c r="A93" t="s">
        <v>113</v>
      </c>
      <c r="B93">
        <v>4.577</v>
      </c>
      <c r="C93">
        <v>0.94399999999999995</v>
      </c>
      <c r="D93">
        <v>2.7210000000000001</v>
      </c>
      <c r="E93">
        <v>3.9729999999999999</v>
      </c>
      <c r="F93">
        <v>4.6630000000000003</v>
      </c>
      <c r="G93">
        <v>5.1680000000000001</v>
      </c>
      <c r="H93">
        <v>6.4429999999999996</v>
      </c>
      <c r="I93">
        <v>1.099</v>
      </c>
      <c r="J93">
        <v>38</v>
      </c>
      <c r="O93" t="s">
        <v>113</v>
      </c>
      <c r="P93">
        <v>5.383</v>
      </c>
      <c r="Q93">
        <v>1.3029999999999999</v>
      </c>
      <c r="R93">
        <v>2.4620000000000002</v>
      </c>
      <c r="S93">
        <v>4.532</v>
      </c>
      <c r="T93">
        <v>5.5309999999999997</v>
      </c>
      <c r="U93">
        <v>6.4320000000000004</v>
      </c>
      <c r="V93">
        <v>7.282</v>
      </c>
      <c r="W93">
        <v>1.0349999999999999</v>
      </c>
      <c r="X93">
        <v>81</v>
      </c>
      <c r="AC93" t="s">
        <v>113</v>
      </c>
      <c r="AD93">
        <v>6.0369999999999999</v>
      </c>
      <c r="AE93">
        <v>0.82499999999999996</v>
      </c>
      <c r="AF93">
        <v>4.2880000000000003</v>
      </c>
      <c r="AG93">
        <v>5.4669999999999996</v>
      </c>
      <c r="AH93">
        <v>6.0979999999999999</v>
      </c>
      <c r="AI93">
        <v>6.7039999999999997</v>
      </c>
      <c r="AJ93">
        <v>7.306</v>
      </c>
      <c r="AK93">
        <v>1.028</v>
      </c>
      <c r="AL93">
        <v>79</v>
      </c>
      <c r="AQ93" t="s">
        <v>113</v>
      </c>
      <c r="AR93">
        <v>6.1529999999999996</v>
      </c>
      <c r="AS93">
        <v>0.77</v>
      </c>
      <c r="AT93">
        <v>4.4779999999999998</v>
      </c>
      <c r="AU93">
        <v>5.6509999999999998</v>
      </c>
      <c r="AV93">
        <v>6.2270000000000003</v>
      </c>
      <c r="AW93">
        <v>6.7649999999999997</v>
      </c>
      <c r="AX93">
        <v>7.3209999999999997</v>
      </c>
      <c r="AY93">
        <v>1.02</v>
      </c>
      <c r="AZ93">
        <v>130</v>
      </c>
      <c r="BE93" t="s">
        <v>113</v>
      </c>
      <c r="BF93">
        <v>6.6660000000000004</v>
      </c>
      <c r="BG93">
        <v>0.48299999999999998</v>
      </c>
      <c r="BH93">
        <v>5.5759999999999996</v>
      </c>
      <c r="BI93">
        <v>6.3609999999999998</v>
      </c>
      <c r="BJ93">
        <v>6.7389999999999999</v>
      </c>
      <c r="BK93">
        <v>7.0439999999999996</v>
      </c>
      <c r="BL93">
        <v>7.3490000000000002</v>
      </c>
      <c r="BM93">
        <v>1.0029999999999999</v>
      </c>
      <c r="BN93">
        <v>830</v>
      </c>
      <c r="BS93" t="s">
        <v>113</v>
      </c>
      <c r="BT93">
        <v>5.7249999999999996</v>
      </c>
      <c r="BU93">
        <v>0.88600000000000001</v>
      </c>
      <c r="BV93">
        <v>3.9340000000000002</v>
      </c>
      <c r="BW93">
        <v>5.1079999999999997</v>
      </c>
      <c r="BX93">
        <v>5.7450000000000001</v>
      </c>
      <c r="BY93">
        <v>6.399</v>
      </c>
      <c r="BZ93">
        <v>7.2610000000000001</v>
      </c>
      <c r="CA93">
        <v>1.002</v>
      </c>
      <c r="CB93">
        <v>1100</v>
      </c>
      <c r="CG93" t="s">
        <v>113</v>
      </c>
      <c r="CH93">
        <v>6.5629999999999997</v>
      </c>
      <c r="CI93">
        <v>0.53200000000000003</v>
      </c>
      <c r="CJ93">
        <v>5.4009999999999998</v>
      </c>
      <c r="CK93">
        <v>6.2030000000000003</v>
      </c>
      <c r="CL93">
        <v>6.6310000000000002</v>
      </c>
      <c r="CM93">
        <v>6.99</v>
      </c>
      <c r="CN93">
        <v>7.3419999999999996</v>
      </c>
      <c r="CO93">
        <v>1.0169999999999999</v>
      </c>
      <c r="CP93">
        <v>150</v>
      </c>
      <c r="CU93" t="s">
        <v>113</v>
      </c>
      <c r="CV93">
        <v>6.6139999999999999</v>
      </c>
      <c r="CW93">
        <v>0.61699999999999999</v>
      </c>
      <c r="CX93">
        <v>5.2160000000000002</v>
      </c>
      <c r="CY93">
        <v>6.2229999999999999</v>
      </c>
      <c r="CZ93">
        <v>6.7329999999999997</v>
      </c>
      <c r="DA93">
        <v>7.125</v>
      </c>
      <c r="DB93">
        <v>7.3789999999999996</v>
      </c>
      <c r="DC93">
        <v>1.0129999999999999</v>
      </c>
      <c r="DD93">
        <v>290</v>
      </c>
      <c r="DI93" t="s">
        <v>113</v>
      </c>
      <c r="DJ93">
        <v>5.891</v>
      </c>
      <c r="DK93">
        <v>0.88400000000000001</v>
      </c>
      <c r="DL93">
        <v>4.1059999999999999</v>
      </c>
      <c r="DM93">
        <v>5.2670000000000003</v>
      </c>
      <c r="DN93">
        <v>5.9340000000000002</v>
      </c>
      <c r="DO93">
        <v>6.609</v>
      </c>
      <c r="DP93">
        <v>7.3</v>
      </c>
      <c r="DQ93">
        <v>1.016</v>
      </c>
      <c r="DR93">
        <v>150</v>
      </c>
      <c r="DY93" t="s">
        <v>113</v>
      </c>
      <c r="DZ93">
        <v>6.2160000000000002</v>
      </c>
      <c r="EA93">
        <v>0.78600000000000003</v>
      </c>
      <c r="EB93">
        <v>4.484</v>
      </c>
      <c r="EC93">
        <v>5.6849999999999996</v>
      </c>
      <c r="ED93">
        <v>6.3209999999999997</v>
      </c>
      <c r="EE93">
        <v>6.859</v>
      </c>
      <c r="EF93">
        <v>7.3369999999999997</v>
      </c>
      <c r="EG93">
        <v>1.0009999999999999</v>
      </c>
      <c r="EH93">
        <v>2900</v>
      </c>
      <c r="EK93" t="s">
        <v>113</v>
      </c>
      <c r="EL93">
        <v>6.0030000000000001</v>
      </c>
      <c r="EM93">
        <v>0.83299999999999996</v>
      </c>
      <c r="EN93">
        <v>4.29</v>
      </c>
      <c r="EO93">
        <v>5.4189999999999996</v>
      </c>
      <c r="EP93">
        <v>6.0439999999999996</v>
      </c>
      <c r="EQ93">
        <v>6.7039999999999997</v>
      </c>
      <c r="ER93">
        <v>7.2889999999999997</v>
      </c>
      <c r="ES93">
        <v>1.0149999999999999</v>
      </c>
      <c r="ET93">
        <v>140</v>
      </c>
      <c r="EY93" t="s">
        <v>113</v>
      </c>
      <c r="EZ93">
        <v>6.3040000000000003</v>
      </c>
      <c r="FA93">
        <v>0.76600000000000001</v>
      </c>
      <c r="FB93">
        <v>4.54</v>
      </c>
      <c r="FC93">
        <v>5.8109999999999999</v>
      </c>
      <c r="FD93">
        <v>6.4370000000000003</v>
      </c>
      <c r="FE93">
        <v>6.9160000000000004</v>
      </c>
      <c r="FF93">
        <v>7.3369999999999997</v>
      </c>
      <c r="FG93">
        <v>1.0069999999999999</v>
      </c>
      <c r="FH93">
        <v>400</v>
      </c>
      <c r="GA93" t="s">
        <v>113</v>
      </c>
      <c r="GB93">
        <v>6.3620000000000001</v>
      </c>
      <c r="GC93">
        <v>0.53700000000000003</v>
      </c>
      <c r="GD93">
        <v>5.2969999999999997</v>
      </c>
      <c r="GE93">
        <v>6</v>
      </c>
      <c r="GF93">
        <v>6.3849999999999998</v>
      </c>
      <c r="GG93">
        <v>6.7640000000000002</v>
      </c>
      <c r="GH93">
        <v>7.2859999999999996</v>
      </c>
      <c r="GI93">
        <v>1.0009999999999999</v>
      </c>
      <c r="GJ93">
        <v>3000</v>
      </c>
      <c r="GO93" t="s">
        <v>113</v>
      </c>
      <c r="GP93">
        <v>6.3280000000000003</v>
      </c>
      <c r="GQ93">
        <v>0.751</v>
      </c>
      <c r="GR93">
        <v>4.5519999999999996</v>
      </c>
      <c r="GS93">
        <v>5.88</v>
      </c>
      <c r="GT93">
        <v>6.4610000000000003</v>
      </c>
      <c r="GU93">
        <v>6.9320000000000004</v>
      </c>
      <c r="GV93">
        <v>7.3289999999999997</v>
      </c>
      <c r="GW93">
        <v>1.0029999999999999</v>
      </c>
      <c r="GX93">
        <v>990</v>
      </c>
      <c r="HC93" t="s">
        <v>113</v>
      </c>
      <c r="HD93">
        <v>6.5</v>
      </c>
      <c r="HE93">
        <v>0.65300000000000002</v>
      </c>
      <c r="HF93">
        <v>4.9470000000000001</v>
      </c>
      <c r="HG93">
        <v>6.1159999999999997</v>
      </c>
      <c r="HH93">
        <v>6.6310000000000002</v>
      </c>
      <c r="HI93">
        <v>7.0229999999999997</v>
      </c>
      <c r="HJ93">
        <v>7.3419999999999996</v>
      </c>
      <c r="HK93">
        <v>1.0029999999999999</v>
      </c>
      <c r="HL93">
        <v>940</v>
      </c>
      <c r="HP93" s="7"/>
      <c r="HQ93" s="7" t="s">
        <v>113</v>
      </c>
      <c r="HR93" s="7">
        <v>6.7370000000000001</v>
      </c>
      <c r="HS93" s="7">
        <v>0.501</v>
      </c>
      <c r="HT93" s="7">
        <v>5.4960000000000004</v>
      </c>
      <c r="HU93" s="7">
        <v>6.4569999999999999</v>
      </c>
      <c r="HV93" s="7">
        <v>6.8490000000000002</v>
      </c>
      <c r="HW93" s="7">
        <v>7.1260000000000003</v>
      </c>
      <c r="HX93" s="7">
        <v>7.3520000000000003</v>
      </c>
      <c r="HY93" s="7">
        <v>1.002</v>
      </c>
      <c r="HZ93" s="7">
        <v>3000</v>
      </c>
      <c r="IA93" s="7"/>
      <c r="IE93" t="s">
        <v>113</v>
      </c>
      <c r="IF93">
        <v>6.7089999999999996</v>
      </c>
      <c r="IG93">
        <v>0.46100000000000002</v>
      </c>
      <c r="IH93">
        <v>5.6449999999999996</v>
      </c>
      <c r="II93">
        <v>6.4359999999999999</v>
      </c>
      <c r="IJ93">
        <v>6.7750000000000004</v>
      </c>
      <c r="IK93">
        <v>7.07</v>
      </c>
      <c r="IL93">
        <v>7.3449999999999998</v>
      </c>
      <c r="IM93">
        <v>1.0529999999999999</v>
      </c>
      <c r="IN93">
        <v>68</v>
      </c>
      <c r="IS93" t="s">
        <v>113</v>
      </c>
      <c r="IT93">
        <v>6.6260000000000003</v>
      </c>
      <c r="IU93">
        <v>0.50900000000000001</v>
      </c>
      <c r="IV93">
        <v>5.4379999999999997</v>
      </c>
      <c r="IW93">
        <v>6.3209999999999997</v>
      </c>
      <c r="IX93">
        <v>6.6970000000000001</v>
      </c>
      <c r="IY93">
        <v>7.02</v>
      </c>
      <c r="IZ93">
        <v>7.3380000000000001</v>
      </c>
      <c r="JA93">
        <v>1.0129999999999999</v>
      </c>
      <c r="JB93">
        <v>190</v>
      </c>
      <c r="JF93" t="s">
        <v>113</v>
      </c>
      <c r="JG93">
        <v>6.7069999999999999</v>
      </c>
      <c r="JH93">
        <v>0.50800000000000001</v>
      </c>
      <c r="JI93">
        <v>5.4619999999999997</v>
      </c>
      <c r="JJ93">
        <v>6.4269999999999996</v>
      </c>
      <c r="JK93">
        <v>6.8120000000000003</v>
      </c>
      <c r="JL93">
        <v>7.1</v>
      </c>
      <c r="JM93">
        <v>7.3529999999999998</v>
      </c>
      <c r="JN93">
        <v>1.008</v>
      </c>
      <c r="JO93">
        <v>390</v>
      </c>
      <c r="JT93" t="s">
        <v>113</v>
      </c>
      <c r="JU93">
        <v>6.6660000000000004</v>
      </c>
      <c r="JV93">
        <v>0.51800000000000002</v>
      </c>
      <c r="JW93">
        <v>5.431</v>
      </c>
      <c r="JX93">
        <v>6.3579999999999997</v>
      </c>
      <c r="JY93">
        <v>6.7619999999999996</v>
      </c>
      <c r="JZ93">
        <v>7.0810000000000004</v>
      </c>
      <c r="KA93">
        <v>7.3479999999999999</v>
      </c>
      <c r="KB93">
        <v>1.002</v>
      </c>
      <c r="KC93">
        <v>1000</v>
      </c>
      <c r="KH93" t="s">
        <v>113</v>
      </c>
      <c r="KI93">
        <v>6.7679999999999998</v>
      </c>
      <c r="KJ93">
        <v>0.47099999999999997</v>
      </c>
      <c r="KK93">
        <v>5.6040000000000001</v>
      </c>
      <c r="KL93">
        <v>6.5060000000000002</v>
      </c>
      <c r="KM93">
        <v>6.875</v>
      </c>
      <c r="KN93">
        <v>7.1360000000000001</v>
      </c>
      <c r="KO93">
        <v>7.3529999999999998</v>
      </c>
      <c r="KP93">
        <v>1.0069999999999999</v>
      </c>
      <c r="KQ93">
        <v>780</v>
      </c>
      <c r="KR93">
        <f t="shared" si="3"/>
        <v>869.57101166541031</v>
      </c>
      <c r="KV93" t="s">
        <v>113</v>
      </c>
      <c r="KW93">
        <v>6.2409999999999997</v>
      </c>
      <c r="KX93">
        <v>0.67400000000000004</v>
      </c>
      <c r="KY93">
        <v>4.9690000000000003</v>
      </c>
      <c r="KZ93">
        <v>5.7469999999999999</v>
      </c>
      <c r="LA93">
        <v>6.2430000000000003</v>
      </c>
      <c r="LB93">
        <v>6.7309999999999999</v>
      </c>
      <c r="LC93">
        <v>7.5229999999999997</v>
      </c>
      <c r="LD93">
        <v>1.073</v>
      </c>
      <c r="LE93">
        <v>32</v>
      </c>
      <c r="LJ93" t="s">
        <v>136</v>
      </c>
      <c r="LK93">
        <v>-2.7589999999999999</v>
      </c>
      <c r="LL93">
        <v>3.274</v>
      </c>
      <c r="LM93">
        <v>-9.8859999999999992</v>
      </c>
      <c r="LN93">
        <v>-4.9269999999999996</v>
      </c>
      <c r="LO93">
        <v>-2.4159999999999999</v>
      </c>
      <c r="LP93">
        <v>-0.35899999999999999</v>
      </c>
      <c r="LQ93">
        <v>2.7069999999999999</v>
      </c>
      <c r="LR93">
        <v>1.002</v>
      </c>
      <c r="LS93">
        <v>1200</v>
      </c>
      <c r="LX93" t="s">
        <v>136</v>
      </c>
      <c r="LY93">
        <v>-2.411</v>
      </c>
      <c r="LZ93">
        <v>3.403</v>
      </c>
      <c r="MA93">
        <v>-10.039999999999999</v>
      </c>
      <c r="MB93">
        <v>-4.5270000000000001</v>
      </c>
      <c r="MC93">
        <v>-2.0920000000000001</v>
      </c>
      <c r="MD93">
        <v>2.1999999999999999E-2</v>
      </c>
      <c r="ME93">
        <v>3.2450000000000001</v>
      </c>
      <c r="MF93">
        <v>1.0029999999999999</v>
      </c>
      <c r="MG93">
        <v>1200</v>
      </c>
      <c r="ML93" t="s">
        <v>113</v>
      </c>
      <c r="MM93">
        <v>5.9459999999999997</v>
      </c>
      <c r="MN93">
        <v>1.01</v>
      </c>
      <c r="MO93">
        <v>3.7050000000000001</v>
      </c>
      <c r="MP93">
        <v>5.3010000000000002</v>
      </c>
      <c r="MQ93">
        <v>6.0590000000000002</v>
      </c>
      <c r="MR93">
        <v>6.7140000000000004</v>
      </c>
      <c r="MS93">
        <v>7.51</v>
      </c>
      <c r="MT93">
        <v>1.0840000000000001</v>
      </c>
      <c r="MU93">
        <v>37</v>
      </c>
      <c r="MZ93" t="s">
        <v>113</v>
      </c>
      <c r="NA93">
        <v>6.085</v>
      </c>
      <c r="NB93">
        <v>0.79800000000000004</v>
      </c>
      <c r="NC93">
        <v>4.5019999999999998</v>
      </c>
      <c r="ND93">
        <v>5.5279999999999996</v>
      </c>
      <c r="NE93">
        <v>6.1050000000000004</v>
      </c>
      <c r="NF93">
        <v>6.7069999999999999</v>
      </c>
      <c r="NG93">
        <v>7.4870000000000001</v>
      </c>
      <c r="NH93">
        <v>1.0720000000000001</v>
      </c>
      <c r="NI93">
        <v>46</v>
      </c>
      <c r="NM93" t="s">
        <v>113</v>
      </c>
      <c r="NN93">
        <v>4.774</v>
      </c>
      <c r="NO93">
        <v>0.85299999999999998</v>
      </c>
      <c r="NP93">
        <v>2.891</v>
      </c>
      <c r="NQ93">
        <v>4.2069999999999999</v>
      </c>
      <c r="NR93">
        <v>4.7839999999999998</v>
      </c>
      <c r="NS93">
        <v>5.423</v>
      </c>
      <c r="NT93">
        <v>6.298</v>
      </c>
      <c r="NU93">
        <v>1.07</v>
      </c>
      <c r="NV93">
        <v>36</v>
      </c>
      <c r="NY93" t="s">
        <v>113</v>
      </c>
      <c r="NZ93">
        <v>5.0110000000000001</v>
      </c>
      <c r="OA93">
        <v>0.84199999999999997</v>
      </c>
      <c r="OB93">
        <v>2.8610000000000002</v>
      </c>
      <c r="OC93">
        <v>4.5419999999999998</v>
      </c>
      <c r="OD93">
        <v>5.1420000000000003</v>
      </c>
      <c r="OE93">
        <v>5.6289999999999996</v>
      </c>
      <c r="OF93">
        <v>6.1890000000000001</v>
      </c>
      <c r="OG93">
        <v>1.1379999999999999</v>
      </c>
      <c r="OH93">
        <v>130</v>
      </c>
      <c r="OP93" t="s">
        <v>113</v>
      </c>
      <c r="OQ93">
        <v>4.8170000000000002</v>
      </c>
      <c r="OR93">
        <v>0.72</v>
      </c>
      <c r="OS93">
        <v>3.286</v>
      </c>
      <c r="OT93">
        <v>4.3339999999999996</v>
      </c>
      <c r="OU93">
        <v>4.9580000000000002</v>
      </c>
      <c r="OV93">
        <v>5.3479999999999999</v>
      </c>
      <c r="OW93">
        <v>5.9320000000000004</v>
      </c>
      <c r="OX93">
        <v>1.099</v>
      </c>
      <c r="OY93">
        <v>32</v>
      </c>
      <c r="PB93" t="s">
        <v>113</v>
      </c>
      <c r="PC93">
        <v>3.9390000000000001</v>
      </c>
      <c r="PD93">
        <v>0.74199999999999999</v>
      </c>
      <c r="PE93">
        <v>2.355</v>
      </c>
      <c r="PF93">
        <v>3.4769999999999999</v>
      </c>
      <c r="PG93">
        <v>4.0410000000000004</v>
      </c>
      <c r="PH93">
        <v>4.4779999999999998</v>
      </c>
      <c r="PI93">
        <v>5.173</v>
      </c>
      <c r="PJ93">
        <v>1.0069999999999999</v>
      </c>
      <c r="PK93">
        <v>330</v>
      </c>
      <c r="PN93" t="s">
        <v>113</v>
      </c>
      <c r="PO93">
        <v>3.9620000000000002</v>
      </c>
      <c r="PP93">
        <v>0.877</v>
      </c>
      <c r="PQ93">
        <v>2.0750000000000002</v>
      </c>
      <c r="PR93">
        <v>3.4350000000000001</v>
      </c>
      <c r="PS93">
        <v>4.048</v>
      </c>
      <c r="PT93">
        <v>4.6340000000000003</v>
      </c>
      <c r="PU93">
        <v>5.3220000000000001</v>
      </c>
      <c r="PV93">
        <v>1.0489999999999999</v>
      </c>
      <c r="PW93">
        <v>62</v>
      </c>
      <c r="QA93" t="s">
        <v>113</v>
      </c>
      <c r="QB93">
        <v>4.9720000000000004</v>
      </c>
      <c r="QC93">
        <v>0.313</v>
      </c>
      <c r="QD93">
        <v>4.2910000000000004</v>
      </c>
      <c r="QE93">
        <v>4.7789999999999999</v>
      </c>
      <c r="QF93">
        <v>5.0039999999999996</v>
      </c>
      <c r="QG93">
        <v>5.19</v>
      </c>
      <c r="QH93">
        <v>5.5049999999999999</v>
      </c>
      <c r="QI93">
        <v>1.0309999999999999</v>
      </c>
      <c r="QJ93">
        <v>78</v>
      </c>
      <c r="QL93">
        <f t="shared" si="4"/>
        <v>-1.0100000000000002</v>
      </c>
    </row>
    <row r="94" spans="1:454">
      <c r="A94" t="s">
        <v>114</v>
      </c>
      <c r="B94">
        <v>4.5170000000000003</v>
      </c>
      <c r="C94">
        <v>0.98</v>
      </c>
      <c r="D94">
        <v>2.4710000000000001</v>
      </c>
      <c r="E94">
        <v>3.9060000000000001</v>
      </c>
      <c r="F94">
        <v>4.6050000000000004</v>
      </c>
      <c r="G94">
        <v>5.17</v>
      </c>
      <c r="H94">
        <v>6.3630000000000004</v>
      </c>
      <c r="I94">
        <v>1.103</v>
      </c>
      <c r="J94">
        <v>37</v>
      </c>
      <c r="O94" t="s">
        <v>114</v>
      </c>
      <c r="P94">
        <v>4.2469999999999999</v>
      </c>
      <c r="Q94">
        <v>1.849</v>
      </c>
      <c r="R94">
        <v>0.47399999999999998</v>
      </c>
      <c r="S94">
        <v>2.9409999999999998</v>
      </c>
      <c r="T94">
        <v>4.3659999999999997</v>
      </c>
      <c r="U94">
        <v>5.7450000000000001</v>
      </c>
      <c r="V94">
        <v>7.1859999999999999</v>
      </c>
      <c r="W94">
        <v>1.0029999999999999</v>
      </c>
      <c r="X94">
        <v>1500</v>
      </c>
      <c r="AC94" t="s">
        <v>114</v>
      </c>
      <c r="AD94">
        <v>5.5359999999999996</v>
      </c>
      <c r="AE94">
        <v>1.121</v>
      </c>
      <c r="AF94">
        <v>3.08</v>
      </c>
      <c r="AG94">
        <v>4.8099999999999996</v>
      </c>
      <c r="AH94">
        <v>5.5990000000000002</v>
      </c>
      <c r="AI94">
        <v>6.4349999999999996</v>
      </c>
      <c r="AJ94">
        <v>7.2859999999999996</v>
      </c>
      <c r="AK94">
        <v>1.0109999999999999</v>
      </c>
      <c r="AL94">
        <v>190</v>
      </c>
      <c r="AQ94" t="s">
        <v>114</v>
      </c>
      <c r="AR94">
        <v>5.7160000000000002</v>
      </c>
      <c r="AS94">
        <v>1.0760000000000001</v>
      </c>
      <c r="AT94">
        <v>3.3660000000000001</v>
      </c>
      <c r="AU94">
        <v>4.9939999999999998</v>
      </c>
      <c r="AV94">
        <v>5.8490000000000002</v>
      </c>
      <c r="AW94">
        <v>6.5720000000000001</v>
      </c>
      <c r="AX94">
        <v>7.3120000000000003</v>
      </c>
      <c r="AY94">
        <v>1.016</v>
      </c>
      <c r="AZ94">
        <v>220</v>
      </c>
      <c r="BE94" t="s">
        <v>114</v>
      </c>
      <c r="BF94">
        <v>5.5590000000000002</v>
      </c>
      <c r="BG94">
        <v>0.91600000000000004</v>
      </c>
      <c r="BH94">
        <v>3.6960000000000002</v>
      </c>
      <c r="BI94">
        <v>4.915</v>
      </c>
      <c r="BJ94">
        <v>5.5869999999999997</v>
      </c>
      <c r="BK94">
        <v>6.2320000000000002</v>
      </c>
      <c r="BL94">
        <v>7.181</v>
      </c>
      <c r="BM94">
        <v>1.0089999999999999</v>
      </c>
      <c r="BN94">
        <v>240</v>
      </c>
      <c r="BS94" t="s">
        <v>114</v>
      </c>
      <c r="BT94">
        <v>5.1509999999999998</v>
      </c>
      <c r="BU94">
        <v>1.2490000000000001</v>
      </c>
      <c r="BV94">
        <v>2.5209999999999999</v>
      </c>
      <c r="BW94">
        <v>4.3220000000000001</v>
      </c>
      <c r="BX94">
        <v>5.24</v>
      </c>
      <c r="BY94">
        <v>6.1210000000000004</v>
      </c>
      <c r="BZ94">
        <v>7.1920000000000002</v>
      </c>
      <c r="CA94">
        <v>1.016</v>
      </c>
      <c r="CB94">
        <v>240</v>
      </c>
      <c r="CG94" t="s">
        <v>114</v>
      </c>
      <c r="CH94">
        <v>5.4950000000000001</v>
      </c>
      <c r="CI94">
        <v>0.93300000000000005</v>
      </c>
      <c r="CJ94">
        <v>3.67</v>
      </c>
      <c r="CK94">
        <v>4.8479999999999999</v>
      </c>
      <c r="CL94">
        <v>5.4930000000000003</v>
      </c>
      <c r="CM94">
        <v>6.1820000000000004</v>
      </c>
      <c r="CN94">
        <v>7.18</v>
      </c>
      <c r="CO94">
        <v>1.0069999999999999</v>
      </c>
      <c r="CP94">
        <v>320</v>
      </c>
      <c r="CU94" t="s">
        <v>114</v>
      </c>
      <c r="CV94">
        <v>6.3360000000000003</v>
      </c>
      <c r="CW94">
        <v>0.88</v>
      </c>
      <c r="CX94">
        <v>4.1989999999999998</v>
      </c>
      <c r="CY94">
        <v>5.8079999999999998</v>
      </c>
      <c r="CZ94">
        <v>6.532</v>
      </c>
      <c r="DA94">
        <v>7.0540000000000003</v>
      </c>
      <c r="DB94">
        <v>7.3789999999999996</v>
      </c>
      <c r="DC94">
        <v>1.016</v>
      </c>
      <c r="DD94">
        <v>190</v>
      </c>
      <c r="DI94" t="s">
        <v>114</v>
      </c>
      <c r="DJ94">
        <v>5.4560000000000004</v>
      </c>
      <c r="DK94">
        <v>1.1419999999999999</v>
      </c>
      <c r="DL94">
        <v>2.9860000000000002</v>
      </c>
      <c r="DM94">
        <v>4.6719999999999997</v>
      </c>
      <c r="DN94">
        <v>5.5309999999999997</v>
      </c>
      <c r="DO94">
        <v>6.3289999999999997</v>
      </c>
      <c r="DP94">
        <v>7.2889999999999997</v>
      </c>
      <c r="DQ94">
        <v>1.0009999999999999</v>
      </c>
      <c r="DR94">
        <v>3000</v>
      </c>
      <c r="DY94" t="s">
        <v>114</v>
      </c>
      <c r="DZ94">
        <v>5.8529999999999998</v>
      </c>
      <c r="EA94">
        <v>1.0309999999999999</v>
      </c>
      <c r="EB94">
        <v>3.51</v>
      </c>
      <c r="EC94">
        <v>5.1669999999999998</v>
      </c>
      <c r="ED94">
        <v>5.9909999999999997</v>
      </c>
      <c r="EE94">
        <v>6.6840000000000002</v>
      </c>
      <c r="EF94">
        <v>7.319</v>
      </c>
      <c r="EG94">
        <v>1.0069999999999999</v>
      </c>
      <c r="EH94">
        <v>3000</v>
      </c>
      <c r="EK94" t="s">
        <v>114</v>
      </c>
      <c r="EL94">
        <v>5.4640000000000004</v>
      </c>
      <c r="EM94">
        <v>1.26</v>
      </c>
      <c r="EN94">
        <v>2.7709999999999999</v>
      </c>
      <c r="EO94">
        <v>4.6440000000000001</v>
      </c>
      <c r="EP94">
        <v>5.6310000000000002</v>
      </c>
      <c r="EQ94">
        <v>6.51</v>
      </c>
      <c r="ER94">
        <v>7.2779999999999996</v>
      </c>
      <c r="ES94">
        <v>1.0069999999999999</v>
      </c>
      <c r="ET94">
        <v>690</v>
      </c>
      <c r="EY94" t="s">
        <v>114</v>
      </c>
      <c r="EZ94">
        <v>5.8609999999999998</v>
      </c>
      <c r="FA94">
        <v>1.1220000000000001</v>
      </c>
      <c r="FB94">
        <v>3.1859999999999999</v>
      </c>
      <c r="FC94">
        <v>5.1829999999999998</v>
      </c>
      <c r="FD94">
        <v>6.0460000000000003</v>
      </c>
      <c r="FE94">
        <v>6.7720000000000002</v>
      </c>
      <c r="FF94">
        <v>7.3150000000000004</v>
      </c>
      <c r="FG94">
        <v>1.0069999999999999</v>
      </c>
      <c r="FH94">
        <v>3000</v>
      </c>
      <c r="GA94" t="s">
        <v>114</v>
      </c>
      <c r="GB94">
        <v>5.383</v>
      </c>
      <c r="GC94">
        <v>0.89200000000000002</v>
      </c>
      <c r="GD94">
        <v>3.6030000000000002</v>
      </c>
      <c r="GE94">
        <v>4.7679999999999998</v>
      </c>
      <c r="GF94">
        <v>5.41</v>
      </c>
      <c r="GG94">
        <v>6.0410000000000004</v>
      </c>
      <c r="GH94">
        <v>7.0389999999999997</v>
      </c>
      <c r="GI94">
        <v>1.004</v>
      </c>
      <c r="GJ94">
        <v>650</v>
      </c>
      <c r="GO94" t="s">
        <v>114</v>
      </c>
      <c r="GP94">
        <v>5.9020000000000001</v>
      </c>
      <c r="GQ94">
        <v>1.0960000000000001</v>
      </c>
      <c r="GR94">
        <v>3.3719999999999999</v>
      </c>
      <c r="GS94">
        <v>5.2480000000000002</v>
      </c>
      <c r="GT94">
        <v>6.1210000000000004</v>
      </c>
      <c r="GU94">
        <v>6.7709999999999999</v>
      </c>
      <c r="GV94">
        <v>7.3140000000000001</v>
      </c>
      <c r="GW94">
        <v>1.0009999999999999</v>
      </c>
      <c r="GX94">
        <v>3000</v>
      </c>
      <c r="HC94" t="s">
        <v>114</v>
      </c>
      <c r="HD94">
        <v>6.0570000000000004</v>
      </c>
      <c r="HE94">
        <v>0.97099999999999997</v>
      </c>
      <c r="HF94">
        <v>3.6970000000000001</v>
      </c>
      <c r="HG94">
        <v>5.4850000000000003</v>
      </c>
      <c r="HH94">
        <v>6.24</v>
      </c>
      <c r="HI94">
        <v>6.8220000000000001</v>
      </c>
      <c r="HJ94">
        <v>7.3289999999999997</v>
      </c>
      <c r="HK94">
        <v>1.004</v>
      </c>
      <c r="HL94">
        <v>510</v>
      </c>
      <c r="HP94" s="7"/>
      <c r="HQ94" s="7" t="s">
        <v>114</v>
      </c>
      <c r="HR94" s="7">
        <v>6.2190000000000003</v>
      </c>
      <c r="HS94" s="7">
        <v>0.89600000000000002</v>
      </c>
      <c r="HT94" s="7">
        <v>4.0830000000000002</v>
      </c>
      <c r="HU94" s="7">
        <v>5.7</v>
      </c>
      <c r="HV94" s="7">
        <v>6.423</v>
      </c>
      <c r="HW94" s="7">
        <v>6.9370000000000003</v>
      </c>
      <c r="HX94" s="7">
        <v>7.3330000000000002</v>
      </c>
      <c r="HY94" s="7">
        <v>1.0009999999999999</v>
      </c>
      <c r="HZ94" s="7">
        <v>2900</v>
      </c>
      <c r="IA94" s="7"/>
      <c r="IE94" t="s">
        <v>114</v>
      </c>
      <c r="IF94">
        <v>5.8319999999999999</v>
      </c>
      <c r="IG94">
        <v>0.93500000000000005</v>
      </c>
      <c r="IH94">
        <v>3.843</v>
      </c>
      <c r="II94">
        <v>5.1980000000000004</v>
      </c>
      <c r="IJ94">
        <v>5.9139999999999997</v>
      </c>
      <c r="IK94">
        <v>6.5839999999999996</v>
      </c>
      <c r="IL94">
        <v>7.2850000000000001</v>
      </c>
      <c r="IM94">
        <v>1.0029999999999999</v>
      </c>
      <c r="IN94">
        <v>970</v>
      </c>
      <c r="IS94" t="s">
        <v>114</v>
      </c>
      <c r="IT94">
        <v>5.8090000000000002</v>
      </c>
      <c r="IU94">
        <v>0.94299999999999995</v>
      </c>
      <c r="IV94">
        <v>3.7250000000000001</v>
      </c>
      <c r="IW94">
        <v>5.2</v>
      </c>
      <c r="IX94">
        <v>5.9139999999999997</v>
      </c>
      <c r="IY94">
        <v>6.5339999999999998</v>
      </c>
      <c r="IZ94">
        <v>7.282</v>
      </c>
      <c r="JA94">
        <v>1.01</v>
      </c>
      <c r="JB94">
        <v>330</v>
      </c>
      <c r="JF94" t="s">
        <v>114</v>
      </c>
      <c r="JG94">
        <v>5.9470000000000001</v>
      </c>
      <c r="JH94">
        <v>0.94399999999999995</v>
      </c>
      <c r="JI94">
        <v>3.823</v>
      </c>
      <c r="JJ94">
        <v>5.3609999999999998</v>
      </c>
      <c r="JK94">
        <v>6.0789999999999997</v>
      </c>
      <c r="JL94">
        <v>6.6890000000000001</v>
      </c>
      <c r="JM94">
        <v>7.2939999999999996</v>
      </c>
      <c r="JN94">
        <v>1.0029999999999999</v>
      </c>
      <c r="JO94">
        <v>1100</v>
      </c>
      <c r="JT94" t="s">
        <v>114</v>
      </c>
      <c r="JU94">
        <v>5.9390000000000001</v>
      </c>
      <c r="JV94">
        <v>0.96699999999999997</v>
      </c>
      <c r="JW94">
        <v>3.746</v>
      </c>
      <c r="JX94">
        <v>5.31</v>
      </c>
      <c r="JY94">
        <v>6.0830000000000002</v>
      </c>
      <c r="JZ94">
        <v>6.6909999999999998</v>
      </c>
      <c r="KA94">
        <v>7.3140000000000001</v>
      </c>
      <c r="KB94">
        <v>1.0069999999999999</v>
      </c>
      <c r="KC94">
        <v>480</v>
      </c>
      <c r="KH94" t="s">
        <v>114</v>
      </c>
      <c r="KI94">
        <v>6.0880000000000001</v>
      </c>
      <c r="KJ94">
        <v>0.92600000000000005</v>
      </c>
      <c r="KK94">
        <v>3.9649999999999999</v>
      </c>
      <c r="KL94">
        <v>5.4930000000000003</v>
      </c>
      <c r="KM94">
        <v>6.2489999999999997</v>
      </c>
      <c r="KN94">
        <v>6.8339999999999996</v>
      </c>
      <c r="KO94">
        <v>7.3129999999999997</v>
      </c>
      <c r="KP94">
        <v>1.0029999999999999</v>
      </c>
      <c r="KQ94">
        <v>1700</v>
      </c>
      <c r="KR94">
        <f t="shared" si="3"/>
        <v>440.53945057823336</v>
      </c>
      <c r="KV94" t="s">
        <v>114</v>
      </c>
      <c r="KW94">
        <v>6.3440000000000003</v>
      </c>
      <c r="KX94">
        <v>0.69599999999999995</v>
      </c>
      <c r="KY94">
        <v>5.04</v>
      </c>
      <c r="KZ94">
        <v>5.8360000000000003</v>
      </c>
      <c r="LA94">
        <v>6.34</v>
      </c>
      <c r="LB94">
        <v>6.843</v>
      </c>
      <c r="LC94">
        <v>7.6840000000000002</v>
      </c>
      <c r="LD94">
        <v>1.069</v>
      </c>
      <c r="LE94">
        <v>34</v>
      </c>
      <c r="LJ94" t="s">
        <v>137</v>
      </c>
      <c r="LK94">
        <v>-0.129</v>
      </c>
      <c r="LL94">
        <v>0.92600000000000005</v>
      </c>
      <c r="LM94">
        <v>-1.7669999999999999</v>
      </c>
      <c r="LN94">
        <v>-0.79500000000000004</v>
      </c>
      <c r="LO94">
        <v>-0.193</v>
      </c>
      <c r="LP94">
        <v>0.46</v>
      </c>
      <c r="LQ94">
        <v>1.843</v>
      </c>
      <c r="LR94">
        <v>1.0089999999999999</v>
      </c>
      <c r="LS94">
        <v>240</v>
      </c>
      <c r="LX94" t="s">
        <v>137</v>
      </c>
      <c r="LY94">
        <v>0.53900000000000003</v>
      </c>
      <c r="LZ94">
        <v>2.6160000000000001</v>
      </c>
      <c r="MA94">
        <v>-3.2229999999999999</v>
      </c>
      <c r="MB94">
        <v>-1.357</v>
      </c>
      <c r="MC94">
        <v>-1.2999999999999999E-2</v>
      </c>
      <c r="MD94">
        <v>2.0990000000000002</v>
      </c>
      <c r="ME94">
        <v>6.7990000000000004</v>
      </c>
      <c r="MF94">
        <v>1.095</v>
      </c>
      <c r="MG94">
        <v>28</v>
      </c>
      <c r="ML94" t="s">
        <v>114</v>
      </c>
      <c r="MM94">
        <v>6.0359999999999996</v>
      </c>
      <c r="MN94">
        <v>1.0209999999999999</v>
      </c>
      <c r="MO94">
        <v>3.7730000000000001</v>
      </c>
      <c r="MP94">
        <v>5.383</v>
      </c>
      <c r="MQ94">
        <v>6.1470000000000002</v>
      </c>
      <c r="MR94">
        <v>6.8090000000000002</v>
      </c>
      <c r="MS94">
        <v>7.6360000000000001</v>
      </c>
      <c r="MT94">
        <v>1.0820000000000001</v>
      </c>
      <c r="MU94">
        <v>37</v>
      </c>
      <c r="MZ94" t="s">
        <v>114</v>
      </c>
      <c r="NA94">
        <v>6.1749999999999998</v>
      </c>
      <c r="NB94">
        <v>0.80900000000000005</v>
      </c>
      <c r="NC94">
        <v>4.5780000000000003</v>
      </c>
      <c r="ND94">
        <v>5.61</v>
      </c>
      <c r="NE94">
        <v>6.1970000000000001</v>
      </c>
      <c r="NF94">
        <v>6.8140000000000001</v>
      </c>
      <c r="NG94">
        <v>7.5869999999999997</v>
      </c>
      <c r="NH94">
        <v>1.069</v>
      </c>
      <c r="NI94">
        <v>47</v>
      </c>
      <c r="NM94" t="s">
        <v>114</v>
      </c>
      <c r="NN94">
        <v>4.8360000000000003</v>
      </c>
      <c r="NO94">
        <v>0.85299999999999998</v>
      </c>
      <c r="NP94">
        <v>2.9580000000000002</v>
      </c>
      <c r="NQ94">
        <v>4.2709999999999999</v>
      </c>
      <c r="NR94">
        <v>4.8470000000000004</v>
      </c>
      <c r="NS94">
        <v>5.4820000000000002</v>
      </c>
      <c r="NT94">
        <v>6.359</v>
      </c>
      <c r="NU94">
        <v>1.07</v>
      </c>
      <c r="NV94">
        <v>36</v>
      </c>
      <c r="NY94" t="s">
        <v>114</v>
      </c>
      <c r="NZ94">
        <v>5.03</v>
      </c>
      <c r="OA94">
        <v>0.84499999999999997</v>
      </c>
      <c r="OB94">
        <v>2.8690000000000002</v>
      </c>
      <c r="OC94">
        <v>4.5599999999999996</v>
      </c>
      <c r="OD94">
        <v>5.1619999999999999</v>
      </c>
      <c r="OE94">
        <v>5.65</v>
      </c>
      <c r="OF94">
        <v>6.2119999999999997</v>
      </c>
      <c r="OG94">
        <v>1.1379999999999999</v>
      </c>
      <c r="OH94">
        <v>130</v>
      </c>
      <c r="OP94" t="s">
        <v>114</v>
      </c>
      <c r="OQ94">
        <v>4.8330000000000002</v>
      </c>
      <c r="OR94">
        <v>0.71799999999999997</v>
      </c>
      <c r="OS94">
        <v>3.3050000000000002</v>
      </c>
      <c r="OT94">
        <v>4.3529999999999998</v>
      </c>
      <c r="OU94">
        <v>4.9790000000000001</v>
      </c>
      <c r="OV94">
        <v>5.3650000000000002</v>
      </c>
      <c r="OW94">
        <v>5.9459999999999997</v>
      </c>
      <c r="OX94">
        <v>1.099</v>
      </c>
      <c r="OY94">
        <v>31</v>
      </c>
      <c r="PB94" t="s">
        <v>114</v>
      </c>
      <c r="PC94">
        <v>4.0069999999999997</v>
      </c>
      <c r="PD94">
        <v>0.74399999999999999</v>
      </c>
      <c r="PE94">
        <v>2.399</v>
      </c>
      <c r="PF94">
        <v>3.5459999999999998</v>
      </c>
      <c r="PG94">
        <v>4.1079999999999997</v>
      </c>
      <c r="PH94">
        <v>4.548</v>
      </c>
      <c r="PI94">
        <v>5.25</v>
      </c>
      <c r="PJ94">
        <v>1.0069999999999999</v>
      </c>
      <c r="PK94">
        <v>330</v>
      </c>
      <c r="PN94" t="s">
        <v>114</v>
      </c>
      <c r="PO94">
        <v>4.08</v>
      </c>
      <c r="PP94">
        <v>0.89100000000000001</v>
      </c>
      <c r="PQ94">
        <v>2.149</v>
      </c>
      <c r="PR94">
        <v>3.536</v>
      </c>
      <c r="PS94">
        <v>4.1619999999999999</v>
      </c>
      <c r="PT94">
        <v>4.7489999999999997</v>
      </c>
      <c r="PU94">
        <v>5.4720000000000004</v>
      </c>
      <c r="PV94">
        <v>1.048</v>
      </c>
      <c r="PW94">
        <v>63</v>
      </c>
      <c r="QA94" t="s">
        <v>114</v>
      </c>
      <c r="QB94">
        <v>4.8609999999999998</v>
      </c>
      <c r="QC94">
        <v>0.33900000000000002</v>
      </c>
      <c r="QD94">
        <v>4.1369999999999996</v>
      </c>
      <c r="QE94">
        <v>4.649</v>
      </c>
      <c r="QF94">
        <v>4.8940000000000001</v>
      </c>
      <c r="QG94">
        <v>5.1020000000000003</v>
      </c>
      <c r="QH94">
        <v>5.4459999999999997</v>
      </c>
      <c r="QI94">
        <v>1.016</v>
      </c>
      <c r="QJ94">
        <v>200</v>
      </c>
      <c r="QL94">
        <f t="shared" si="4"/>
        <v>-0.78099999999999969</v>
      </c>
    </row>
    <row r="95" spans="1:454">
      <c r="A95" t="s">
        <v>115</v>
      </c>
      <c r="B95">
        <v>4.3310000000000004</v>
      </c>
      <c r="C95">
        <v>0.94899999999999995</v>
      </c>
      <c r="D95">
        <v>2.4140000000000001</v>
      </c>
      <c r="E95">
        <v>3.7069999999999999</v>
      </c>
      <c r="F95">
        <v>4.3929999999999998</v>
      </c>
      <c r="G95">
        <v>4.9409999999999998</v>
      </c>
      <c r="H95">
        <v>6.1349999999999998</v>
      </c>
      <c r="I95">
        <v>1.071</v>
      </c>
      <c r="J95">
        <v>58</v>
      </c>
      <c r="O95" t="s">
        <v>115</v>
      </c>
      <c r="P95">
        <v>5.0460000000000003</v>
      </c>
      <c r="Q95">
        <v>1.4610000000000001</v>
      </c>
      <c r="R95">
        <v>2.016</v>
      </c>
      <c r="S95">
        <v>4.0270000000000001</v>
      </c>
      <c r="T95">
        <v>5.2</v>
      </c>
      <c r="U95">
        <v>6.26</v>
      </c>
      <c r="V95">
        <v>7.2430000000000003</v>
      </c>
      <c r="W95">
        <v>1.026</v>
      </c>
      <c r="X95">
        <v>98</v>
      </c>
      <c r="AC95" t="s">
        <v>115</v>
      </c>
      <c r="AD95">
        <v>5.6890000000000001</v>
      </c>
      <c r="AE95">
        <v>0.872</v>
      </c>
      <c r="AF95">
        <v>3.9649999999999999</v>
      </c>
      <c r="AG95">
        <v>5.0590000000000002</v>
      </c>
      <c r="AH95">
        <v>5.7149999999999999</v>
      </c>
      <c r="AI95">
        <v>6.3579999999999997</v>
      </c>
      <c r="AJ95">
        <v>7.194</v>
      </c>
      <c r="AK95">
        <v>1.014</v>
      </c>
      <c r="AL95">
        <v>150</v>
      </c>
      <c r="AQ95" t="s">
        <v>115</v>
      </c>
      <c r="AR95">
        <v>5.782</v>
      </c>
      <c r="AS95">
        <v>0.85799999999999998</v>
      </c>
      <c r="AT95">
        <v>3.9740000000000002</v>
      </c>
      <c r="AU95">
        <v>5.21</v>
      </c>
      <c r="AV95">
        <v>5.8179999999999996</v>
      </c>
      <c r="AW95">
        <v>6.431</v>
      </c>
      <c r="AX95">
        <v>7.2560000000000002</v>
      </c>
      <c r="AY95">
        <v>1.03</v>
      </c>
      <c r="AZ95">
        <v>86</v>
      </c>
      <c r="BE95" t="s">
        <v>115</v>
      </c>
      <c r="BF95">
        <v>6.3550000000000004</v>
      </c>
      <c r="BG95">
        <v>0.60199999999999998</v>
      </c>
      <c r="BH95">
        <v>5.0709999999999997</v>
      </c>
      <c r="BI95">
        <v>5.9370000000000003</v>
      </c>
      <c r="BJ95">
        <v>6.4160000000000004</v>
      </c>
      <c r="BK95">
        <v>6.8259999999999996</v>
      </c>
      <c r="BL95">
        <v>7.3079999999999998</v>
      </c>
      <c r="BM95">
        <v>1.0029999999999999</v>
      </c>
      <c r="BN95">
        <v>870</v>
      </c>
      <c r="BS95" t="s">
        <v>115</v>
      </c>
      <c r="BT95">
        <v>5.2640000000000002</v>
      </c>
      <c r="BU95">
        <v>1.002</v>
      </c>
      <c r="BV95">
        <v>3.2370000000000001</v>
      </c>
      <c r="BW95">
        <v>4.5910000000000002</v>
      </c>
      <c r="BX95">
        <v>5.258</v>
      </c>
      <c r="BY95">
        <v>5.984</v>
      </c>
      <c r="BZ95">
        <v>7.0979999999999999</v>
      </c>
      <c r="CA95">
        <v>1.006</v>
      </c>
      <c r="CB95">
        <v>360</v>
      </c>
      <c r="CG95" t="s">
        <v>115</v>
      </c>
      <c r="CH95">
        <v>6.2960000000000003</v>
      </c>
      <c r="CI95">
        <v>0.59899999999999998</v>
      </c>
      <c r="CJ95">
        <v>5.0650000000000004</v>
      </c>
      <c r="CK95">
        <v>5.8769999999999998</v>
      </c>
      <c r="CL95">
        <v>6.3220000000000001</v>
      </c>
      <c r="CM95">
        <v>6.7690000000000001</v>
      </c>
      <c r="CN95">
        <v>7.2910000000000004</v>
      </c>
      <c r="CO95">
        <v>1.0169999999999999</v>
      </c>
      <c r="CP95">
        <v>140</v>
      </c>
      <c r="CU95" t="s">
        <v>115</v>
      </c>
      <c r="CV95">
        <v>6.3090000000000002</v>
      </c>
      <c r="CW95">
        <v>0.64700000000000002</v>
      </c>
      <c r="CX95">
        <v>4.8970000000000002</v>
      </c>
      <c r="CY95">
        <v>5.8959999999999999</v>
      </c>
      <c r="CZ95">
        <v>6.4</v>
      </c>
      <c r="DA95">
        <v>6.8109999999999999</v>
      </c>
      <c r="DB95">
        <v>7.3129999999999997</v>
      </c>
      <c r="DC95">
        <v>1.008</v>
      </c>
      <c r="DD95">
        <v>360</v>
      </c>
      <c r="DI95" t="s">
        <v>115</v>
      </c>
      <c r="DJ95">
        <v>5.56</v>
      </c>
      <c r="DK95">
        <v>0.93400000000000005</v>
      </c>
      <c r="DL95">
        <v>3.7280000000000002</v>
      </c>
      <c r="DM95">
        <v>4.8959999999999999</v>
      </c>
      <c r="DN95">
        <v>5.5819999999999999</v>
      </c>
      <c r="DO95">
        <v>6.2709999999999999</v>
      </c>
      <c r="DP95">
        <v>7.17</v>
      </c>
      <c r="DQ95">
        <v>1.0109999999999999</v>
      </c>
      <c r="DR95">
        <v>200</v>
      </c>
      <c r="DY95" t="s">
        <v>115</v>
      </c>
      <c r="DZ95">
        <v>6</v>
      </c>
      <c r="EA95">
        <v>0.83899999999999997</v>
      </c>
      <c r="EB95">
        <v>4.1950000000000003</v>
      </c>
      <c r="EC95">
        <v>5.4320000000000004</v>
      </c>
      <c r="ED95">
        <v>6.0949999999999998</v>
      </c>
      <c r="EE95">
        <v>6.6589999999999998</v>
      </c>
      <c r="EF95">
        <v>7.2880000000000003</v>
      </c>
      <c r="EG95">
        <v>1.002</v>
      </c>
      <c r="EH95">
        <v>2000</v>
      </c>
      <c r="EK95" t="s">
        <v>115</v>
      </c>
      <c r="EL95">
        <v>5.992</v>
      </c>
      <c r="EM95">
        <v>0.81100000000000005</v>
      </c>
      <c r="EN95">
        <v>4.3230000000000004</v>
      </c>
      <c r="EO95">
        <v>5.4379999999999997</v>
      </c>
      <c r="EP95">
        <v>6.0519999999999996</v>
      </c>
      <c r="EQ95">
        <v>6.625</v>
      </c>
      <c r="ER95">
        <v>7.3010000000000002</v>
      </c>
      <c r="ES95">
        <v>1.004</v>
      </c>
      <c r="ET95">
        <v>630</v>
      </c>
      <c r="EY95" t="s">
        <v>115</v>
      </c>
      <c r="EZ95">
        <v>6.1710000000000003</v>
      </c>
      <c r="FA95">
        <v>0.78600000000000003</v>
      </c>
      <c r="FB95">
        <v>4.3650000000000002</v>
      </c>
      <c r="FC95">
        <v>5.6879999999999997</v>
      </c>
      <c r="FD95">
        <v>6.282</v>
      </c>
      <c r="FE95">
        <v>6.7759999999999998</v>
      </c>
      <c r="FF95">
        <v>7.3109999999999999</v>
      </c>
      <c r="FG95">
        <v>1.004</v>
      </c>
      <c r="FH95">
        <v>670</v>
      </c>
      <c r="GA95" t="s">
        <v>115</v>
      </c>
      <c r="GB95">
        <v>6.1890000000000001</v>
      </c>
      <c r="GC95">
        <v>0.61399999999999999</v>
      </c>
      <c r="GD95">
        <v>4.9359999999999999</v>
      </c>
      <c r="GE95">
        <v>5.76</v>
      </c>
      <c r="GF95">
        <v>6.2140000000000004</v>
      </c>
      <c r="GG95">
        <v>6.6459999999999999</v>
      </c>
      <c r="GH95">
        <v>7.258</v>
      </c>
      <c r="GI95">
        <v>1.0009999999999999</v>
      </c>
      <c r="GJ95">
        <v>2100</v>
      </c>
      <c r="GO95" t="s">
        <v>115</v>
      </c>
      <c r="GP95">
        <v>6.1559999999999997</v>
      </c>
      <c r="GQ95">
        <v>0.81299999999999994</v>
      </c>
      <c r="GR95">
        <v>4.2729999999999997</v>
      </c>
      <c r="GS95">
        <v>5.62</v>
      </c>
      <c r="GT95">
        <v>6.2729999999999997</v>
      </c>
      <c r="GU95">
        <v>6.8040000000000003</v>
      </c>
      <c r="GV95">
        <v>7.3129999999999997</v>
      </c>
      <c r="GW95">
        <v>1.0029999999999999</v>
      </c>
      <c r="GX95">
        <v>700</v>
      </c>
      <c r="HC95" t="s">
        <v>115</v>
      </c>
      <c r="HD95">
        <v>6.2809999999999997</v>
      </c>
      <c r="HE95">
        <v>0.72599999999999998</v>
      </c>
      <c r="HF95">
        <v>4.6580000000000004</v>
      </c>
      <c r="HG95">
        <v>5.8109999999999999</v>
      </c>
      <c r="HH95">
        <v>6.375</v>
      </c>
      <c r="HI95">
        <v>6.851</v>
      </c>
      <c r="HJ95">
        <v>7.3109999999999999</v>
      </c>
      <c r="HK95">
        <v>1.0049999999999999</v>
      </c>
      <c r="HL95">
        <v>630</v>
      </c>
      <c r="HP95" s="7"/>
      <c r="HQ95" s="7" t="s">
        <v>115</v>
      </c>
      <c r="HR95" s="7">
        <v>6.4379999999999997</v>
      </c>
      <c r="HS95" s="7">
        <v>0.64800000000000002</v>
      </c>
      <c r="HT95" s="7">
        <v>4.9790000000000001</v>
      </c>
      <c r="HU95" s="7">
        <v>6.03</v>
      </c>
      <c r="HV95" s="7">
        <v>6.5369999999999999</v>
      </c>
      <c r="HW95" s="7">
        <v>6.9630000000000001</v>
      </c>
      <c r="HX95" s="7">
        <v>7.3289999999999997</v>
      </c>
      <c r="HY95" s="7">
        <v>1.008</v>
      </c>
      <c r="HZ95" s="7">
        <v>690</v>
      </c>
      <c r="IA95" s="7"/>
      <c r="IE95" t="s">
        <v>115</v>
      </c>
      <c r="IF95">
        <v>6.3650000000000002</v>
      </c>
      <c r="IG95">
        <v>0.60599999999999998</v>
      </c>
      <c r="IH95">
        <v>5.0410000000000004</v>
      </c>
      <c r="II95">
        <v>5.9749999999999996</v>
      </c>
      <c r="IJ95">
        <v>6.4109999999999996</v>
      </c>
      <c r="IK95">
        <v>6.8250000000000002</v>
      </c>
      <c r="IL95">
        <v>7.3109999999999999</v>
      </c>
      <c r="IM95">
        <v>1.026</v>
      </c>
      <c r="IN95">
        <v>160</v>
      </c>
      <c r="IS95" t="s">
        <v>115</v>
      </c>
      <c r="IT95">
        <v>6.2619999999999996</v>
      </c>
      <c r="IU95">
        <v>0.627</v>
      </c>
      <c r="IV95">
        <v>4.9039999999999999</v>
      </c>
      <c r="IW95">
        <v>5.8419999999999996</v>
      </c>
      <c r="IX95">
        <v>6.298</v>
      </c>
      <c r="IY95">
        <v>6.7409999999999997</v>
      </c>
      <c r="IZ95">
        <v>7.2850000000000001</v>
      </c>
      <c r="JA95">
        <v>1.0089999999999999</v>
      </c>
      <c r="JB95">
        <v>270</v>
      </c>
      <c r="JF95" t="s">
        <v>115</v>
      </c>
      <c r="JG95">
        <v>6.38</v>
      </c>
      <c r="JH95">
        <v>0.63100000000000001</v>
      </c>
      <c r="JI95">
        <v>4.9870000000000001</v>
      </c>
      <c r="JJ95">
        <v>5.9870000000000001</v>
      </c>
      <c r="JK95">
        <v>6.4459999999999997</v>
      </c>
      <c r="JL95">
        <v>6.883</v>
      </c>
      <c r="JM95">
        <v>7.3109999999999999</v>
      </c>
      <c r="JN95">
        <v>1.0029999999999999</v>
      </c>
      <c r="JO95">
        <v>910</v>
      </c>
      <c r="JT95" t="s">
        <v>115</v>
      </c>
      <c r="JU95">
        <v>6.3559999999999999</v>
      </c>
      <c r="JV95">
        <v>0.66100000000000003</v>
      </c>
      <c r="JW95">
        <v>4.84</v>
      </c>
      <c r="JX95">
        <v>5.9370000000000003</v>
      </c>
      <c r="JY95">
        <v>6.4359999999999999</v>
      </c>
      <c r="JZ95">
        <v>6.8730000000000002</v>
      </c>
      <c r="KA95">
        <v>7.3250000000000002</v>
      </c>
      <c r="KB95">
        <v>1.002</v>
      </c>
      <c r="KC95">
        <v>2000</v>
      </c>
      <c r="KH95" t="s">
        <v>115</v>
      </c>
      <c r="KI95">
        <v>6.4989999999999997</v>
      </c>
      <c r="KJ95">
        <v>0.6</v>
      </c>
      <c r="KK95">
        <v>5.13</v>
      </c>
      <c r="KL95">
        <v>6.1159999999999997</v>
      </c>
      <c r="KM95">
        <v>6.5839999999999996</v>
      </c>
      <c r="KN95">
        <v>6.9850000000000003</v>
      </c>
      <c r="KO95">
        <v>7.335</v>
      </c>
      <c r="KP95">
        <v>1.008</v>
      </c>
      <c r="KQ95">
        <v>440</v>
      </c>
      <c r="KR95">
        <f t="shared" si="3"/>
        <v>664.47682387130453</v>
      </c>
      <c r="KV95" t="s">
        <v>115</v>
      </c>
      <c r="KW95">
        <v>5.907</v>
      </c>
      <c r="KX95">
        <v>0.63300000000000001</v>
      </c>
      <c r="KY95">
        <v>4.673</v>
      </c>
      <c r="KZ95">
        <v>5.45</v>
      </c>
      <c r="LA95">
        <v>5.9189999999999996</v>
      </c>
      <c r="LB95">
        <v>6.3860000000000001</v>
      </c>
      <c r="LC95">
        <v>7.0640000000000001</v>
      </c>
      <c r="LD95">
        <v>1.0840000000000001</v>
      </c>
      <c r="LE95">
        <v>29</v>
      </c>
      <c r="LJ95" t="s">
        <v>138</v>
      </c>
      <c r="LK95">
        <v>-5.2999999999999999E-2</v>
      </c>
      <c r="LL95">
        <v>4.4169999999999998</v>
      </c>
      <c r="LM95">
        <v>-8.6370000000000005</v>
      </c>
      <c r="LN95">
        <v>-3.04</v>
      </c>
      <c r="LO95">
        <v>-0.06</v>
      </c>
      <c r="LP95">
        <v>2.9969999999999999</v>
      </c>
      <c r="LQ95">
        <v>8.6639999999999997</v>
      </c>
      <c r="LR95">
        <v>1.0009999999999999</v>
      </c>
      <c r="LS95">
        <v>3000</v>
      </c>
      <c r="LX95" t="s">
        <v>138</v>
      </c>
      <c r="LY95">
        <v>0.121</v>
      </c>
      <c r="LZ95">
        <v>4.4619999999999997</v>
      </c>
      <c r="MA95">
        <v>-8.6509999999999998</v>
      </c>
      <c r="MB95">
        <v>-2.8889999999999998</v>
      </c>
      <c r="MC95">
        <v>0.13</v>
      </c>
      <c r="MD95">
        <v>3.0819999999999999</v>
      </c>
      <c r="ME95">
        <v>9.1489999999999991</v>
      </c>
      <c r="MF95">
        <v>1.0009999999999999</v>
      </c>
      <c r="MG95">
        <v>3000</v>
      </c>
      <c r="ML95" t="s">
        <v>115</v>
      </c>
      <c r="MM95">
        <v>5.6539999999999999</v>
      </c>
      <c r="MN95">
        <v>0.99</v>
      </c>
      <c r="MO95">
        <v>3.45</v>
      </c>
      <c r="MP95">
        <v>5.0259999999999998</v>
      </c>
      <c r="MQ95">
        <v>5.7709999999999999</v>
      </c>
      <c r="MR95">
        <v>6.41</v>
      </c>
      <c r="MS95">
        <v>7.1660000000000004</v>
      </c>
      <c r="MT95">
        <v>1.087</v>
      </c>
      <c r="MU95">
        <v>36</v>
      </c>
      <c r="MZ95" t="s">
        <v>115</v>
      </c>
      <c r="NA95">
        <v>5.7910000000000004</v>
      </c>
      <c r="NB95">
        <v>0.78100000000000003</v>
      </c>
      <c r="NC95">
        <v>4.1980000000000004</v>
      </c>
      <c r="ND95">
        <v>5.2329999999999997</v>
      </c>
      <c r="NE95">
        <v>5.8109999999999999</v>
      </c>
      <c r="NF95">
        <v>6.399</v>
      </c>
      <c r="NG95">
        <v>7.1319999999999997</v>
      </c>
      <c r="NH95">
        <v>1.0820000000000001</v>
      </c>
      <c r="NI95">
        <v>44</v>
      </c>
      <c r="NM95" t="s">
        <v>115</v>
      </c>
      <c r="NN95">
        <v>4.5709999999999997</v>
      </c>
      <c r="NO95">
        <v>0.85699999999999998</v>
      </c>
      <c r="NP95">
        <v>2.6720000000000002</v>
      </c>
      <c r="NQ95">
        <v>4.0030000000000001</v>
      </c>
      <c r="NR95">
        <v>4.5830000000000002</v>
      </c>
      <c r="NS95">
        <v>5.2249999999999996</v>
      </c>
      <c r="NT95">
        <v>6.0880000000000001</v>
      </c>
      <c r="NU95">
        <v>1.07</v>
      </c>
      <c r="NV95">
        <v>36</v>
      </c>
      <c r="NY95" t="s">
        <v>115</v>
      </c>
      <c r="NZ95">
        <v>4.95</v>
      </c>
      <c r="OA95">
        <v>0.83799999999999997</v>
      </c>
      <c r="OB95">
        <v>2.827</v>
      </c>
      <c r="OC95">
        <v>4.4859999999999998</v>
      </c>
      <c r="OD95">
        <v>5.08</v>
      </c>
      <c r="OE95">
        <v>5.5659999999999998</v>
      </c>
      <c r="OF95">
        <v>6.1379999999999999</v>
      </c>
      <c r="OG95">
        <v>1.139</v>
      </c>
      <c r="OH95">
        <v>130</v>
      </c>
      <c r="OP95" t="s">
        <v>115</v>
      </c>
      <c r="OQ95">
        <v>4.7640000000000002</v>
      </c>
      <c r="OR95">
        <v>0.73</v>
      </c>
      <c r="OS95">
        <v>3.2029999999999998</v>
      </c>
      <c r="OT95">
        <v>4.3029999999999999</v>
      </c>
      <c r="OU95">
        <v>4.8869999999999996</v>
      </c>
      <c r="OV95">
        <v>5.2869999999999999</v>
      </c>
      <c r="OW95">
        <v>5.9569999999999999</v>
      </c>
      <c r="OX95">
        <v>1.0960000000000001</v>
      </c>
      <c r="OY95">
        <v>34</v>
      </c>
      <c r="PB95" t="s">
        <v>115</v>
      </c>
      <c r="PC95">
        <v>3.7170000000000001</v>
      </c>
      <c r="PD95">
        <v>0.74299999999999999</v>
      </c>
      <c r="PE95">
        <v>2.109</v>
      </c>
      <c r="PF95">
        <v>3.2639999999999998</v>
      </c>
      <c r="PG95">
        <v>3.8079999999999998</v>
      </c>
      <c r="PH95">
        <v>4.2610000000000001</v>
      </c>
      <c r="PI95">
        <v>4.95</v>
      </c>
      <c r="PJ95">
        <v>1.006</v>
      </c>
      <c r="PK95">
        <v>340</v>
      </c>
      <c r="PN95" t="s">
        <v>115</v>
      </c>
      <c r="PO95">
        <v>3.4430000000000001</v>
      </c>
      <c r="PP95">
        <v>0.86699999999999999</v>
      </c>
      <c r="PQ95">
        <v>1.4990000000000001</v>
      </c>
      <c r="PR95">
        <v>2.9279999999999999</v>
      </c>
      <c r="PS95">
        <v>3.5270000000000001</v>
      </c>
      <c r="PT95">
        <v>4.0960000000000001</v>
      </c>
      <c r="PU95">
        <v>4.7850000000000001</v>
      </c>
      <c r="PV95">
        <v>1.0469999999999999</v>
      </c>
      <c r="PW95">
        <v>48</v>
      </c>
      <c r="QA95" t="s">
        <v>115</v>
      </c>
      <c r="QB95">
        <v>4.88</v>
      </c>
      <c r="QC95">
        <v>0.29799999999999999</v>
      </c>
      <c r="QD95">
        <v>4.2030000000000003</v>
      </c>
      <c r="QE95">
        <v>4.6959999999999997</v>
      </c>
      <c r="QF95">
        <v>4.9080000000000004</v>
      </c>
      <c r="QG95">
        <v>5.09</v>
      </c>
      <c r="QH95">
        <v>5.39</v>
      </c>
      <c r="QI95">
        <v>1.0449999999999999</v>
      </c>
      <c r="QJ95">
        <v>50</v>
      </c>
      <c r="QL95">
        <f t="shared" si="4"/>
        <v>-1.4369999999999998</v>
      </c>
    </row>
    <row r="96" spans="1:454">
      <c r="A96" t="s">
        <v>116</v>
      </c>
      <c r="B96">
        <v>3.782</v>
      </c>
      <c r="C96">
        <v>0.95099999999999996</v>
      </c>
      <c r="D96">
        <v>1.83</v>
      </c>
      <c r="E96">
        <v>3.1669999999999998</v>
      </c>
      <c r="F96">
        <v>3.9049999999999998</v>
      </c>
      <c r="G96">
        <v>4.415</v>
      </c>
      <c r="H96">
        <v>5.5529999999999999</v>
      </c>
      <c r="I96">
        <v>1.042</v>
      </c>
      <c r="J96">
        <v>74</v>
      </c>
      <c r="O96" t="s">
        <v>116</v>
      </c>
      <c r="P96">
        <v>2.2709999999999999</v>
      </c>
      <c r="Q96">
        <v>1.2909999999999999</v>
      </c>
      <c r="R96">
        <v>0.219</v>
      </c>
      <c r="S96">
        <v>1.2689999999999999</v>
      </c>
      <c r="T96">
        <v>2.149</v>
      </c>
      <c r="U96">
        <v>3.1040000000000001</v>
      </c>
      <c r="V96">
        <v>5.0659999999999998</v>
      </c>
      <c r="W96">
        <v>1.0029999999999999</v>
      </c>
      <c r="X96">
        <v>3000</v>
      </c>
      <c r="AC96" t="s">
        <v>116</v>
      </c>
      <c r="AD96">
        <v>4.2850000000000001</v>
      </c>
      <c r="AE96">
        <v>1.008</v>
      </c>
      <c r="AF96">
        <v>2.2309999999999999</v>
      </c>
      <c r="AG96">
        <v>3.625</v>
      </c>
      <c r="AH96">
        <v>4.3109999999999999</v>
      </c>
      <c r="AI96">
        <v>4.9859999999999998</v>
      </c>
      <c r="AJ96">
        <v>6.234</v>
      </c>
      <c r="AK96">
        <v>1.012</v>
      </c>
      <c r="AL96">
        <v>180</v>
      </c>
      <c r="AQ96" t="s">
        <v>116</v>
      </c>
      <c r="AR96">
        <v>4.5179999999999998</v>
      </c>
      <c r="AS96">
        <v>0.94099999999999995</v>
      </c>
      <c r="AT96">
        <v>2.6</v>
      </c>
      <c r="AU96">
        <v>3.915</v>
      </c>
      <c r="AV96">
        <v>4.5430000000000001</v>
      </c>
      <c r="AW96">
        <v>5.1619999999999999</v>
      </c>
      <c r="AX96">
        <v>6.258</v>
      </c>
      <c r="AY96">
        <v>1.02</v>
      </c>
      <c r="AZ96">
        <v>130</v>
      </c>
      <c r="BE96" t="s">
        <v>116</v>
      </c>
      <c r="BF96">
        <v>5.2210000000000001</v>
      </c>
      <c r="BG96">
        <v>0.72699999999999998</v>
      </c>
      <c r="BH96">
        <v>3.8479999999999999</v>
      </c>
      <c r="BI96">
        <v>4.7069999999999999</v>
      </c>
      <c r="BJ96">
        <v>5.2149999999999999</v>
      </c>
      <c r="BK96">
        <v>5.7240000000000002</v>
      </c>
      <c r="BL96">
        <v>6.6689999999999996</v>
      </c>
      <c r="BM96">
        <v>1.008</v>
      </c>
      <c r="BN96">
        <v>410</v>
      </c>
      <c r="BS96" t="s">
        <v>116</v>
      </c>
      <c r="BT96">
        <v>3.7210000000000001</v>
      </c>
      <c r="BU96">
        <v>1.17</v>
      </c>
      <c r="BV96">
        <v>1.278</v>
      </c>
      <c r="BW96">
        <v>2.91</v>
      </c>
      <c r="BX96">
        <v>3.7759999999999998</v>
      </c>
      <c r="BY96">
        <v>4.5549999999999997</v>
      </c>
      <c r="BZ96">
        <v>5.8289999999999997</v>
      </c>
      <c r="CA96">
        <v>1.073</v>
      </c>
      <c r="CB96">
        <v>77</v>
      </c>
      <c r="CG96" t="s">
        <v>116</v>
      </c>
      <c r="CH96">
        <v>5.0979999999999999</v>
      </c>
      <c r="CI96">
        <v>0.72699999999999998</v>
      </c>
      <c r="CJ96">
        <v>3.706</v>
      </c>
      <c r="CK96">
        <v>4.5949999999999998</v>
      </c>
      <c r="CL96">
        <v>5.0839999999999996</v>
      </c>
      <c r="CM96">
        <v>5.5960000000000001</v>
      </c>
      <c r="CN96">
        <v>6.5190000000000001</v>
      </c>
      <c r="CO96">
        <v>1.01</v>
      </c>
      <c r="CP96">
        <v>220</v>
      </c>
      <c r="CU96" t="s">
        <v>116</v>
      </c>
      <c r="CV96">
        <v>5.0339999999999998</v>
      </c>
      <c r="CW96">
        <v>0.82199999999999995</v>
      </c>
      <c r="CX96">
        <v>3.2639999999999998</v>
      </c>
      <c r="CY96">
        <v>4.5330000000000004</v>
      </c>
      <c r="CZ96">
        <v>5.09</v>
      </c>
      <c r="DA96">
        <v>5.6280000000000001</v>
      </c>
      <c r="DB96">
        <v>6.4969999999999999</v>
      </c>
      <c r="DC96">
        <v>1.034</v>
      </c>
      <c r="DD96">
        <v>79</v>
      </c>
      <c r="DI96" t="s">
        <v>116</v>
      </c>
      <c r="DJ96">
        <v>4.1680000000000001</v>
      </c>
      <c r="DK96">
        <v>1.0820000000000001</v>
      </c>
      <c r="DL96">
        <v>1.92</v>
      </c>
      <c r="DM96">
        <v>3.47</v>
      </c>
      <c r="DN96">
        <v>4.1970000000000001</v>
      </c>
      <c r="DO96">
        <v>4.9130000000000003</v>
      </c>
      <c r="DP96">
        <v>6.141</v>
      </c>
      <c r="DQ96">
        <v>1.018</v>
      </c>
      <c r="DR96">
        <v>360</v>
      </c>
      <c r="DY96" t="s">
        <v>116</v>
      </c>
      <c r="DZ96">
        <v>4.9039999999999999</v>
      </c>
      <c r="EA96">
        <v>0.96499999999999997</v>
      </c>
      <c r="EB96">
        <v>2.8319999999999999</v>
      </c>
      <c r="EC96">
        <v>4.2930000000000001</v>
      </c>
      <c r="ED96">
        <v>4.9539999999999997</v>
      </c>
      <c r="EE96">
        <v>5.6</v>
      </c>
      <c r="EF96">
        <v>6.6230000000000002</v>
      </c>
      <c r="EG96">
        <v>1.0109999999999999</v>
      </c>
      <c r="EH96">
        <v>610</v>
      </c>
      <c r="EK96" t="s">
        <v>116</v>
      </c>
      <c r="EL96">
        <v>5.0599999999999996</v>
      </c>
      <c r="EM96">
        <v>0.96</v>
      </c>
      <c r="EN96">
        <v>2.9769999999999999</v>
      </c>
      <c r="EO96">
        <v>4.4359999999999999</v>
      </c>
      <c r="EP96">
        <v>5.0880000000000001</v>
      </c>
      <c r="EQ96">
        <v>5.76</v>
      </c>
      <c r="ER96">
        <v>6.7770000000000001</v>
      </c>
      <c r="ES96">
        <v>1.01</v>
      </c>
      <c r="ET96">
        <v>250</v>
      </c>
      <c r="EY96" t="s">
        <v>116</v>
      </c>
      <c r="EZ96">
        <v>4.93</v>
      </c>
      <c r="FA96">
        <v>0.96699999999999997</v>
      </c>
      <c r="FB96">
        <v>2.931</v>
      </c>
      <c r="FC96">
        <v>4.2960000000000003</v>
      </c>
      <c r="FD96">
        <v>4.9909999999999997</v>
      </c>
      <c r="FE96">
        <v>5.6230000000000002</v>
      </c>
      <c r="FF96">
        <v>6.6340000000000003</v>
      </c>
      <c r="FG96">
        <v>1.0029999999999999</v>
      </c>
      <c r="FH96">
        <v>780</v>
      </c>
      <c r="GA96" t="s">
        <v>116</v>
      </c>
      <c r="GB96">
        <v>5.1189999999999998</v>
      </c>
      <c r="GC96">
        <v>0.60199999999999998</v>
      </c>
      <c r="GD96">
        <v>3.9580000000000002</v>
      </c>
      <c r="GE96">
        <v>4.6970000000000001</v>
      </c>
      <c r="GF96">
        <v>5.1130000000000004</v>
      </c>
      <c r="GG96">
        <v>5.5209999999999999</v>
      </c>
      <c r="GH96">
        <v>6.36</v>
      </c>
      <c r="GI96">
        <v>1.0029999999999999</v>
      </c>
      <c r="GJ96">
        <v>920</v>
      </c>
      <c r="GO96" t="s">
        <v>116</v>
      </c>
      <c r="GP96">
        <v>4.9820000000000002</v>
      </c>
      <c r="GQ96">
        <v>1.002</v>
      </c>
      <c r="GR96">
        <v>2.7639999999999998</v>
      </c>
      <c r="GS96">
        <v>4.3689999999999998</v>
      </c>
      <c r="GT96">
        <v>5.0289999999999999</v>
      </c>
      <c r="GU96">
        <v>5.673</v>
      </c>
      <c r="GV96">
        <v>6.7629999999999999</v>
      </c>
      <c r="GW96">
        <v>1.004</v>
      </c>
      <c r="GX96">
        <v>980</v>
      </c>
      <c r="HC96" t="s">
        <v>116</v>
      </c>
      <c r="HD96">
        <v>5.3929999999999998</v>
      </c>
      <c r="HE96">
        <v>0.83199999999999996</v>
      </c>
      <c r="HF96">
        <v>3.71</v>
      </c>
      <c r="HG96">
        <v>4.8440000000000003</v>
      </c>
      <c r="HH96">
        <v>5.4109999999999996</v>
      </c>
      <c r="HI96">
        <v>5.9640000000000004</v>
      </c>
      <c r="HJ96">
        <v>6.9390000000000001</v>
      </c>
      <c r="HK96">
        <v>1.0049999999999999</v>
      </c>
      <c r="HL96">
        <v>460</v>
      </c>
      <c r="HP96" s="7"/>
      <c r="HQ96" s="7" t="s">
        <v>116</v>
      </c>
      <c r="HR96" s="7">
        <v>5.2519999999999998</v>
      </c>
      <c r="HS96" s="7">
        <v>0.78100000000000003</v>
      </c>
      <c r="HT96" s="7">
        <v>3.5739999999999998</v>
      </c>
      <c r="HU96" s="7">
        <v>4.758</v>
      </c>
      <c r="HV96" s="7">
        <v>5.2789999999999999</v>
      </c>
      <c r="HW96" s="7">
        <v>5.7759999999999998</v>
      </c>
      <c r="HX96" s="7">
        <v>6.74</v>
      </c>
      <c r="HY96" s="7">
        <v>1.0049999999999999</v>
      </c>
      <c r="HZ96" s="7">
        <v>1200</v>
      </c>
      <c r="IA96" s="7"/>
      <c r="IE96" t="s">
        <v>116</v>
      </c>
      <c r="IF96">
        <v>4.9080000000000004</v>
      </c>
      <c r="IG96">
        <v>0.61799999999999999</v>
      </c>
      <c r="IH96">
        <v>3.6349999999999998</v>
      </c>
      <c r="II96">
        <v>4.5350000000000001</v>
      </c>
      <c r="IJ96">
        <v>4.9260000000000002</v>
      </c>
      <c r="IK96">
        <v>5.3079999999999998</v>
      </c>
      <c r="IL96">
        <v>6.093</v>
      </c>
      <c r="IM96">
        <v>1.073</v>
      </c>
      <c r="IN96">
        <v>49</v>
      </c>
      <c r="IS96" t="s">
        <v>116</v>
      </c>
      <c r="IT96">
        <v>5.07</v>
      </c>
      <c r="IU96">
        <v>0.66800000000000004</v>
      </c>
      <c r="IV96">
        <v>3.681</v>
      </c>
      <c r="IW96">
        <v>4.6660000000000004</v>
      </c>
      <c r="IX96">
        <v>5.0999999999999996</v>
      </c>
      <c r="IY96">
        <v>5.5030000000000001</v>
      </c>
      <c r="IZ96">
        <v>6.3330000000000002</v>
      </c>
      <c r="JA96">
        <v>1.024</v>
      </c>
      <c r="JB96">
        <v>140</v>
      </c>
      <c r="JF96" t="s">
        <v>116</v>
      </c>
      <c r="JG96">
        <v>5.1890000000000001</v>
      </c>
      <c r="JH96">
        <v>0.73799999999999999</v>
      </c>
      <c r="JI96">
        <v>3.6749999999999998</v>
      </c>
      <c r="JJ96">
        <v>4.7359999999999998</v>
      </c>
      <c r="JK96">
        <v>5.2</v>
      </c>
      <c r="JL96">
        <v>5.6769999999999996</v>
      </c>
      <c r="JM96">
        <v>6.6289999999999996</v>
      </c>
      <c r="JN96">
        <v>1.002</v>
      </c>
      <c r="JO96">
        <v>2400</v>
      </c>
      <c r="JT96" t="s">
        <v>116</v>
      </c>
      <c r="JU96">
        <v>5.1189999999999998</v>
      </c>
      <c r="JV96">
        <v>0.749</v>
      </c>
      <c r="JW96">
        <v>3.633</v>
      </c>
      <c r="JX96">
        <v>4.6070000000000002</v>
      </c>
      <c r="JY96">
        <v>5.1180000000000003</v>
      </c>
      <c r="JZ96">
        <v>5.6269999999999998</v>
      </c>
      <c r="KA96">
        <v>6.5839999999999996</v>
      </c>
      <c r="KB96">
        <v>1.002</v>
      </c>
      <c r="KC96">
        <v>1700</v>
      </c>
      <c r="KH96" t="s">
        <v>116</v>
      </c>
      <c r="KI96">
        <v>5.3410000000000002</v>
      </c>
      <c r="KJ96">
        <v>0.72399999999999998</v>
      </c>
      <c r="KK96">
        <v>3.899</v>
      </c>
      <c r="KL96">
        <v>4.8710000000000004</v>
      </c>
      <c r="KM96">
        <v>5.3449999999999998</v>
      </c>
      <c r="KN96">
        <v>5.8259999999999996</v>
      </c>
      <c r="KO96">
        <v>6.7480000000000002</v>
      </c>
      <c r="KP96">
        <v>1.012</v>
      </c>
      <c r="KQ96">
        <v>230</v>
      </c>
      <c r="KR96">
        <f t="shared" si="3"/>
        <v>208.72132729050139</v>
      </c>
      <c r="KV96" t="s">
        <v>116</v>
      </c>
      <c r="KW96">
        <v>5.5190000000000001</v>
      </c>
      <c r="KX96">
        <v>0.65200000000000002</v>
      </c>
      <c r="KY96">
        <v>4.2469999999999999</v>
      </c>
      <c r="KZ96">
        <v>5.0590000000000002</v>
      </c>
      <c r="LA96">
        <v>5.5330000000000004</v>
      </c>
      <c r="LB96">
        <v>5.9939999999999998</v>
      </c>
      <c r="LC96">
        <v>6.7119999999999997</v>
      </c>
      <c r="LD96">
        <v>1.08</v>
      </c>
      <c r="LE96">
        <v>30</v>
      </c>
      <c r="LJ96" t="s">
        <v>139</v>
      </c>
      <c r="LK96">
        <v>2.589</v>
      </c>
      <c r="LL96">
        <v>0.621</v>
      </c>
      <c r="LM96">
        <v>1.512</v>
      </c>
      <c r="LN96">
        <v>2.1389999999999998</v>
      </c>
      <c r="LO96">
        <v>2.532</v>
      </c>
      <c r="LP96">
        <v>2.9929999999999999</v>
      </c>
      <c r="LQ96">
        <v>3.9460000000000002</v>
      </c>
      <c r="LR96">
        <v>1.0069999999999999</v>
      </c>
      <c r="LS96">
        <v>310</v>
      </c>
      <c r="LX96" t="s">
        <v>139</v>
      </c>
      <c r="LY96">
        <v>-0.78400000000000003</v>
      </c>
      <c r="LZ96">
        <v>2.601</v>
      </c>
      <c r="MA96">
        <v>-6.8890000000000002</v>
      </c>
      <c r="MB96">
        <v>-2.3069999999999999</v>
      </c>
      <c r="MC96">
        <v>-0.312</v>
      </c>
      <c r="MD96">
        <v>1.032</v>
      </c>
      <c r="ME96">
        <v>3.056</v>
      </c>
      <c r="MF96">
        <v>1.8109999999999999</v>
      </c>
      <c r="MG96">
        <v>6</v>
      </c>
      <c r="ML96" t="s">
        <v>116</v>
      </c>
      <c r="MM96">
        <v>5.3129999999999997</v>
      </c>
      <c r="MN96">
        <v>1</v>
      </c>
      <c r="MO96">
        <v>3.085</v>
      </c>
      <c r="MP96">
        <v>4.6840000000000002</v>
      </c>
      <c r="MQ96">
        <v>5.4279999999999999</v>
      </c>
      <c r="MR96">
        <v>6.0659999999999998</v>
      </c>
      <c r="MS96">
        <v>6.8739999999999997</v>
      </c>
      <c r="MT96">
        <v>1.0860000000000001</v>
      </c>
      <c r="MU96">
        <v>38</v>
      </c>
      <c r="MZ96" t="s">
        <v>116</v>
      </c>
      <c r="NA96">
        <v>5.4489999999999998</v>
      </c>
      <c r="NB96">
        <v>0.80200000000000005</v>
      </c>
      <c r="NC96">
        <v>3.798</v>
      </c>
      <c r="ND96">
        <v>4.9020000000000001</v>
      </c>
      <c r="NE96">
        <v>5.4880000000000004</v>
      </c>
      <c r="NF96">
        <v>6.0460000000000003</v>
      </c>
      <c r="NG96">
        <v>6.8369999999999997</v>
      </c>
      <c r="NH96">
        <v>1.085</v>
      </c>
      <c r="NI96">
        <v>46</v>
      </c>
      <c r="NM96" t="s">
        <v>116</v>
      </c>
      <c r="NN96">
        <v>4.3339999999999996</v>
      </c>
      <c r="NO96">
        <v>0.86599999999999999</v>
      </c>
      <c r="NP96">
        <v>2.4220000000000002</v>
      </c>
      <c r="NQ96">
        <v>3.7559999999999998</v>
      </c>
      <c r="NR96">
        <v>4.3499999999999996</v>
      </c>
      <c r="NS96">
        <v>4.9939999999999998</v>
      </c>
      <c r="NT96">
        <v>5.859</v>
      </c>
      <c r="NU96">
        <v>1.07</v>
      </c>
      <c r="NV96">
        <v>36</v>
      </c>
      <c r="NY96" t="s">
        <v>116</v>
      </c>
      <c r="NZ96">
        <v>4.8789999999999996</v>
      </c>
      <c r="OA96">
        <v>0.84</v>
      </c>
      <c r="OB96">
        <v>2.7519999999999998</v>
      </c>
      <c r="OC96">
        <v>4.4139999999999997</v>
      </c>
      <c r="OD96">
        <v>5.0060000000000002</v>
      </c>
      <c r="OE96">
        <v>5.4950000000000001</v>
      </c>
      <c r="OF96">
        <v>6.0919999999999996</v>
      </c>
      <c r="OG96">
        <v>1.137</v>
      </c>
      <c r="OH96">
        <v>130</v>
      </c>
      <c r="OP96" t="s">
        <v>116</v>
      </c>
      <c r="OQ96">
        <v>4.7039999999999997</v>
      </c>
      <c r="OR96">
        <v>0.752</v>
      </c>
      <c r="OS96">
        <v>3.1379999999999999</v>
      </c>
      <c r="OT96">
        <v>4.2249999999999996</v>
      </c>
      <c r="OU96">
        <v>4.8090000000000002</v>
      </c>
      <c r="OV96">
        <v>5.2169999999999996</v>
      </c>
      <c r="OW96">
        <v>5.9859999999999998</v>
      </c>
      <c r="OX96">
        <v>1.091</v>
      </c>
      <c r="OY96">
        <v>38</v>
      </c>
      <c r="PB96" t="s">
        <v>116</v>
      </c>
      <c r="PC96">
        <v>3.4590000000000001</v>
      </c>
      <c r="PD96">
        <v>0.75600000000000001</v>
      </c>
      <c r="PE96">
        <v>1.845</v>
      </c>
      <c r="PF96">
        <v>2.9849999999999999</v>
      </c>
      <c r="PG96">
        <v>3.5590000000000002</v>
      </c>
      <c r="PH96">
        <v>4.0039999999999996</v>
      </c>
      <c r="PI96">
        <v>4.7210000000000001</v>
      </c>
      <c r="PJ96">
        <v>1.006</v>
      </c>
      <c r="PK96">
        <v>360</v>
      </c>
      <c r="PN96" t="s">
        <v>116</v>
      </c>
      <c r="PO96">
        <v>3.3690000000000002</v>
      </c>
      <c r="PP96">
        <v>0.873</v>
      </c>
      <c r="PQ96">
        <v>1.409</v>
      </c>
      <c r="PR96">
        <v>2.8450000000000002</v>
      </c>
      <c r="PS96">
        <v>3.456</v>
      </c>
      <c r="PT96">
        <v>4.024</v>
      </c>
      <c r="PU96">
        <v>4.734</v>
      </c>
      <c r="PV96">
        <v>1.046</v>
      </c>
      <c r="PW96">
        <v>49</v>
      </c>
      <c r="QA96" t="s">
        <v>116</v>
      </c>
      <c r="QB96">
        <v>4.7050000000000001</v>
      </c>
      <c r="QC96">
        <v>0.3</v>
      </c>
      <c r="QD96">
        <v>4.0330000000000004</v>
      </c>
      <c r="QE96">
        <v>4.5190000000000001</v>
      </c>
      <c r="QF96">
        <v>4.7350000000000003</v>
      </c>
      <c r="QG96">
        <v>4.9160000000000004</v>
      </c>
      <c r="QH96">
        <v>5.2160000000000002</v>
      </c>
      <c r="QI96">
        <v>1.0389999999999999</v>
      </c>
      <c r="QJ96">
        <v>60</v>
      </c>
      <c r="QL96">
        <f t="shared" si="4"/>
        <v>-1.3359999999999999</v>
      </c>
    </row>
    <row r="97" spans="1:456">
      <c r="A97" t="s">
        <v>117</v>
      </c>
      <c r="B97">
        <v>4.7519999999999998</v>
      </c>
      <c r="C97">
        <v>1.1359999999999999</v>
      </c>
      <c r="D97">
        <v>2.423</v>
      </c>
      <c r="E97">
        <v>4.01</v>
      </c>
      <c r="F97">
        <v>4.7889999999999997</v>
      </c>
      <c r="G97">
        <v>5.5430000000000001</v>
      </c>
      <c r="H97">
        <v>6.8949999999999996</v>
      </c>
      <c r="I97">
        <v>1.119</v>
      </c>
      <c r="J97">
        <v>25</v>
      </c>
      <c r="O97" t="s">
        <v>117</v>
      </c>
      <c r="P97">
        <v>2.8</v>
      </c>
      <c r="Q97">
        <v>1.8480000000000001</v>
      </c>
      <c r="R97">
        <v>0.13200000000000001</v>
      </c>
      <c r="S97">
        <v>1.343</v>
      </c>
      <c r="T97">
        <v>2.4780000000000002</v>
      </c>
      <c r="U97">
        <v>4.016</v>
      </c>
      <c r="V97">
        <v>6.9240000000000004</v>
      </c>
      <c r="W97">
        <v>1.0029999999999999</v>
      </c>
      <c r="X97">
        <v>730</v>
      </c>
      <c r="AC97" t="s">
        <v>117</v>
      </c>
      <c r="AD97">
        <v>5.2030000000000003</v>
      </c>
      <c r="AE97">
        <v>1.355</v>
      </c>
      <c r="AF97">
        <v>2.5339999999999998</v>
      </c>
      <c r="AG97">
        <v>4.1929999999999996</v>
      </c>
      <c r="AH97">
        <v>5.2409999999999997</v>
      </c>
      <c r="AI97">
        <v>6.3049999999999997</v>
      </c>
      <c r="AJ97">
        <v>7.3250000000000002</v>
      </c>
      <c r="AK97">
        <v>1.0129999999999999</v>
      </c>
      <c r="AL97">
        <v>200</v>
      </c>
      <c r="AQ97" t="s">
        <v>117</v>
      </c>
      <c r="AR97">
        <v>5.3490000000000002</v>
      </c>
      <c r="AS97">
        <v>1.3160000000000001</v>
      </c>
      <c r="AT97">
        <v>2.673</v>
      </c>
      <c r="AU97">
        <v>4.383</v>
      </c>
      <c r="AV97">
        <v>5.3659999999999997</v>
      </c>
      <c r="AW97">
        <v>6.4820000000000002</v>
      </c>
      <c r="AX97">
        <v>7.335</v>
      </c>
      <c r="AY97">
        <v>1.008</v>
      </c>
      <c r="AZ97">
        <v>410</v>
      </c>
      <c r="BE97" t="s">
        <v>117</v>
      </c>
      <c r="BF97">
        <v>5.2229999999999999</v>
      </c>
      <c r="BG97">
        <v>1.038</v>
      </c>
      <c r="BH97">
        <v>3.2519999999999998</v>
      </c>
      <c r="BI97">
        <v>4.4770000000000003</v>
      </c>
      <c r="BJ97">
        <v>5.1749999999999998</v>
      </c>
      <c r="BK97">
        <v>5.9509999999999996</v>
      </c>
      <c r="BL97">
        <v>7.2460000000000004</v>
      </c>
      <c r="BM97">
        <v>1.016</v>
      </c>
      <c r="BN97">
        <v>150</v>
      </c>
      <c r="BS97" t="s">
        <v>117</v>
      </c>
      <c r="BT97">
        <v>4.5369999999999999</v>
      </c>
      <c r="BU97">
        <v>1.454</v>
      </c>
      <c r="BV97">
        <v>1.7969999999999999</v>
      </c>
      <c r="BW97">
        <v>3.47</v>
      </c>
      <c r="BX97">
        <v>4.524</v>
      </c>
      <c r="BY97">
        <v>5.5869999999999997</v>
      </c>
      <c r="BZ97">
        <v>7.2309999999999999</v>
      </c>
      <c r="CA97">
        <v>1.0149999999999999</v>
      </c>
      <c r="CB97">
        <v>300</v>
      </c>
      <c r="CG97" t="s">
        <v>117</v>
      </c>
      <c r="CH97">
        <v>5.1959999999999997</v>
      </c>
      <c r="CI97">
        <v>1.0409999999999999</v>
      </c>
      <c r="CJ97">
        <v>3.3180000000000001</v>
      </c>
      <c r="CK97">
        <v>4.4370000000000003</v>
      </c>
      <c r="CL97">
        <v>5.1210000000000004</v>
      </c>
      <c r="CM97">
        <v>5.9630000000000001</v>
      </c>
      <c r="CN97">
        <v>7.1959999999999997</v>
      </c>
      <c r="CO97">
        <v>1.0109999999999999</v>
      </c>
      <c r="CP97">
        <v>190</v>
      </c>
      <c r="CU97" t="s">
        <v>117</v>
      </c>
      <c r="CV97">
        <v>6.2539999999999996</v>
      </c>
      <c r="CW97">
        <v>1.131</v>
      </c>
      <c r="CX97">
        <v>3.637</v>
      </c>
      <c r="CY97">
        <v>5.4619999999999997</v>
      </c>
      <c r="CZ97">
        <v>6.6449999999999996</v>
      </c>
      <c r="DA97">
        <v>7.2329999999999997</v>
      </c>
      <c r="DB97">
        <v>7.38</v>
      </c>
      <c r="DC97">
        <v>1.018</v>
      </c>
      <c r="DD97">
        <v>170</v>
      </c>
      <c r="DI97" t="s">
        <v>117</v>
      </c>
      <c r="DJ97">
        <v>5.1509999999999998</v>
      </c>
      <c r="DK97">
        <v>1.375</v>
      </c>
      <c r="DL97">
        <v>2.31</v>
      </c>
      <c r="DM97">
        <v>4.24</v>
      </c>
      <c r="DN97">
        <v>5.1840000000000002</v>
      </c>
      <c r="DO97">
        <v>6.2350000000000003</v>
      </c>
      <c r="DP97">
        <v>7.3280000000000003</v>
      </c>
      <c r="DQ97">
        <v>1.006</v>
      </c>
      <c r="DR97">
        <v>2700</v>
      </c>
      <c r="DY97" t="s">
        <v>117</v>
      </c>
      <c r="DZ97">
        <v>5.5439999999999996</v>
      </c>
      <c r="EA97">
        <v>1.246</v>
      </c>
      <c r="EB97">
        <v>2.9020000000000001</v>
      </c>
      <c r="EC97">
        <v>4.681</v>
      </c>
      <c r="ED97">
        <v>5.6470000000000002</v>
      </c>
      <c r="EE97">
        <v>6.6189999999999998</v>
      </c>
      <c r="EF97">
        <v>7.3179999999999996</v>
      </c>
      <c r="EG97">
        <v>1.01</v>
      </c>
      <c r="EH97">
        <v>700</v>
      </c>
      <c r="EK97" t="s">
        <v>117</v>
      </c>
      <c r="EL97">
        <v>5.125</v>
      </c>
      <c r="EM97">
        <v>1.675</v>
      </c>
      <c r="EN97">
        <v>1.4330000000000001</v>
      </c>
      <c r="EO97">
        <v>4.0309999999999997</v>
      </c>
      <c r="EP97">
        <v>5.4409999999999998</v>
      </c>
      <c r="EQ97">
        <v>6.5339999999999998</v>
      </c>
      <c r="ER97">
        <v>7.3029999999999999</v>
      </c>
      <c r="ES97">
        <v>1.024</v>
      </c>
      <c r="ET97">
        <v>180</v>
      </c>
      <c r="EY97" t="s">
        <v>117</v>
      </c>
      <c r="EZ97">
        <v>5.2649999999999997</v>
      </c>
      <c r="FA97">
        <v>1.3919999999999999</v>
      </c>
      <c r="FB97">
        <v>2.3149999999999999</v>
      </c>
      <c r="FC97">
        <v>4.3049999999999997</v>
      </c>
      <c r="FD97">
        <v>5.319</v>
      </c>
      <c r="FE97">
        <v>6.4589999999999996</v>
      </c>
      <c r="FF97">
        <v>7.3120000000000003</v>
      </c>
      <c r="FG97">
        <v>1.004</v>
      </c>
      <c r="FH97">
        <v>790</v>
      </c>
      <c r="GA97" t="s">
        <v>117</v>
      </c>
      <c r="GB97">
        <v>4.3140000000000001</v>
      </c>
      <c r="GC97">
        <v>0.71199999999999997</v>
      </c>
      <c r="GD97">
        <v>3.036</v>
      </c>
      <c r="GE97">
        <v>3.8250000000000002</v>
      </c>
      <c r="GF97">
        <v>4.2610000000000001</v>
      </c>
      <c r="GG97">
        <v>4.7300000000000004</v>
      </c>
      <c r="GH97">
        <v>5.8680000000000003</v>
      </c>
      <c r="GI97">
        <v>1.002</v>
      </c>
      <c r="GJ97">
        <v>1600</v>
      </c>
      <c r="GO97" t="s">
        <v>117</v>
      </c>
      <c r="GP97">
        <v>5.3220000000000001</v>
      </c>
      <c r="GQ97">
        <v>1.373</v>
      </c>
      <c r="GR97">
        <v>2.4529999999999998</v>
      </c>
      <c r="GS97">
        <v>4.3460000000000001</v>
      </c>
      <c r="GT97">
        <v>5.4109999999999996</v>
      </c>
      <c r="GU97">
        <v>6.4930000000000003</v>
      </c>
      <c r="GV97">
        <v>7.3120000000000003</v>
      </c>
      <c r="GW97">
        <v>1.002</v>
      </c>
      <c r="GX97">
        <v>3000</v>
      </c>
      <c r="HC97" t="s">
        <v>117</v>
      </c>
      <c r="HD97">
        <v>5.6029999999999998</v>
      </c>
      <c r="HE97">
        <v>1.2569999999999999</v>
      </c>
      <c r="HF97">
        <v>2.9180000000000001</v>
      </c>
      <c r="HG97">
        <v>4.7169999999999996</v>
      </c>
      <c r="HH97">
        <v>5.7069999999999999</v>
      </c>
      <c r="HI97">
        <v>6.7089999999999996</v>
      </c>
      <c r="HJ97">
        <v>7.3280000000000003</v>
      </c>
      <c r="HK97">
        <v>1.0049999999999999</v>
      </c>
      <c r="HL97">
        <v>470</v>
      </c>
      <c r="HP97" s="7"/>
      <c r="HQ97" s="7" t="s">
        <v>117</v>
      </c>
      <c r="HR97" s="7">
        <v>6.0810000000000004</v>
      </c>
      <c r="HS97" s="7">
        <v>1.0629999999999999</v>
      </c>
      <c r="HT97" s="7">
        <v>3.6619999999999999</v>
      </c>
      <c r="HU97" s="7">
        <v>5.3849999999999998</v>
      </c>
      <c r="HV97" s="7">
        <v>6.31</v>
      </c>
      <c r="HW97" s="7">
        <v>6.9829999999999997</v>
      </c>
      <c r="HX97" s="7">
        <v>7.3470000000000004</v>
      </c>
      <c r="HY97" s="7">
        <v>1.0009999999999999</v>
      </c>
      <c r="HZ97" s="7">
        <v>3000</v>
      </c>
      <c r="IA97" s="7"/>
      <c r="IE97" t="s">
        <v>117</v>
      </c>
      <c r="IF97">
        <v>5.444</v>
      </c>
      <c r="IG97">
        <v>1.1599999999999999</v>
      </c>
      <c r="IH97">
        <v>3.3559999999999999</v>
      </c>
      <c r="II97">
        <v>4.5170000000000003</v>
      </c>
      <c r="IJ97">
        <v>5.3789999999999996</v>
      </c>
      <c r="IK97">
        <v>6.4770000000000003</v>
      </c>
      <c r="IL97">
        <v>7.2859999999999996</v>
      </c>
      <c r="IM97">
        <v>1.0129999999999999</v>
      </c>
      <c r="IN97">
        <v>190</v>
      </c>
      <c r="IS97" t="s">
        <v>117</v>
      </c>
      <c r="IT97">
        <v>5.5049999999999999</v>
      </c>
      <c r="IU97">
        <v>1.133</v>
      </c>
      <c r="IV97">
        <v>3.3679999999999999</v>
      </c>
      <c r="IW97">
        <v>4.6369999999999996</v>
      </c>
      <c r="IX97">
        <v>5.5119999999999996</v>
      </c>
      <c r="IY97">
        <v>6.4950000000000001</v>
      </c>
      <c r="IZ97">
        <v>7.3010000000000002</v>
      </c>
      <c r="JA97">
        <v>1.006</v>
      </c>
      <c r="JB97">
        <v>370</v>
      </c>
      <c r="JF97" t="s">
        <v>117</v>
      </c>
      <c r="JG97">
        <v>5.6580000000000004</v>
      </c>
      <c r="JH97">
        <v>1.1559999999999999</v>
      </c>
      <c r="JI97">
        <v>3.371</v>
      </c>
      <c r="JJ97">
        <v>4.7779999999999996</v>
      </c>
      <c r="JK97">
        <v>5.7439999999999998</v>
      </c>
      <c r="JL97">
        <v>6.6689999999999996</v>
      </c>
      <c r="JM97">
        <v>7.3330000000000002</v>
      </c>
      <c r="JN97">
        <v>1.002</v>
      </c>
      <c r="JO97">
        <v>3000</v>
      </c>
      <c r="JT97" t="s">
        <v>117</v>
      </c>
      <c r="JU97">
        <v>5.609</v>
      </c>
      <c r="JV97">
        <v>1.19</v>
      </c>
      <c r="JW97">
        <v>3.2589999999999999</v>
      </c>
      <c r="JX97">
        <v>4.7320000000000002</v>
      </c>
      <c r="JY97">
        <v>5.6760000000000002</v>
      </c>
      <c r="JZ97">
        <v>6.66</v>
      </c>
      <c r="KA97">
        <v>7.327</v>
      </c>
      <c r="KB97">
        <v>1.0049999999999999</v>
      </c>
      <c r="KC97">
        <v>1300</v>
      </c>
      <c r="KH97" t="s">
        <v>117</v>
      </c>
      <c r="KI97">
        <v>5.7060000000000004</v>
      </c>
      <c r="KJ97">
        <v>1.1919999999999999</v>
      </c>
      <c r="KK97">
        <v>3.3969999999999998</v>
      </c>
      <c r="KL97">
        <v>4.7619999999999996</v>
      </c>
      <c r="KM97">
        <v>5.8230000000000004</v>
      </c>
      <c r="KN97">
        <v>6.7839999999999998</v>
      </c>
      <c r="KO97">
        <v>7.3410000000000002</v>
      </c>
      <c r="KP97">
        <v>1.002</v>
      </c>
      <c r="KQ97">
        <v>2900</v>
      </c>
      <c r="KR97">
        <f t="shared" si="3"/>
        <v>300.66599576146479</v>
      </c>
      <c r="KV97" t="s">
        <v>117</v>
      </c>
      <c r="KW97">
        <v>6.9329999999999998</v>
      </c>
      <c r="KX97">
        <v>0.88300000000000001</v>
      </c>
      <c r="KY97">
        <v>5.306</v>
      </c>
      <c r="KZ97">
        <v>6.306</v>
      </c>
      <c r="LA97">
        <v>6.9039999999999999</v>
      </c>
      <c r="LB97">
        <v>7.5490000000000004</v>
      </c>
      <c r="LC97">
        <v>8.6820000000000004</v>
      </c>
      <c r="LD97">
        <v>1.042</v>
      </c>
      <c r="LE97">
        <v>53</v>
      </c>
      <c r="LJ97" t="s">
        <v>140</v>
      </c>
      <c r="LK97">
        <v>-4.0789999999999997</v>
      </c>
      <c r="LL97">
        <v>2.6619999999999999</v>
      </c>
      <c r="LM97">
        <v>-10.175000000000001</v>
      </c>
      <c r="LN97">
        <v>-5.7619999999999996</v>
      </c>
      <c r="LO97">
        <v>-3.6280000000000001</v>
      </c>
      <c r="LP97">
        <v>-2.0550000000000002</v>
      </c>
      <c r="LQ97">
        <v>-0.13</v>
      </c>
      <c r="LR97">
        <v>1.014</v>
      </c>
      <c r="LS97">
        <v>240</v>
      </c>
      <c r="LX97" t="s">
        <v>140</v>
      </c>
      <c r="LY97">
        <v>-2.1920000000000002</v>
      </c>
      <c r="LZ97">
        <v>2.4049999999999998</v>
      </c>
      <c r="MA97">
        <v>-7.859</v>
      </c>
      <c r="MB97">
        <v>-3.5419999999999998</v>
      </c>
      <c r="MC97">
        <v>-1.9019999999999999</v>
      </c>
      <c r="MD97">
        <v>-0.54100000000000004</v>
      </c>
      <c r="ME97">
        <v>1.907</v>
      </c>
      <c r="MF97">
        <v>1.3280000000000001</v>
      </c>
      <c r="MG97">
        <v>10</v>
      </c>
      <c r="ML97" t="s">
        <v>117</v>
      </c>
      <c r="MM97">
        <v>6.5519999999999996</v>
      </c>
      <c r="MN97">
        <v>1.125</v>
      </c>
      <c r="MO97">
        <v>4.1239999999999997</v>
      </c>
      <c r="MP97">
        <v>5.8280000000000003</v>
      </c>
      <c r="MQ97">
        <v>6.6379999999999999</v>
      </c>
      <c r="MR97">
        <v>7.37</v>
      </c>
      <c r="MS97">
        <v>8.4740000000000002</v>
      </c>
      <c r="MT97">
        <v>1.069</v>
      </c>
      <c r="MU97">
        <v>43</v>
      </c>
      <c r="MZ97" t="s">
        <v>117</v>
      </c>
      <c r="NA97">
        <v>6.6929999999999996</v>
      </c>
      <c r="NB97">
        <v>0.92400000000000004</v>
      </c>
      <c r="NC97">
        <v>4.9210000000000003</v>
      </c>
      <c r="ND97">
        <v>5.9969999999999999</v>
      </c>
      <c r="NE97">
        <v>6.71</v>
      </c>
      <c r="NF97">
        <v>7.3739999999999997</v>
      </c>
      <c r="NG97">
        <v>8.4239999999999995</v>
      </c>
      <c r="NH97">
        <v>1.046</v>
      </c>
      <c r="NI97">
        <v>58</v>
      </c>
      <c r="NM97" t="s">
        <v>117</v>
      </c>
      <c r="NN97">
        <v>5.1950000000000003</v>
      </c>
      <c r="NO97">
        <v>0.85599999999999998</v>
      </c>
      <c r="NP97">
        <v>3.32</v>
      </c>
      <c r="NQ97">
        <v>4.6349999999999998</v>
      </c>
      <c r="NR97">
        <v>5.2110000000000003</v>
      </c>
      <c r="NS97">
        <v>5.8339999999999996</v>
      </c>
      <c r="NT97">
        <v>6.718</v>
      </c>
      <c r="NU97">
        <v>1.0680000000000001</v>
      </c>
      <c r="NV97">
        <v>37</v>
      </c>
      <c r="NY97" t="s">
        <v>117</v>
      </c>
      <c r="NZ97">
        <v>5.1379999999999999</v>
      </c>
      <c r="OA97">
        <v>0.871</v>
      </c>
      <c r="OB97">
        <v>2.9049999999999998</v>
      </c>
      <c r="OC97">
        <v>4.6529999999999996</v>
      </c>
      <c r="OD97">
        <v>5.2729999999999997</v>
      </c>
      <c r="OE97">
        <v>5.7779999999999996</v>
      </c>
      <c r="OF97">
        <v>6.3789999999999996</v>
      </c>
      <c r="OG97">
        <v>1.1319999999999999</v>
      </c>
      <c r="OH97">
        <v>140</v>
      </c>
      <c r="OP97" t="s">
        <v>117</v>
      </c>
      <c r="OQ97">
        <v>4.9249999999999998</v>
      </c>
      <c r="OR97">
        <v>0.72599999999999998</v>
      </c>
      <c r="OS97">
        <v>3.375</v>
      </c>
      <c r="OT97">
        <v>4.4349999999999996</v>
      </c>
      <c r="OU97">
        <v>5.0750000000000002</v>
      </c>
      <c r="OV97">
        <v>5.4660000000000002</v>
      </c>
      <c r="OW97">
        <v>6.0250000000000004</v>
      </c>
      <c r="OX97">
        <v>1.0980000000000001</v>
      </c>
      <c r="OY97">
        <v>29</v>
      </c>
      <c r="PB97" t="s">
        <v>117</v>
      </c>
      <c r="PC97">
        <v>4.3979999999999997</v>
      </c>
      <c r="PD97">
        <v>0.77200000000000002</v>
      </c>
      <c r="PE97">
        <v>2.7480000000000002</v>
      </c>
      <c r="PF97">
        <v>3.9180000000000001</v>
      </c>
      <c r="PG97">
        <v>4.4829999999999997</v>
      </c>
      <c r="PH97">
        <v>4.95</v>
      </c>
      <c r="PI97">
        <v>5.7149999999999999</v>
      </c>
      <c r="PJ97">
        <v>1.006</v>
      </c>
      <c r="PK97">
        <v>360</v>
      </c>
      <c r="PN97" t="s">
        <v>117</v>
      </c>
      <c r="PO97">
        <v>4.0510000000000002</v>
      </c>
      <c r="PP97">
        <v>0.88700000000000001</v>
      </c>
      <c r="PQ97">
        <v>2.1349999999999998</v>
      </c>
      <c r="PR97">
        <v>3.51</v>
      </c>
      <c r="PS97">
        <v>4.1360000000000001</v>
      </c>
      <c r="PT97">
        <v>4.718</v>
      </c>
      <c r="PU97">
        <v>5.4379999999999997</v>
      </c>
      <c r="PV97">
        <v>1.048</v>
      </c>
      <c r="PW97">
        <v>63</v>
      </c>
      <c r="QA97" t="s">
        <v>117</v>
      </c>
      <c r="QB97">
        <v>4.8949999999999996</v>
      </c>
      <c r="QC97">
        <v>0.32900000000000001</v>
      </c>
      <c r="QD97">
        <v>4.1840000000000002</v>
      </c>
      <c r="QE97">
        <v>4.6900000000000004</v>
      </c>
      <c r="QF97">
        <v>4.9279999999999999</v>
      </c>
      <c r="QG97">
        <v>5.1260000000000003</v>
      </c>
      <c r="QH97">
        <v>5.4580000000000002</v>
      </c>
      <c r="QI97">
        <v>1.02</v>
      </c>
      <c r="QJ97">
        <v>140</v>
      </c>
      <c r="QL97">
        <f t="shared" si="4"/>
        <v>-0.84399999999999942</v>
      </c>
    </row>
    <row r="98" spans="1:456">
      <c r="A98" t="s">
        <v>118</v>
      </c>
      <c r="B98">
        <v>4.2359999999999998</v>
      </c>
      <c r="C98">
        <v>0.90700000000000003</v>
      </c>
      <c r="D98">
        <v>2.3580000000000001</v>
      </c>
      <c r="E98">
        <v>3.665</v>
      </c>
      <c r="F98">
        <v>4.3209999999999997</v>
      </c>
      <c r="G98">
        <v>4.8449999999999998</v>
      </c>
      <c r="H98">
        <v>5.9489999999999998</v>
      </c>
      <c r="I98">
        <v>1.107</v>
      </c>
      <c r="J98">
        <v>34</v>
      </c>
      <c r="O98" t="s">
        <v>118</v>
      </c>
      <c r="P98">
        <v>3.2650000000000001</v>
      </c>
      <c r="Q98">
        <v>1.296</v>
      </c>
      <c r="R98">
        <v>0.82499999999999996</v>
      </c>
      <c r="S98">
        <v>2.3610000000000002</v>
      </c>
      <c r="T98">
        <v>3.2120000000000002</v>
      </c>
      <c r="U98">
        <v>4.1269999999999998</v>
      </c>
      <c r="V98">
        <v>5.9580000000000002</v>
      </c>
      <c r="W98">
        <v>1.0189999999999999</v>
      </c>
      <c r="X98">
        <v>140</v>
      </c>
      <c r="AC98" t="s">
        <v>118</v>
      </c>
      <c r="AD98">
        <v>5.048</v>
      </c>
      <c r="AE98">
        <v>0.95299999999999996</v>
      </c>
      <c r="AF98">
        <v>3.2229999999999999</v>
      </c>
      <c r="AG98">
        <v>4.3899999999999997</v>
      </c>
      <c r="AH98">
        <v>5.0410000000000004</v>
      </c>
      <c r="AI98">
        <v>5.7149999999999999</v>
      </c>
      <c r="AJ98">
        <v>6.9009999999999998</v>
      </c>
      <c r="AK98">
        <v>1.028</v>
      </c>
      <c r="AL98">
        <v>82</v>
      </c>
      <c r="AQ98" t="s">
        <v>118</v>
      </c>
      <c r="AR98">
        <v>5.2</v>
      </c>
      <c r="AS98">
        <v>0.92900000000000005</v>
      </c>
      <c r="AT98">
        <v>3.323</v>
      </c>
      <c r="AU98">
        <v>4.58</v>
      </c>
      <c r="AV98">
        <v>5.2</v>
      </c>
      <c r="AW98">
        <v>5.8540000000000001</v>
      </c>
      <c r="AX98">
        <v>7.024</v>
      </c>
      <c r="AY98">
        <v>1.016</v>
      </c>
      <c r="AZ98">
        <v>150</v>
      </c>
      <c r="BE98" t="s">
        <v>118</v>
      </c>
      <c r="BF98">
        <v>5.6360000000000001</v>
      </c>
      <c r="BG98">
        <v>0.72499999999999998</v>
      </c>
      <c r="BH98">
        <v>4.2110000000000003</v>
      </c>
      <c r="BI98">
        <v>5.1390000000000002</v>
      </c>
      <c r="BJ98">
        <v>5.6219999999999999</v>
      </c>
      <c r="BK98">
        <v>6.1379999999999999</v>
      </c>
      <c r="BL98">
        <v>7.0570000000000004</v>
      </c>
      <c r="BM98">
        <v>1.0029999999999999</v>
      </c>
      <c r="BN98">
        <v>920</v>
      </c>
      <c r="BS98" t="s">
        <v>118</v>
      </c>
      <c r="BT98">
        <v>4.6340000000000003</v>
      </c>
      <c r="BU98">
        <v>0.98599999999999999</v>
      </c>
      <c r="BV98">
        <v>2.7629999999999999</v>
      </c>
      <c r="BW98">
        <v>3.9249999999999998</v>
      </c>
      <c r="BX98">
        <v>4.6379999999999999</v>
      </c>
      <c r="BY98">
        <v>5.2910000000000004</v>
      </c>
      <c r="BZ98">
        <v>6.5640000000000001</v>
      </c>
      <c r="CA98">
        <v>1.01</v>
      </c>
      <c r="CB98">
        <v>250</v>
      </c>
      <c r="CG98" t="s">
        <v>118</v>
      </c>
      <c r="CH98">
        <v>5.6070000000000002</v>
      </c>
      <c r="CI98">
        <v>0.71</v>
      </c>
      <c r="CJ98">
        <v>4.2290000000000001</v>
      </c>
      <c r="CK98">
        <v>5.109</v>
      </c>
      <c r="CL98">
        <v>5.6109999999999998</v>
      </c>
      <c r="CM98">
        <v>6.101</v>
      </c>
      <c r="CN98">
        <v>7.0309999999999997</v>
      </c>
      <c r="CO98">
        <v>1.0089999999999999</v>
      </c>
      <c r="CP98">
        <v>230</v>
      </c>
      <c r="CU98" t="s">
        <v>118</v>
      </c>
      <c r="CV98">
        <v>5.8780000000000001</v>
      </c>
      <c r="CW98">
        <v>0.871</v>
      </c>
      <c r="CX98">
        <v>4.0789999999999997</v>
      </c>
      <c r="CY98">
        <v>5.2720000000000002</v>
      </c>
      <c r="CZ98">
        <v>5.9260000000000002</v>
      </c>
      <c r="DA98">
        <v>6.5350000000000001</v>
      </c>
      <c r="DB98">
        <v>7.3250000000000002</v>
      </c>
      <c r="DC98">
        <v>1.0289999999999999</v>
      </c>
      <c r="DD98">
        <v>100</v>
      </c>
      <c r="DI98" t="s">
        <v>118</v>
      </c>
      <c r="DJ98">
        <v>4.9509999999999996</v>
      </c>
      <c r="DK98">
        <v>1.012</v>
      </c>
      <c r="DL98">
        <v>2.95</v>
      </c>
      <c r="DM98">
        <v>4.2519999999999998</v>
      </c>
      <c r="DN98">
        <v>4.9219999999999997</v>
      </c>
      <c r="DO98">
        <v>5.6529999999999996</v>
      </c>
      <c r="DP98">
        <v>6.9160000000000004</v>
      </c>
      <c r="DQ98">
        <v>1.0049999999999999</v>
      </c>
      <c r="DR98">
        <v>880</v>
      </c>
      <c r="DY98" t="s">
        <v>118</v>
      </c>
      <c r="DZ98">
        <v>5.359</v>
      </c>
      <c r="EA98">
        <v>0.93500000000000005</v>
      </c>
      <c r="EB98">
        <v>3.488</v>
      </c>
      <c r="EC98">
        <v>4.7329999999999997</v>
      </c>
      <c r="ED98">
        <v>5.3920000000000003</v>
      </c>
      <c r="EE98">
        <v>6.0229999999999997</v>
      </c>
      <c r="EF98">
        <v>7.0860000000000003</v>
      </c>
      <c r="EG98">
        <v>1.012</v>
      </c>
      <c r="EH98">
        <v>290</v>
      </c>
      <c r="EK98" t="s">
        <v>118</v>
      </c>
      <c r="EL98">
        <v>4.1420000000000003</v>
      </c>
      <c r="EM98">
        <v>0.93600000000000005</v>
      </c>
      <c r="EN98">
        <v>2.3250000000000002</v>
      </c>
      <c r="EO98">
        <v>3.4729999999999999</v>
      </c>
      <c r="EP98">
        <v>4.1310000000000002</v>
      </c>
      <c r="EQ98">
        <v>4.7930000000000001</v>
      </c>
      <c r="ER98">
        <v>5.9450000000000003</v>
      </c>
      <c r="ES98">
        <v>1.0069999999999999</v>
      </c>
      <c r="ET98">
        <v>410</v>
      </c>
      <c r="EY98" t="s">
        <v>118</v>
      </c>
      <c r="EZ98">
        <v>5.3819999999999997</v>
      </c>
      <c r="FA98">
        <v>0.93600000000000005</v>
      </c>
      <c r="FB98">
        <v>3.4750000000000001</v>
      </c>
      <c r="FC98">
        <v>4.7610000000000001</v>
      </c>
      <c r="FD98">
        <v>5.4240000000000004</v>
      </c>
      <c r="FE98">
        <v>6.04</v>
      </c>
      <c r="FF98">
        <v>7.0519999999999996</v>
      </c>
      <c r="FG98">
        <v>1.0009999999999999</v>
      </c>
      <c r="FH98">
        <v>3000</v>
      </c>
      <c r="GA98" t="s">
        <v>118</v>
      </c>
      <c r="GB98">
        <v>5.03</v>
      </c>
      <c r="GC98">
        <v>0.57099999999999995</v>
      </c>
      <c r="GD98">
        <v>3.9660000000000002</v>
      </c>
      <c r="GE98">
        <v>4.6280000000000001</v>
      </c>
      <c r="GF98">
        <v>5.0369999999999999</v>
      </c>
      <c r="GG98">
        <v>5.4080000000000004</v>
      </c>
      <c r="GH98">
        <v>6.1769999999999996</v>
      </c>
      <c r="GI98">
        <v>1.0029999999999999</v>
      </c>
      <c r="GJ98">
        <v>860</v>
      </c>
      <c r="GO98" t="s">
        <v>118</v>
      </c>
      <c r="GP98">
        <v>5.4409999999999998</v>
      </c>
      <c r="GQ98">
        <v>0.92700000000000005</v>
      </c>
      <c r="GR98">
        <v>3.387</v>
      </c>
      <c r="GS98">
        <v>4.8739999999999997</v>
      </c>
      <c r="GT98">
        <v>5.4939999999999998</v>
      </c>
      <c r="GU98">
        <v>6.1130000000000004</v>
      </c>
      <c r="GV98">
        <v>7.0590000000000002</v>
      </c>
      <c r="GW98">
        <v>1.0029999999999999</v>
      </c>
      <c r="GX98">
        <v>930</v>
      </c>
      <c r="HC98" t="s">
        <v>118</v>
      </c>
      <c r="HD98">
        <v>5.6559999999999997</v>
      </c>
      <c r="HE98">
        <v>0.84</v>
      </c>
      <c r="HF98">
        <v>3.9620000000000002</v>
      </c>
      <c r="HG98">
        <v>5.077</v>
      </c>
      <c r="HH98">
        <v>5.7</v>
      </c>
      <c r="HI98">
        <v>6.2679999999999998</v>
      </c>
      <c r="HJ98">
        <v>7.1550000000000002</v>
      </c>
      <c r="HK98">
        <v>1.0089999999999999</v>
      </c>
      <c r="HL98">
        <v>250</v>
      </c>
      <c r="HP98" s="7"/>
      <c r="HQ98" s="7" t="s">
        <v>118</v>
      </c>
      <c r="HR98" s="7">
        <v>5.7249999999999996</v>
      </c>
      <c r="HS98" s="7">
        <v>0.74199999999999999</v>
      </c>
      <c r="HT98" s="7">
        <v>4.1829999999999998</v>
      </c>
      <c r="HU98" s="7">
        <v>5.258</v>
      </c>
      <c r="HV98" s="7">
        <v>5.7530000000000001</v>
      </c>
      <c r="HW98" s="7">
        <v>6.2329999999999997</v>
      </c>
      <c r="HX98" s="7">
        <v>7.08</v>
      </c>
      <c r="HY98" s="7">
        <v>1.002</v>
      </c>
      <c r="HZ98" s="7">
        <v>1600</v>
      </c>
      <c r="IA98" s="7"/>
      <c r="IE98" t="s">
        <v>118</v>
      </c>
      <c r="IF98">
        <v>5.218</v>
      </c>
      <c r="IG98">
        <v>0.58499999999999996</v>
      </c>
      <c r="IH98">
        <v>4.0289999999999999</v>
      </c>
      <c r="II98">
        <v>4.8710000000000004</v>
      </c>
      <c r="IJ98">
        <v>5.2229999999999999</v>
      </c>
      <c r="IK98">
        <v>5.593</v>
      </c>
      <c r="IL98">
        <v>6.3620000000000001</v>
      </c>
      <c r="IM98">
        <v>1.0580000000000001</v>
      </c>
      <c r="IN98">
        <v>60</v>
      </c>
      <c r="IS98" t="s">
        <v>118</v>
      </c>
      <c r="IT98">
        <v>5.2169999999999996</v>
      </c>
      <c r="IU98">
        <v>0.64300000000000002</v>
      </c>
      <c r="IV98">
        <v>3.8010000000000002</v>
      </c>
      <c r="IW98">
        <v>4.8220000000000001</v>
      </c>
      <c r="IX98">
        <v>5.234</v>
      </c>
      <c r="IY98">
        <v>5.6459999999999999</v>
      </c>
      <c r="IZ98">
        <v>6.4109999999999996</v>
      </c>
      <c r="JA98">
        <v>1.024</v>
      </c>
      <c r="JB98">
        <v>110</v>
      </c>
      <c r="JF98" t="s">
        <v>118</v>
      </c>
      <c r="JG98">
        <v>5.4249999999999998</v>
      </c>
      <c r="JH98">
        <v>0.71899999999999997</v>
      </c>
      <c r="JI98">
        <v>3.9430000000000001</v>
      </c>
      <c r="JJ98">
        <v>4.9710000000000001</v>
      </c>
      <c r="JK98">
        <v>5.4379999999999997</v>
      </c>
      <c r="JL98">
        <v>5.8940000000000001</v>
      </c>
      <c r="JM98">
        <v>6.8520000000000003</v>
      </c>
      <c r="JN98">
        <v>1.004</v>
      </c>
      <c r="JO98">
        <v>710</v>
      </c>
      <c r="JT98" t="s">
        <v>118</v>
      </c>
      <c r="JU98">
        <v>5.3550000000000004</v>
      </c>
      <c r="JV98">
        <v>0.73599999999999999</v>
      </c>
      <c r="JW98">
        <v>3.843</v>
      </c>
      <c r="JX98">
        <v>4.8789999999999996</v>
      </c>
      <c r="JY98">
        <v>5.3769999999999998</v>
      </c>
      <c r="JZ98">
        <v>5.8310000000000004</v>
      </c>
      <c r="KA98">
        <v>6.8120000000000003</v>
      </c>
      <c r="KB98">
        <v>1.0029999999999999</v>
      </c>
      <c r="KC98">
        <v>2200</v>
      </c>
      <c r="KH98" t="s">
        <v>118</v>
      </c>
      <c r="KI98">
        <v>5.47</v>
      </c>
      <c r="KJ98">
        <v>0.71199999999999997</v>
      </c>
      <c r="KK98">
        <v>4.0730000000000004</v>
      </c>
      <c r="KL98">
        <v>5.008</v>
      </c>
      <c r="KM98">
        <v>5.4740000000000002</v>
      </c>
      <c r="KN98">
        <v>5.9489999999999998</v>
      </c>
      <c r="KO98">
        <v>6.8529999999999998</v>
      </c>
      <c r="KP98">
        <v>1.0069999999999999</v>
      </c>
      <c r="KQ98">
        <v>410</v>
      </c>
      <c r="KR98">
        <f t="shared" si="3"/>
        <v>237.46019276116672</v>
      </c>
      <c r="KV98" t="s">
        <v>118</v>
      </c>
      <c r="KW98">
        <v>6.077</v>
      </c>
      <c r="KX98">
        <v>0.64800000000000002</v>
      </c>
      <c r="KY98">
        <v>4.8520000000000003</v>
      </c>
      <c r="KZ98">
        <v>5.6020000000000003</v>
      </c>
      <c r="LA98">
        <v>6.0830000000000002</v>
      </c>
      <c r="LB98">
        <v>6.5570000000000004</v>
      </c>
      <c r="LC98">
        <v>7.2770000000000001</v>
      </c>
      <c r="LD98">
        <v>1.08</v>
      </c>
      <c r="LE98">
        <v>30</v>
      </c>
      <c r="LJ98" t="s">
        <v>141</v>
      </c>
      <c r="LK98">
        <v>-0.56100000000000005</v>
      </c>
      <c r="LL98">
        <v>0.29899999999999999</v>
      </c>
      <c r="LM98">
        <v>-1.133</v>
      </c>
      <c r="LN98">
        <v>-0.76200000000000001</v>
      </c>
      <c r="LO98">
        <v>-0.56200000000000006</v>
      </c>
      <c r="LP98">
        <v>-0.36399999999999999</v>
      </c>
      <c r="LQ98">
        <v>3.1E-2</v>
      </c>
      <c r="LR98">
        <v>1.0089999999999999</v>
      </c>
      <c r="LS98">
        <v>240</v>
      </c>
      <c r="LX98" t="s">
        <v>141</v>
      </c>
      <c r="LY98">
        <v>0.47399999999999998</v>
      </c>
      <c r="LZ98">
        <v>0.94199999999999995</v>
      </c>
      <c r="MA98">
        <v>-0.94199999999999995</v>
      </c>
      <c r="MB98">
        <v>-0.182</v>
      </c>
      <c r="MC98">
        <v>0.28199999999999997</v>
      </c>
      <c r="MD98">
        <v>0.99399999999999999</v>
      </c>
      <c r="ME98">
        <v>2.718</v>
      </c>
      <c r="MF98">
        <v>1.79</v>
      </c>
      <c r="MG98">
        <v>6</v>
      </c>
      <c r="ML98" t="s">
        <v>118</v>
      </c>
      <c r="MM98">
        <v>5.8019999999999996</v>
      </c>
      <c r="MN98">
        <v>0.997</v>
      </c>
      <c r="MO98">
        <v>3.585</v>
      </c>
      <c r="MP98">
        <v>5.1680000000000001</v>
      </c>
      <c r="MQ98">
        <v>5.9189999999999996</v>
      </c>
      <c r="MR98">
        <v>6.5650000000000004</v>
      </c>
      <c r="MS98">
        <v>7.3310000000000004</v>
      </c>
      <c r="MT98">
        <v>1.0860000000000001</v>
      </c>
      <c r="MU98">
        <v>36</v>
      </c>
      <c r="MZ98" t="s">
        <v>118</v>
      </c>
      <c r="NA98">
        <v>5.94</v>
      </c>
      <c r="NB98">
        <v>0.78600000000000003</v>
      </c>
      <c r="NC98">
        <v>4.3659999999999997</v>
      </c>
      <c r="ND98">
        <v>5.3890000000000002</v>
      </c>
      <c r="NE98">
        <v>5.9569999999999999</v>
      </c>
      <c r="NF98">
        <v>6.5490000000000004</v>
      </c>
      <c r="NG98">
        <v>7.29</v>
      </c>
      <c r="NH98">
        <v>1.0780000000000001</v>
      </c>
      <c r="NI98">
        <v>45</v>
      </c>
      <c r="NM98" t="s">
        <v>118</v>
      </c>
      <c r="NN98">
        <v>4.6740000000000004</v>
      </c>
      <c r="NO98">
        <v>0.85499999999999998</v>
      </c>
      <c r="NP98">
        <v>2.782</v>
      </c>
      <c r="NQ98">
        <v>4.1059999999999999</v>
      </c>
      <c r="NR98">
        <v>4.6840000000000002</v>
      </c>
      <c r="NS98">
        <v>5.3259999999999996</v>
      </c>
      <c r="NT98">
        <v>6.1929999999999996</v>
      </c>
      <c r="NU98">
        <v>1.07</v>
      </c>
      <c r="NV98">
        <v>36</v>
      </c>
      <c r="NY98" t="s">
        <v>118</v>
      </c>
      <c r="NZ98">
        <v>4.9809999999999999</v>
      </c>
      <c r="OA98">
        <v>0.83899999999999997</v>
      </c>
      <c r="OB98">
        <v>2.8490000000000002</v>
      </c>
      <c r="OC98">
        <v>4.5149999999999997</v>
      </c>
      <c r="OD98">
        <v>5.1109999999999998</v>
      </c>
      <c r="OE98">
        <v>5.5970000000000004</v>
      </c>
      <c r="OF98">
        <v>6.1619999999999999</v>
      </c>
      <c r="OG98">
        <v>1.139</v>
      </c>
      <c r="OH98">
        <v>130</v>
      </c>
      <c r="OP98" t="s">
        <v>118</v>
      </c>
      <c r="OQ98">
        <v>4.7910000000000004</v>
      </c>
      <c r="OR98">
        <v>0.72399999999999998</v>
      </c>
      <c r="OS98">
        <v>3.25</v>
      </c>
      <c r="OT98">
        <v>4.32</v>
      </c>
      <c r="OU98">
        <v>4.9219999999999997</v>
      </c>
      <c r="OV98">
        <v>5.319</v>
      </c>
      <c r="OW98">
        <v>5.9340000000000002</v>
      </c>
      <c r="OX98">
        <v>1.0980000000000001</v>
      </c>
      <c r="OY98">
        <v>33</v>
      </c>
      <c r="PB98" t="s">
        <v>118</v>
      </c>
      <c r="PC98">
        <v>3.83</v>
      </c>
      <c r="PD98">
        <v>0.74099999999999999</v>
      </c>
      <c r="PE98">
        <v>2.25</v>
      </c>
      <c r="PF98">
        <v>3.3679999999999999</v>
      </c>
      <c r="PG98">
        <v>3.9239999999999999</v>
      </c>
      <c r="PH98">
        <v>4.3710000000000004</v>
      </c>
      <c r="PI98">
        <v>5.0709999999999997</v>
      </c>
      <c r="PJ98">
        <v>1.0069999999999999</v>
      </c>
      <c r="PK98">
        <v>330</v>
      </c>
      <c r="PN98" t="s">
        <v>118</v>
      </c>
      <c r="PO98">
        <v>3.2949999999999999</v>
      </c>
      <c r="PP98">
        <v>0.88</v>
      </c>
      <c r="PQ98">
        <v>1.3160000000000001</v>
      </c>
      <c r="PR98">
        <v>2.7589999999999999</v>
      </c>
      <c r="PS98">
        <v>3.39</v>
      </c>
      <c r="PT98">
        <v>3.952</v>
      </c>
      <c r="PU98">
        <v>4.6779999999999999</v>
      </c>
      <c r="PV98">
        <v>1.046</v>
      </c>
      <c r="PW98">
        <v>49</v>
      </c>
      <c r="QA98" t="s">
        <v>118</v>
      </c>
      <c r="QB98">
        <v>4.3010000000000002</v>
      </c>
      <c r="QC98">
        <v>0.313</v>
      </c>
      <c r="QD98">
        <v>3.6219999999999999</v>
      </c>
      <c r="QE98">
        <v>4.101</v>
      </c>
      <c r="QF98">
        <v>4.33</v>
      </c>
      <c r="QG98">
        <v>4.5209999999999999</v>
      </c>
      <c r="QH98">
        <v>4.8460000000000001</v>
      </c>
      <c r="QI98">
        <v>1.0289999999999999</v>
      </c>
      <c r="QJ98">
        <v>83</v>
      </c>
      <c r="QL98">
        <f t="shared" si="4"/>
        <v>-1.0060000000000002</v>
      </c>
    </row>
    <row r="99" spans="1:456">
      <c r="A99" t="s">
        <v>248</v>
      </c>
      <c r="B99">
        <v>0.60899999999999999</v>
      </c>
      <c r="C99">
        <v>0.52600000000000002</v>
      </c>
      <c r="D99">
        <v>-0.22500000000000001</v>
      </c>
      <c r="E99">
        <v>0.247</v>
      </c>
      <c r="F99">
        <v>0.55300000000000005</v>
      </c>
      <c r="G99">
        <v>0.89200000000000002</v>
      </c>
      <c r="H99">
        <v>1.881</v>
      </c>
      <c r="I99">
        <v>1.012</v>
      </c>
      <c r="J99">
        <v>310</v>
      </c>
      <c r="O99" t="s">
        <v>248</v>
      </c>
      <c r="P99">
        <v>4.194</v>
      </c>
      <c r="Q99">
        <v>0.96899999999999997</v>
      </c>
      <c r="R99">
        <v>2.4390000000000001</v>
      </c>
      <c r="S99">
        <v>3.5310000000000001</v>
      </c>
      <c r="T99">
        <v>4.1760000000000002</v>
      </c>
      <c r="U99">
        <v>4.8239999999999998</v>
      </c>
      <c r="V99">
        <v>6.17</v>
      </c>
      <c r="W99">
        <v>1.016</v>
      </c>
      <c r="X99">
        <v>600</v>
      </c>
      <c r="AC99" t="s">
        <v>248</v>
      </c>
      <c r="AD99">
        <v>-0.50600000000000001</v>
      </c>
      <c r="AE99">
        <v>0.26800000000000002</v>
      </c>
      <c r="AF99">
        <v>-1.0409999999999999</v>
      </c>
      <c r="AG99">
        <v>-0.68799999999999994</v>
      </c>
      <c r="AH99">
        <v>-0.503</v>
      </c>
      <c r="AI99">
        <v>-0.316</v>
      </c>
      <c r="AJ99">
        <v>-8.0000000000000002E-3</v>
      </c>
      <c r="AK99">
        <v>1.0029999999999999</v>
      </c>
      <c r="AL99">
        <v>830</v>
      </c>
      <c r="AQ99" t="s">
        <v>248</v>
      </c>
      <c r="AR99">
        <v>-0.60199999999999998</v>
      </c>
      <c r="AS99">
        <v>0.26100000000000001</v>
      </c>
      <c r="AT99">
        <v>-1.1279999999999999</v>
      </c>
      <c r="AU99">
        <v>-0.77300000000000002</v>
      </c>
      <c r="AV99">
        <v>-0.60099999999999998</v>
      </c>
      <c r="AW99">
        <v>-0.42899999999999999</v>
      </c>
      <c r="AX99">
        <v>-7.9000000000000001E-2</v>
      </c>
      <c r="AY99">
        <v>1.002</v>
      </c>
      <c r="AZ99">
        <v>1400</v>
      </c>
      <c r="BE99" t="s">
        <v>248</v>
      </c>
      <c r="BF99">
        <v>0.14899999999999999</v>
      </c>
      <c r="BG99">
        <v>0.122</v>
      </c>
      <c r="BH99">
        <v>-8.3000000000000004E-2</v>
      </c>
      <c r="BI99">
        <v>6.9000000000000006E-2</v>
      </c>
      <c r="BJ99">
        <v>0.14899999999999999</v>
      </c>
      <c r="BK99">
        <v>0.23</v>
      </c>
      <c r="BL99">
        <v>0.39300000000000002</v>
      </c>
      <c r="BM99">
        <v>1.01</v>
      </c>
      <c r="BN99">
        <v>220</v>
      </c>
      <c r="BS99" t="s">
        <v>248</v>
      </c>
      <c r="BT99">
        <v>-0.376</v>
      </c>
      <c r="BU99">
        <v>0.26500000000000001</v>
      </c>
      <c r="BV99">
        <v>-0.92200000000000004</v>
      </c>
      <c r="BW99">
        <v>-0.54600000000000004</v>
      </c>
      <c r="BX99">
        <v>-0.36799999999999999</v>
      </c>
      <c r="BY99">
        <v>-0.19600000000000001</v>
      </c>
      <c r="BZ99">
        <v>0.1</v>
      </c>
      <c r="CA99">
        <v>1.026</v>
      </c>
      <c r="CB99">
        <v>99</v>
      </c>
      <c r="CG99" t="s">
        <v>248</v>
      </c>
      <c r="CH99">
        <v>0.13900000000000001</v>
      </c>
      <c r="CI99">
        <v>0.13</v>
      </c>
      <c r="CJ99">
        <v>-0.122</v>
      </c>
      <c r="CK99">
        <v>5.0999999999999997E-2</v>
      </c>
      <c r="CL99">
        <v>0.14099999999999999</v>
      </c>
      <c r="CM99">
        <v>0.22800000000000001</v>
      </c>
      <c r="CN99">
        <v>0.38300000000000001</v>
      </c>
      <c r="CO99">
        <v>1.0049999999999999</v>
      </c>
      <c r="CP99">
        <v>2000</v>
      </c>
      <c r="CU99" t="s">
        <v>248</v>
      </c>
      <c r="CV99">
        <v>-0.47599999999999998</v>
      </c>
      <c r="CW99">
        <v>0.26900000000000002</v>
      </c>
      <c r="CX99">
        <v>-1.016</v>
      </c>
      <c r="CY99">
        <v>-0.65100000000000002</v>
      </c>
      <c r="CZ99">
        <v>-0.47199999999999998</v>
      </c>
      <c r="DA99">
        <v>-0.28599999999999998</v>
      </c>
      <c r="DB99">
        <v>2.3E-2</v>
      </c>
      <c r="DC99">
        <v>1.0249999999999999</v>
      </c>
      <c r="DD99">
        <v>85</v>
      </c>
      <c r="DI99" t="s">
        <v>248</v>
      </c>
      <c r="DJ99">
        <v>-0.503</v>
      </c>
      <c r="DK99">
        <v>0.26900000000000002</v>
      </c>
      <c r="DL99">
        <v>-1.0369999999999999</v>
      </c>
      <c r="DM99">
        <v>-0.68200000000000005</v>
      </c>
      <c r="DN99">
        <v>-0.503</v>
      </c>
      <c r="DO99">
        <v>-0.32900000000000001</v>
      </c>
      <c r="DP99">
        <v>2.3E-2</v>
      </c>
      <c r="DQ99">
        <v>1.006</v>
      </c>
      <c r="DR99">
        <v>400</v>
      </c>
      <c r="DY99" t="s">
        <v>248</v>
      </c>
      <c r="DZ99">
        <v>-0.58699999999999997</v>
      </c>
      <c r="EA99">
        <v>0.25800000000000001</v>
      </c>
      <c r="EB99">
        <v>-1.0860000000000001</v>
      </c>
      <c r="EC99">
        <v>-0.76500000000000001</v>
      </c>
      <c r="ED99">
        <v>-0.58599999999999997</v>
      </c>
      <c r="EE99">
        <v>-0.41</v>
      </c>
      <c r="EF99">
        <v>-8.8999999999999996E-2</v>
      </c>
      <c r="EG99">
        <v>1.0049999999999999</v>
      </c>
      <c r="EH99">
        <v>420</v>
      </c>
      <c r="EK99" t="s">
        <v>248</v>
      </c>
      <c r="EL99">
        <v>-0.34300000000000003</v>
      </c>
      <c r="EM99">
        <v>0.23</v>
      </c>
      <c r="EN99">
        <v>-0.85099999999999998</v>
      </c>
      <c r="EO99">
        <v>-0.47899999999999998</v>
      </c>
      <c r="EP99">
        <v>-0.317</v>
      </c>
      <c r="EQ99">
        <v>-0.183</v>
      </c>
      <c r="ER99">
        <v>3.7999999999999999E-2</v>
      </c>
      <c r="ES99">
        <v>1.0049999999999999</v>
      </c>
      <c r="ET99">
        <v>530</v>
      </c>
      <c r="EY99" t="s">
        <v>248</v>
      </c>
      <c r="EZ99">
        <v>3.0000000000000001E-3</v>
      </c>
      <c r="FA99">
        <v>0.221</v>
      </c>
      <c r="FB99">
        <v>-0.47499999999999998</v>
      </c>
      <c r="FC99">
        <v>-0.13600000000000001</v>
      </c>
      <c r="FD99">
        <v>0.02</v>
      </c>
      <c r="FE99">
        <v>0.155</v>
      </c>
      <c r="FF99">
        <v>0.39300000000000002</v>
      </c>
      <c r="FG99">
        <v>1.0029999999999999</v>
      </c>
      <c r="FH99">
        <v>790</v>
      </c>
      <c r="GA99" t="s">
        <v>248</v>
      </c>
      <c r="GB99">
        <v>9.9000000000000005E-2</v>
      </c>
      <c r="GC99">
        <v>9.94</v>
      </c>
      <c r="GD99">
        <v>-19.907</v>
      </c>
      <c r="GE99">
        <v>-6.3739999999999997</v>
      </c>
      <c r="GF99">
        <v>0.307</v>
      </c>
      <c r="GG99">
        <v>6.5890000000000004</v>
      </c>
      <c r="GH99">
        <v>20.303000000000001</v>
      </c>
      <c r="GI99">
        <v>1.0009999999999999</v>
      </c>
      <c r="GJ99">
        <v>2000</v>
      </c>
      <c r="GO99" t="s">
        <v>248</v>
      </c>
      <c r="GP99">
        <v>8.0000000000000002E-3</v>
      </c>
      <c r="GQ99">
        <v>0.22700000000000001</v>
      </c>
      <c r="GR99">
        <v>-0.498</v>
      </c>
      <c r="GS99">
        <v>-0.128</v>
      </c>
      <c r="GT99">
        <v>2.7E-2</v>
      </c>
      <c r="GU99">
        <v>0.16300000000000001</v>
      </c>
      <c r="GV99">
        <v>0.40799999999999997</v>
      </c>
      <c r="GW99">
        <v>1.012</v>
      </c>
      <c r="GX99">
        <v>180</v>
      </c>
      <c r="HC99" t="s">
        <v>248</v>
      </c>
      <c r="HD99">
        <v>-2E-3</v>
      </c>
      <c r="HE99">
        <v>0.19400000000000001</v>
      </c>
      <c r="HF99">
        <v>-0.40100000000000002</v>
      </c>
      <c r="HG99">
        <v>-0.127</v>
      </c>
      <c r="HH99">
        <v>1E-3</v>
      </c>
      <c r="HI99">
        <v>0.13200000000000001</v>
      </c>
      <c r="HJ99">
        <v>0.35399999999999998</v>
      </c>
      <c r="HK99">
        <v>1.0049999999999999</v>
      </c>
      <c r="HL99">
        <v>480</v>
      </c>
      <c r="HP99" s="7"/>
      <c r="HQ99" s="7" t="s">
        <v>248</v>
      </c>
      <c r="HR99" s="7">
        <v>-0.122</v>
      </c>
      <c r="HS99" s="7">
        <v>0.11</v>
      </c>
      <c r="HT99" s="7">
        <v>-0.34200000000000003</v>
      </c>
      <c r="HU99" s="7">
        <v>-0.193</v>
      </c>
      <c r="HV99" s="7">
        <v>-0.121</v>
      </c>
      <c r="HW99" s="7">
        <v>-4.8000000000000001E-2</v>
      </c>
      <c r="HX99" s="7">
        <v>8.7999999999999995E-2</v>
      </c>
      <c r="HY99" s="7">
        <v>1.0029999999999999</v>
      </c>
      <c r="HZ99" s="7">
        <v>910</v>
      </c>
      <c r="IA99" s="7"/>
      <c r="IE99" s="4" t="s">
        <v>248</v>
      </c>
      <c r="IF99" s="4">
        <v>0.221</v>
      </c>
      <c r="IG99">
        <v>5.2999999999999999E-2</v>
      </c>
      <c r="IH99">
        <v>0.121</v>
      </c>
      <c r="II99">
        <v>0.185</v>
      </c>
      <c r="IJ99">
        <v>0.218</v>
      </c>
      <c r="IK99">
        <v>0.255</v>
      </c>
      <c r="IL99">
        <v>0.33100000000000002</v>
      </c>
      <c r="IM99">
        <v>1.0029999999999999</v>
      </c>
      <c r="IN99">
        <v>850</v>
      </c>
      <c r="IS99" t="s">
        <v>185</v>
      </c>
      <c r="IT99">
        <v>6.7949999999999999</v>
      </c>
      <c r="IU99">
        <v>0.33</v>
      </c>
      <c r="IV99">
        <v>6.1310000000000002</v>
      </c>
      <c r="IW99">
        <v>6.5620000000000003</v>
      </c>
      <c r="IX99">
        <v>6.8079999999999998</v>
      </c>
      <c r="IY99">
        <v>7.05</v>
      </c>
      <c r="IZ99">
        <v>7.3460000000000001</v>
      </c>
      <c r="JA99">
        <v>1.0029999999999999</v>
      </c>
      <c r="JB99">
        <v>910</v>
      </c>
      <c r="JF99" t="s">
        <v>185</v>
      </c>
      <c r="JG99">
        <v>6.16</v>
      </c>
      <c r="JH99">
        <v>0.42</v>
      </c>
      <c r="JI99">
        <v>5.3970000000000002</v>
      </c>
      <c r="JJ99">
        <v>5.8760000000000003</v>
      </c>
      <c r="JK99">
        <v>6.1420000000000003</v>
      </c>
      <c r="JL99">
        <v>6.4249999999999998</v>
      </c>
      <c r="JM99">
        <v>7.0620000000000003</v>
      </c>
      <c r="JN99">
        <v>1.0009999999999999</v>
      </c>
      <c r="JO99">
        <v>3000</v>
      </c>
      <c r="JT99" t="s">
        <v>185</v>
      </c>
      <c r="JU99">
        <v>6.11</v>
      </c>
      <c r="JV99">
        <v>0.45400000000000001</v>
      </c>
      <c r="JW99">
        <v>5.2949999999999999</v>
      </c>
      <c r="JX99">
        <v>5.8019999999999996</v>
      </c>
      <c r="JY99">
        <v>6.0720000000000001</v>
      </c>
      <c r="JZ99">
        <v>6.4080000000000004</v>
      </c>
      <c r="KA99">
        <v>7.0670000000000002</v>
      </c>
      <c r="KB99">
        <v>1.0009999999999999</v>
      </c>
      <c r="KC99">
        <v>3000</v>
      </c>
      <c r="KH99" t="s">
        <v>185</v>
      </c>
      <c r="KI99">
        <v>6.0830000000000002</v>
      </c>
      <c r="KJ99">
        <v>0.46500000000000002</v>
      </c>
      <c r="KK99">
        <v>5.2489999999999997</v>
      </c>
      <c r="KL99">
        <v>5.7510000000000003</v>
      </c>
      <c r="KM99">
        <v>6.056</v>
      </c>
      <c r="KN99">
        <v>6.3959999999999999</v>
      </c>
      <c r="KO99">
        <v>7.0469999999999997</v>
      </c>
      <c r="KP99">
        <v>1.0029999999999999</v>
      </c>
      <c r="KQ99">
        <v>680</v>
      </c>
      <c r="KR99">
        <f>EXP(KI99)</f>
        <v>438.34225090203017</v>
      </c>
      <c r="KV99" t="s">
        <v>185</v>
      </c>
      <c r="KW99">
        <v>6.6210000000000004</v>
      </c>
      <c r="KX99">
        <v>0.35899999999999999</v>
      </c>
      <c r="KY99">
        <v>5.923</v>
      </c>
      <c r="KZ99">
        <v>6.375</v>
      </c>
      <c r="LA99">
        <v>6.6239999999999997</v>
      </c>
      <c r="LB99">
        <v>6.8780000000000001</v>
      </c>
      <c r="LC99">
        <v>7.29</v>
      </c>
      <c r="LD99">
        <v>1.006</v>
      </c>
      <c r="LE99">
        <v>380</v>
      </c>
      <c r="LJ99" t="s">
        <v>142</v>
      </c>
      <c r="LK99">
        <v>-6.7000000000000004E-2</v>
      </c>
      <c r="LL99">
        <v>4.4980000000000002</v>
      </c>
      <c r="LM99">
        <v>-9.2240000000000002</v>
      </c>
      <c r="LN99">
        <v>-2.988</v>
      </c>
      <c r="LO99">
        <v>-8.7999999999999995E-2</v>
      </c>
      <c r="LP99">
        <v>2.9740000000000002</v>
      </c>
      <c r="LQ99">
        <v>8.5960000000000001</v>
      </c>
      <c r="LR99">
        <v>1.0009999999999999</v>
      </c>
      <c r="LS99">
        <v>3000</v>
      </c>
      <c r="LX99" t="s">
        <v>142</v>
      </c>
      <c r="LY99">
        <v>5.3999999999999999E-2</v>
      </c>
      <c r="LZ99">
        <v>4.5279999999999996</v>
      </c>
      <c r="MA99">
        <v>-8.9009999999999998</v>
      </c>
      <c r="MB99">
        <v>-3.0390000000000001</v>
      </c>
      <c r="MC99">
        <v>4.1000000000000002E-2</v>
      </c>
      <c r="MD99">
        <v>3.1720000000000002</v>
      </c>
      <c r="ME99">
        <v>8.9979999999999993</v>
      </c>
      <c r="MF99">
        <v>1.0009999999999999</v>
      </c>
      <c r="MG99">
        <v>3000</v>
      </c>
      <c r="ML99" t="s">
        <v>185</v>
      </c>
      <c r="MM99">
        <v>6.86</v>
      </c>
      <c r="MN99">
        <v>0.30499999999999999</v>
      </c>
      <c r="MO99">
        <v>6.2270000000000003</v>
      </c>
      <c r="MP99">
        <v>6.6479999999999997</v>
      </c>
      <c r="MQ99">
        <v>6.8810000000000002</v>
      </c>
      <c r="MR99">
        <v>7.1020000000000003</v>
      </c>
      <c r="MS99">
        <v>7.3470000000000004</v>
      </c>
      <c r="MT99">
        <v>1.002</v>
      </c>
      <c r="MU99">
        <v>3100</v>
      </c>
      <c r="MZ99" t="s">
        <v>185</v>
      </c>
      <c r="NA99">
        <v>6.92</v>
      </c>
      <c r="NB99">
        <v>0.27600000000000002</v>
      </c>
      <c r="NC99">
        <v>6.3380000000000001</v>
      </c>
      <c r="ND99">
        <v>6.7279999999999998</v>
      </c>
      <c r="NE99">
        <v>6.9459999999999997</v>
      </c>
      <c r="NF99">
        <v>7.141</v>
      </c>
      <c r="NG99">
        <v>7.35</v>
      </c>
      <c r="NH99">
        <v>1.0029999999999999</v>
      </c>
      <c r="NI99">
        <v>980</v>
      </c>
      <c r="NM99" t="s">
        <v>185</v>
      </c>
      <c r="NN99">
        <v>6.9039999999999999</v>
      </c>
      <c r="NO99">
        <v>0.24299999999999999</v>
      </c>
      <c r="NP99">
        <v>6.4470000000000001</v>
      </c>
      <c r="NQ99">
        <v>6.7240000000000002</v>
      </c>
      <c r="NR99">
        <v>6.9039999999999999</v>
      </c>
      <c r="NS99">
        <v>7.09</v>
      </c>
      <c r="NT99">
        <v>7.3390000000000004</v>
      </c>
      <c r="NU99">
        <v>1.0009999999999999</v>
      </c>
      <c r="NV99">
        <v>6800</v>
      </c>
      <c r="NY99" t="s">
        <v>185</v>
      </c>
      <c r="NZ99">
        <v>6.758</v>
      </c>
      <c r="OA99">
        <v>0.25600000000000001</v>
      </c>
      <c r="OB99">
        <v>6.3150000000000004</v>
      </c>
      <c r="OC99">
        <v>6.5670000000000002</v>
      </c>
      <c r="OD99">
        <v>6.7350000000000003</v>
      </c>
      <c r="OE99">
        <v>6.9340000000000002</v>
      </c>
      <c r="OF99">
        <v>7.2919999999999998</v>
      </c>
      <c r="OG99">
        <v>1.0009999999999999</v>
      </c>
      <c r="OH99">
        <v>5700</v>
      </c>
      <c r="OP99" t="s">
        <v>185</v>
      </c>
      <c r="OQ99">
        <v>7.0039999999999996</v>
      </c>
      <c r="OR99">
        <v>0.24099999999999999</v>
      </c>
      <c r="OS99">
        <v>6.4889999999999999</v>
      </c>
      <c r="OT99">
        <v>6.8380000000000001</v>
      </c>
      <c r="OU99">
        <v>7.0359999999999996</v>
      </c>
      <c r="OV99">
        <v>7.2009999999999996</v>
      </c>
      <c r="OW99">
        <v>7.36</v>
      </c>
      <c r="OX99">
        <v>1.0189999999999999</v>
      </c>
      <c r="OY99">
        <v>130</v>
      </c>
      <c r="PB99" t="s">
        <v>185</v>
      </c>
      <c r="PC99">
        <v>7.1529999999999996</v>
      </c>
      <c r="PD99">
        <v>0.17</v>
      </c>
      <c r="PE99">
        <v>6.7530000000000001</v>
      </c>
      <c r="PF99">
        <v>7.0439999999999996</v>
      </c>
      <c r="PG99">
        <v>7.1859999999999999</v>
      </c>
      <c r="PH99">
        <v>7.2919999999999998</v>
      </c>
      <c r="PI99">
        <v>7.37</v>
      </c>
      <c r="PJ99">
        <v>1.0089999999999999</v>
      </c>
      <c r="PK99">
        <v>270</v>
      </c>
      <c r="PN99" t="s">
        <v>119</v>
      </c>
      <c r="PO99">
        <v>7.1710000000000003</v>
      </c>
      <c r="PP99">
        <v>0.159</v>
      </c>
      <c r="PQ99">
        <v>6.8109999999999999</v>
      </c>
      <c r="PR99">
        <v>7.0739999999999998</v>
      </c>
      <c r="PS99">
        <v>7.2050000000000001</v>
      </c>
      <c r="PT99">
        <v>7.3019999999999996</v>
      </c>
      <c r="PU99">
        <v>7.3739999999999997</v>
      </c>
      <c r="PV99">
        <v>1.0009999999999999</v>
      </c>
      <c r="PW99">
        <v>2500</v>
      </c>
      <c r="PX99" s="3">
        <f t="shared" ref="PX99:PX123" si="5">PO99/PP99</f>
        <v>45.100628930817614</v>
      </c>
      <c r="QA99" t="s">
        <v>119</v>
      </c>
      <c r="QB99">
        <v>6.2510000000000003</v>
      </c>
      <c r="QC99">
        <v>0.14399999999999999</v>
      </c>
      <c r="QD99">
        <v>5.9450000000000003</v>
      </c>
      <c r="QE99">
        <v>6.157</v>
      </c>
      <c r="QF99">
        <v>6.2560000000000002</v>
      </c>
      <c r="QG99">
        <v>6.3570000000000002</v>
      </c>
      <c r="QH99">
        <v>6.5140000000000002</v>
      </c>
      <c r="QI99">
        <v>1.0449999999999999</v>
      </c>
      <c r="QJ99">
        <v>54</v>
      </c>
      <c r="QK99" s="3">
        <f t="shared" ref="QK99:QK123" si="6">QB99/QC99</f>
        <v>43.409722222222229</v>
      </c>
      <c r="QL99">
        <f t="shared" si="4"/>
        <v>0.91999999999999993</v>
      </c>
      <c r="QN99" t="s">
        <v>178</v>
      </c>
    </row>
    <row r="100" spans="1:456">
      <c r="A100" t="s">
        <v>249</v>
      </c>
      <c r="B100">
        <v>1.405</v>
      </c>
      <c r="C100">
        <v>0.755</v>
      </c>
      <c r="D100">
        <v>0.22900000000000001</v>
      </c>
      <c r="E100">
        <v>0.88300000000000001</v>
      </c>
      <c r="F100">
        <v>1.29</v>
      </c>
      <c r="G100">
        <v>1.825</v>
      </c>
      <c r="H100">
        <v>3.2759999999999998</v>
      </c>
      <c r="I100">
        <v>1.22</v>
      </c>
      <c r="J100">
        <v>14</v>
      </c>
      <c r="O100" t="s">
        <v>249</v>
      </c>
      <c r="P100">
        <v>5.1269999999999998</v>
      </c>
      <c r="Q100">
        <v>1.1639999999999999</v>
      </c>
      <c r="R100">
        <v>2.7280000000000002</v>
      </c>
      <c r="S100">
        <v>4.3810000000000002</v>
      </c>
      <c r="T100">
        <v>5.1769999999999996</v>
      </c>
      <c r="U100">
        <v>5.883</v>
      </c>
      <c r="V100">
        <v>7.3559999999999999</v>
      </c>
      <c r="W100">
        <v>1.081</v>
      </c>
      <c r="X100">
        <v>48</v>
      </c>
      <c r="AC100" t="s">
        <v>249</v>
      </c>
      <c r="AD100">
        <v>-1.4E-2</v>
      </c>
      <c r="AE100">
        <v>0.23400000000000001</v>
      </c>
      <c r="AF100">
        <v>-0.48099999999999998</v>
      </c>
      <c r="AG100">
        <v>-0.17100000000000001</v>
      </c>
      <c r="AH100">
        <v>-8.0000000000000002E-3</v>
      </c>
      <c r="AI100">
        <v>0.14399999999999999</v>
      </c>
      <c r="AJ100">
        <v>0.433</v>
      </c>
      <c r="AK100">
        <v>1.0009999999999999</v>
      </c>
      <c r="AL100">
        <v>3000</v>
      </c>
      <c r="AQ100" t="s">
        <v>249</v>
      </c>
      <c r="AR100">
        <v>-3.6999999999999998E-2</v>
      </c>
      <c r="AS100">
        <v>0.22800000000000001</v>
      </c>
      <c r="AT100">
        <v>-0.48099999999999998</v>
      </c>
      <c r="AU100">
        <v>-0.19700000000000001</v>
      </c>
      <c r="AV100">
        <v>-3.9E-2</v>
      </c>
      <c r="AW100">
        <v>0.11799999999999999</v>
      </c>
      <c r="AX100">
        <v>0.40899999999999997</v>
      </c>
      <c r="AY100">
        <v>1.0029999999999999</v>
      </c>
      <c r="AZ100">
        <v>760</v>
      </c>
      <c r="BE100" t="s">
        <v>249</v>
      </c>
      <c r="BF100">
        <v>0.47199999999999998</v>
      </c>
      <c r="BG100">
        <v>0.121</v>
      </c>
      <c r="BH100">
        <v>0.223</v>
      </c>
      <c r="BI100">
        <v>0.39300000000000002</v>
      </c>
      <c r="BJ100">
        <v>0.47699999999999998</v>
      </c>
      <c r="BK100">
        <v>0.55500000000000005</v>
      </c>
      <c r="BL100">
        <v>0.69599999999999995</v>
      </c>
      <c r="BM100">
        <v>1.0129999999999999</v>
      </c>
      <c r="BN100">
        <v>480</v>
      </c>
      <c r="BS100" t="s">
        <v>249</v>
      </c>
      <c r="BT100">
        <v>0.188</v>
      </c>
      <c r="BU100">
        <v>0.19</v>
      </c>
      <c r="BV100">
        <v>-0.20300000000000001</v>
      </c>
      <c r="BW100">
        <v>0.06</v>
      </c>
      <c r="BX100">
        <v>0.19400000000000001</v>
      </c>
      <c r="BY100">
        <v>0.32300000000000001</v>
      </c>
      <c r="BZ100">
        <v>0.53800000000000003</v>
      </c>
      <c r="CA100">
        <v>1.002</v>
      </c>
      <c r="CB100">
        <v>1100</v>
      </c>
      <c r="CG100" t="s">
        <v>249</v>
      </c>
      <c r="CH100">
        <v>0.45500000000000002</v>
      </c>
      <c r="CI100">
        <v>0.12</v>
      </c>
      <c r="CJ100">
        <v>0.21299999999999999</v>
      </c>
      <c r="CK100">
        <v>0.379</v>
      </c>
      <c r="CL100">
        <v>0.45700000000000002</v>
      </c>
      <c r="CM100">
        <v>0.53400000000000003</v>
      </c>
      <c r="CN100">
        <v>0.68600000000000005</v>
      </c>
      <c r="CO100">
        <v>1.0049999999999999</v>
      </c>
      <c r="CP100">
        <v>520</v>
      </c>
      <c r="CU100" t="s">
        <v>249</v>
      </c>
      <c r="CV100">
        <v>0.17299999999999999</v>
      </c>
      <c r="CW100">
        <v>0.20799999999999999</v>
      </c>
      <c r="CX100">
        <v>-0.26</v>
      </c>
      <c r="CY100">
        <v>4.2000000000000003E-2</v>
      </c>
      <c r="CZ100">
        <v>0.17799999999999999</v>
      </c>
      <c r="DA100">
        <v>0.317</v>
      </c>
      <c r="DB100">
        <v>0.55900000000000005</v>
      </c>
      <c r="DC100">
        <v>1.0129999999999999</v>
      </c>
      <c r="DD100">
        <v>200</v>
      </c>
      <c r="DI100" t="s">
        <v>249</v>
      </c>
      <c r="DJ100">
        <v>-8.9999999999999993E-3</v>
      </c>
      <c r="DK100">
        <v>0.23599999999999999</v>
      </c>
      <c r="DL100">
        <v>-0.47599999999999998</v>
      </c>
      <c r="DM100">
        <v>-0.17100000000000001</v>
      </c>
      <c r="DN100">
        <v>-1.2999999999999999E-2</v>
      </c>
      <c r="DO100">
        <v>0.152</v>
      </c>
      <c r="DP100">
        <v>0.442</v>
      </c>
      <c r="DQ100">
        <v>1.002</v>
      </c>
      <c r="DR100">
        <v>1300</v>
      </c>
      <c r="DY100" t="s">
        <v>249</v>
      </c>
      <c r="DZ100">
        <v>-4.2999999999999997E-2</v>
      </c>
      <c r="EA100">
        <v>0.22900000000000001</v>
      </c>
      <c r="EB100">
        <v>-0.48799999999999999</v>
      </c>
      <c r="EC100">
        <v>-0.20200000000000001</v>
      </c>
      <c r="ED100">
        <v>-0.04</v>
      </c>
      <c r="EE100">
        <v>0.114</v>
      </c>
      <c r="EF100">
        <v>0.39900000000000002</v>
      </c>
      <c r="EG100">
        <v>1.0009999999999999</v>
      </c>
      <c r="EH100">
        <v>3000</v>
      </c>
      <c r="EK100" t="s">
        <v>249</v>
      </c>
      <c r="EL100">
        <v>-0.26900000000000002</v>
      </c>
      <c r="EM100">
        <v>0.19700000000000001</v>
      </c>
      <c r="EN100">
        <v>-0.7</v>
      </c>
      <c r="EO100">
        <v>-0.4</v>
      </c>
      <c r="EP100">
        <v>-0.25600000000000001</v>
      </c>
      <c r="EQ100">
        <v>-0.13100000000000001</v>
      </c>
      <c r="ER100">
        <v>7.4999999999999997E-2</v>
      </c>
      <c r="ES100">
        <v>1.002</v>
      </c>
      <c r="ET100">
        <v>1300</v>
      </c>
      <c r="EY100" t="s">
        <v>249</v>
      </c>
      <c r="EZ100">
        <v>-0.30399999999999999</v>
      </c>
      <c r="FA100">
        <v>0.23300000000000001</v>
      </c>
      <c r="FB100">
        <v>-0.80200000000000005</v>
      </c>
      <c r="FC100">
        <v>-0.45400000000000001</v>
      </c>
      <c r="FD100">
        <v>-0.28199999999999997</v>
      </c>
      <c r="FE100">
        <v>-0.14099999999999999</v>
      </c>
      <c r="FF100">
        <v>9.8000000000000004E-2</v>
      </c>
      <c r="FG100">
        <v>1.004</v>
      </c>
      <c r="FH100">
        <v>740</v>
      </c>
      <c r="GA100" t="s">
        <v>249</v>
      </c>
      <c r="GB100">
        <v>4.1000000000000002E-2</v>
      </c>
      <c r="GC100">
        <v>9.9369999999999994</v>
      </c>
      <c r="GD100">
        <v>-19.888999999999999</v>
      </c>
      <c r="GE100">
        <v>-6.5179999999999998</v>
      </c>
      <c r="GF100">
        <v>-0.109</v>
      </c>
      <c r="GG100">
        <v>6.742</v>
      </c>
      <c r="GH100">
        <v>19.623000000000001</v>
      </c>
      <c r="GI100">
        <v>1.0009999999999999</v>
      </c>
      <c r="GJ100">
        <v>3000</v>
      </c>
      <c r="GO100" t="s">
        <v>249</v>
      </c>
      <c r="GP100">
        <v>-0.29699999999999999</v>
      </c>
      <c r="GQ100">
        <v>0.24</v>
      </c>
      <c r="GR100">
        <v>-0.81899999999999995</v>
      </c>
      <c r="GS100">
        <v>-0.44700000000000001</v>
      </c>
      <c r="GT100">
        <v>-0.27400000000000002</v>
      </c>
      <c r="GU100">
        <v>-0.13100000000000001</v>
      </c>
      <c r="GV100">
        <v>0.10299999999999999</v>
      </c>
      <c r="GW100">
        <v>1.0049999999999999</v>
      </c>
      <c r="GX100">
        <v>530</v>
      </c>
      <c r="HC100" t="s">
        <v>249</v>
      </c>
      <c r="HD100">
        <v>-0.378</v>
      </c>
      <c r="HE100">
        <v>0.24299999999999999</v>
      </c>
      <c r="HF100">
        <v>-0.89600000000000002</v>
      </c>
      <c r="HG100">
        <v>-0.53500000000000003</v>
      </c>
      <c r="HH100">
        <v>-0.36199999999999999</v>
      </c>
      <c r="HI100">
        <v>-0.20899999999999999</v>
      </c>
      <c r="HJ100">
        <v>5.2999999999999999E-2</v>
      </c>
      <c r="HK100">
        <v>1.0029999999999999</v>
      </c>
      <c r="HL100">
        <v>710</v>
      </c>
      <c r="HP100" s="7"/>
      <c r="HQ100" s="7" t="s">
        <v>249</v>
      </c>
      <c r="HR100" s="7">
        <v>-2.8000000000000001E-2</v>
      </c>
      <c r="HS100" s="7">
        <v>8.7999999999999995E-2</v>
      </c>
      <c r="HT100" s="7">
        <v>-0.214</v>
      </c>
      <c r="HU100" s="7">
        <v>-8.5999999999999993E-2</v>
      </c>
      <c r="HV100" s="7">
        <v>-2.4E-2</v>
      </c>
      <c r="HW100" s="7">
        <v>3.3000000000000002E-2</v>
      </c>
      <c r="HX100" s="7">
        <v>0.13600000000000001</v>
      </c>
      <c r="HY100" s="7">
        <v>1.004</v>
      </c>
      <c r="HZ100" s="7">
        <v>580</v>
      </c>
      <c r="IA100" s="7"/>
      <c r="IE100" s="4" t="s">
        <v>249</v>
      </c>
      <c r="IF100" s="4">
        <v>0.13200000000000001</v>
      </c>
      <c r="IG100">
        <v>5.7000000000000002E-2</v>
      </c>
      <c r="IH100">
        <v>2.1999999999999999E-2</v>
      </c>
      <c r="II100">
        <v>9.4E-2</v>
      </c>
      <c r="IJ100">
        <v>0.13200000000000001</v>
      </c>
      <c r="IK100">
        <v>0.17</v>
      </c>
      <c r="IL100">
        <v>0.245</v>
      </c>
      <c r="IM100">
        <v>1.004</v>
      </c>
      <c r="IN100">
        <v>600</v>
      </c>
      <c r="IS100" t="s">
        <v>186</v>
      </c>
      <c r="IT100">
        <v>7.0970000000000004</v>
      </c>
      <c r="IU100">
        <v>0.223</v>
      </c>
      <c r="IV100">
        <v>6.5570000000000004</v>
      </c>
      <c r="IW100">
        <v>6.9640000000000004</v>
      </c>
      <c r="IX100">
        <v>7.1459999999999999</v>
      </c>
      <c r="IY100">
        <v>7.2770000000000001</v>
      </c>
      <c r="IZ100">
        <v>7.3710000000000004</v>
      </c>
      <c r="JA100">
        <v>1.0009999999999999</v>
      </c>
      <c r="JB100">
        <v>3000</v>
      </c>
      <c r="JF100" t="s">
        <v>186</v>
      </c>
      <c r="JG100">
        <v>6.819</v>
      </c>
      <c r="JH100">
        <v>0.375</v>
      </c>
      <c r="JI100">
        <v>5.9960000000000004</v>
      </c>
      <c r="JJ100">
        <v>6.5590000000000002</v>
      </c>
      <c r="JK100">
        <v>6.8639999999999999</v>
      </c>
      <c r="JL100">
        <v>7.1230000000000002</v>
      </c>
      <c r="JM100">
        <v>7.3540000000000001</v>
      </c>
      <c r="JN100">
        <v>1.0009999999999999</v>
      </c>
      <c r="JO100">
        <v>3000</v>
      </c>
      <c r="JT100" t="s">
        <v>186</v>
      </c>
      <c r="JU100">
        <v>6.7859999999999996</v>
      </c>
      <c r="JV100">
        <v>0.38500000000000001</v>
      </c>
      <c r="JW100">
        <v>5.9370000000000003</v>
      </c>
      <c r="JX100">
        <v>6.5259999999999998</v>
      </c>
      <c r="JY100">
        <v>6.8289999999999997</v>
      </c>
      <c r="JZ100">
        <v>7.0919999999999996</v>
      </c>
      <c r="KA100">
        <v>7.3490000000000002</v>
      </c>
      <c r="KB100">
        <v>1.0009999999999999</v>
      </c>
      <c r="KC100">
        <v>3000</v>
      </c>
      <c r="KH100" t="s">
        <v>186</v>
      </c>
      <c r="KI100">
        <v>6.8090000000000002</v>
      </c>
      <c r="KJ100">
        <v>0.378</v>
      </c>
      <c r="KK100">
        <v>5.9720000000000004</v>
      </c>
      <c r="KL100">
        <v>6.5609999999999999</v>
      </c>
      <c r="KM100">
        <v>6.8609999999999998</v>
      </c>
      <c r="KN100">
        <v>7.1150000000000002</v>
      </c>
      <c r="KO100">
        <v>7.3540000000000001</v>
      </c>
      <c r="KP100">
        <v>1.006</v>
      </c>
      <c r="KQ100">
        <v>370</v>
      </c>
      <c r="KR100">
        <f>EXP(KI100)</f>
        <v>905.96438942492091</v>
      </c>
      <c r="KV100" t="s">
        <v>186</v>
      </c>
      <c r="KW100">
        <v>7.2160000000000002</v>
      </c>
      <c r="KX100">
        <v>0.14499999999999999</v>
      </c>
      <c r="KY100">
        <v>6.84</v>
      </c>
      <c r="KZ100">
        <v>7.1479999999999997</v>
      </c>
      <c r="LA100">
        <v>7.2560000000000002</v>
      </c>
      <c r="LB100">
        <v>7.3280000000000003</v>
      </c>
      <c r="LC100">
        <v>7.375</v>
      </c>
      <c r="LD100">
        <v>1.0009999999999999</v>
      </c>
      <c r="LE100">
        <v>3000</v>
      </c>
      <c r="LJ100" t="s">
        <v>216</v>
      </c>
      <c r="LK100">
        <v>1.3049999999999999</v>
      </c>
      <c r="LL100">
        <v>0.11</v>
      </c>
      <c r="LM100">
        <v>1.113</v>
      </c>
      <c r="LN100">
        <v>1.2290000000000001</v>
      </c>
      <c r="LO100">
        <v>1.298</v>
      </c>
      <c r="LP100">
        <v>1.377</v>
      </c>
      <c r="LQ100">
        <v>1.542</v>
      </c>
      <c r="LR100">
        <v>1.0009999999999999</v>
      </c>
      <c r="LS100">
        <v>3000</v>
      </c>
      <c r="LX100" t="s">
        <v>216</v>
      </c>
      <c r="LY100">
        <v>1.6930000000000001</v>
      </c>
      <c r="LZ100">
        <v>0.24299999999999999</v>
      </c>
      <c r="MA100">
        <v>1.2749999999999999</v>
      </c>
      <c r="MB100">
        <v>1.5249999999999999</v>
      </c>
      <c r="MC100">
        <v>1.6719999999999999</v>
      </c>
      <c r="MD100">
        <v>1.8380000000000001</v>
      </c>
      <c r="ME100">
        <v>2.2290000000000001</v>
      </c>
      <c r="MF100">
        <v>1.075</v>
      </c>
      <c r="MG100">
        <v>32</v>
      </c>
      <c r="ML100" t="s">
        <v>186</v>
      </c>
      <c r="MM100">
        <v>7.2320000000000002</v>
      </c>
      <c r="MN100">
        <v>0.13400000000000001</v>
      </c>
      <c r="MO100">
        <v>6.8849999999999998</v>
      </c>
      <c r="MP100">
        <v>7.17</v>
      </c>
      <c r="MQ100">
        <v>7.27</v>
      </c>
      <c r="MR100">
        <v>7.3330000000000002</v>
      </c>
      <c r="MS100">
        <v>7.3760000000000003</v>
      </c>
      <c r="MT100">
        <v>1.0009999999999999</v>
      </c>
      <c r="MU100">
        <v>11000</v>
      </c>
      <c r="MZ100" t="s">
        <v>186</v>
      </c>
      <c r="NA100">
        <v>7.2309999999999999</v>
      </c>
      <c r="NB100">
        <v>0.13200000000000001</v>
      </c>
      <c r="NC100">
        <v>6.883</v>
      </c>
      <c r="ND100">
        <v>7.1669999999999998</v>
      </c>
      <c r="NE100">
        <v>7.266</v>
      </c>
      <c r="NF100">
        <v>7.33</v>
      </c>
      <c r="NG100">
        <v>7.3760000000000003</v>
      </c>
      <c r="NH100">
        <v>1.0009999999999999</v>
      </c>
      <c r="NI100">
        <v>2300</v>
      </c>
      <c r="NM100" t="s">
        <v>186</v>
      </c>
      <c r="NN100">
        <v>7.2119999999999997</v>
      </c>
      <c r="NO100">
        <v>0.11600000000000001</v>
      </c>
      <c r="NP100">
        <v>6.9489999999999998</v>
      </c>
      <c r="NQ100">
        <v>7.1360000000000001</v>
      </c>
      <c r="NR100">
        <v>7.2290000000000001</v>
      </c>
      <c r="NS100">
        <v>7.306</v>
      </c>
      <c r="NT100">
        <v>7.3730000000000002</v>
      </c>
      <c r="NU100">
        <v>1.0009999999999999</v>
      </c>
      <c r="NV100">
        <v>10000</v>
      </c>
      <c r="NY100" t="s">
        <v>186</v>
      </c>
      <c r="NZ100">
        <v>7.1950000000000003</v>
      </c>
      <c r="OA100">
        <v>0.125</v>
      </c>
      <c r="OB100">
        <v>6.9189999999999996</v>
      </c>
      <c r="OC100">
        <v>7.1120000000000001</v>
      </c>
      <c r="OD100">
        <v>7.2130000000000001</v>
      </c>
      <c r="OE100">
        <v>7.2969999999999997</v>
      </c>
      <c r="OF100">
        <v>7.3719999999999999</v>
      </c>
      <c r="OG100">
        <v>1.0009999999999999</v>
      </c>
      <c r="OH100">
        <v>16000</v>
      </c>
      <c r="OP100" t="s">
        <v>186</v>
      </c>
      <c r="OQ100">
        <v>7.2050000000000001</v>
      </c>
      <c r="OR100">
        <v>0.123</v>
      </c>
      <c r="OS100">
        <v>6.9240000000000004</v>
      </c>
      <c r="OT100">
        <v>7.1239999999999997</v>
      </c>
      <c r="OU100">
        <v>7.2240000000000002</v>
      </c>
      <c r="OV100">
        <v>7.306</v>
      </c>
      <c r="OW100">
        <v>7.3719999999999999</v>
      </c>
      <c r="OX100">
        <v>1.002</v>
      </c>
      <c r="OY100">
        <v>1100</v>
      </c>
      <c r="PB100" t="s">
        <v>186</v>
      </c>
      <c r="PC100">
        <v>7.2229999999999999</v>
      </c>
      <c r="PD100">
        <v>0.111</v>
      </c>
      <c r="PE100">
        <v>6.976</v>
      </c>
      <c r="PF100">
        <v>7.1509999999999998</v>
      </c>
      <c r="PG100">
        <v>7.2430000000000003</v>
      </c>
      <c r="PH100">
        <v>7.3140000000000001</v>
      </c>
      <c r="PI100">
        <v>7.3730000000000002</v>
      </c>
      <c r="PJ100">
        <v>1.002</v>
      </c>
      <c r="PK100">
        <v>1100</v>
      </c>
      <c r="PN100" t="s">
        <v>120</v>
      </c>
      <c r="PO100">
        <v>7.2060000000000004</v>
      </c>
      <c r="PP100">
        <v>0.122</v>
      </c>
      <c r="PQ100">
        <v>6.9329999999999998</v>
      </c>
      <c r="PR100">
        <v>7.125</v>
      </c>
      <c r="PS100">
        <v>7.2279999999999998</v>
      </c>
      <c r="PT100">
        <v>7.3070000000000004</v>
      </c>
      <c r="PU100">
        <v>7.3719999999999999</v>
      </c>
      <c r="PV100">
        <v>1.0009999999999999</v>
      </c>
      <c r="PW100">
        <v>3000</v>
      </c>
      <c r="PX100" s="3">
        <f t="shared" si="5"/>
        <v>59.06557377049181</v>
      </c>
      <c r="QA100" t="s">
        <v>120</v>
      </c>
      <c r="QB100">
        <v>6.8159999999999998</v>
      </c>
      <c r="QC100">
        <v>8.7999999999999995E-2</v>
      </c>
      <c r="QD100">
        <v>6.6470000000000002</v>
      </c>
      <c r="QE100">
        <v>6.7530000000000001</v>
      </c>
      <c r="QF100">
        <v>6.8179999999999996</v>
      </c>
      <c r="QG100">
        <v>6.883</v>
      </c>
      <c r="QH100">
        <v>6.9690000000000003</v>
      </c>
      <c r="QI100">
        <v>1.113</v>
      </c>
      <c r="QJ100">
        <v>23</v>
      </c>
      <c r="QK100" s="3">
        <f t="shared" si="6"/>
        <v>77.454545454545453</v>
      </c>
      <c r="QL100">
        <f t="shared" si="4"/>
        <v>0.39000000000000057</v>
      </c>
      <c r="QN100" t="s">
        <v>179</v>
      </c>
    </row>
    <row r="101" spans="1:456">
      <c r="A101" t="s">
        <v>250</v>
      </c>
      <c r="B101">
        <v>-7.3999999999999996E-2</v>
      </c>
      <c r="C101">
        <v>0.26500000000000001</v>
      </c>
      <c r="D101">
        <v>-0.58499999999999996</v>
      </c>
      <c r="E101">
        <v>-0.253</v>
      </c>
      <c r="F101">
        <v>-0.08</v>
      </c>
      <c r="G101">
        <v>0.104</v>
      </c>
      <c r="H101">
        <v>0.44700000000000001</v>
      </c>
      <c r="I101">
        <v>1.0189999999999999</v>
      </c>
      <c r="J101">
        <v>130</v>
      </c>
      <c r="O101" t="s">
        <v>250</v>
      </c>
      <c r="P101">
        <v>0.22</v>
      </c>
      <c r="Q101">
        <v>0.32800000000000001</v>
      </c>
      <c r="R101">
        <v>-0.35599999999999998</v>
      </c>
      <c r="S101">
        <v>-8.9999999999999993E-3</v>
      </c>
      <c r="T101">
        <v>0.19500000000000001</v>
      </c>
      <c r="U101">
        <v>0.42099999999999999</v>
      </c>
      <c r="V101">
        <v>0.95799999999999996</v>
      </c>
      <c r="W101">
        <v>1.018</v>
      </c>
      <c r="X101">
        <v>150</v>
      </c>
      <c r="AC101" t="s">
        <v>250</v>
      </c>
      <c r="AD101">
        <v>-0.16800000000000001</v>
      </c>
      <c r="AE101">
        <v>0.20100000000000001</v>
      </c>
      <c r="AF101">
        <v>-0.55700000000000005</v>
      </c>
      <c r="AG101">
        <v>-0.30299999999999999</v>
      </c>
      <c r="AH101">
        <v>-0.17199999999999999</v>
      </c>
      <c r="AI101">
        <v>-3.5999999999999997E-2</v>
      </c>
      <c r="AJ101">
        <v>0.23799999999999999</v>
      </c>
      <c r="AK101">
        <v>1.0009999999999999</v>
      </c>
      <c r="AL101">
        <v>2200</v>
      </c>
      <c r="AQ101" t="s">
        <v>250</v>
      </c>
      <c r="AR101">
        <v>-0.185</v>
      </c>
      <c r="AS101">
        <v>0.19700000000000001</v>
      </c>
      <c r="AT101">
        <v>-0.56399999999999995</v>
      </c>
      <c r="AU101">
        <v>-0.32</v>
      </c>
      <c r="AV101">
        <v>-0.184</v>
      </c>
      <c r="AW101">
        <v>-5.7000000000000002E-2</v>
      </c>
      <c r="AX101">
        <v>0.21</v>
      </c>
      <c r="AY101">
        <v>1.004</v>
      </c>
      <c r="AZ101">
        <v>540</v>
      </c>
      <c r="BE101" t="s">
        <v>250</v>
      </c>
      <c r="BF101">
        <v>-0.65200000000000002</v>
      </c>
      <c r="BG101">
        <v>0.15</v>
      </c>
      <c r="BH101">
        <v>-0.97899999999999998</v>
      </c>
      <c r="BI101">
        <v>-0.74199999999999999</v>
      </c>
      <c r="BJ101">
        <v>-0.64500000000000002</v>
      </c>
      <c r="BK101">
        <v>-0.55100000000000005</v>
      </c>
      <c r="BL101">
        <v>-0.371</v>
      </c>
      <c r="BM101">
        <v>1.0029999999999999</v>
      </c>
      <c r="BN101">
        <v>1300</v>
      </c>
      <c r="BS101" t="s">
        <v>250</v>
      </c>
      <c r="BT101">
        <v>-0.20399999999999999</v>
      </c>
      <c r="BU101">
        <v>0.17399999999999999</v>
      </c>
      <c r="BV101">
        <v>-0.56100000000000005</v>
      </c>
      <c r="BW101">
        <v>-0.317</v>
      </c>
      <c r="BX101">
        <v>-0.20300000000000001</v>
      </c>
      <c r="BY101">
        <v>-8.6999999999999994E-2</v>
      </c>
      <c r="BZ101">
        <v>0.13400000000000001</v>
      </c>
      <c r="CA101">
        <v>1.004</v>
      </c>
      <c r="CB101">
        <v>740</v>
      </c>
      <c r="CG101" t="s">
        <v>250</v>
      </c>
      <c r="CH101">
        <v>-0.65600000000000003</v>
      </c>
      <c r="CI101">
        <v>0.155</v>
      </c>
      <c r="CJ101">
        <v>-0.96099999999999997</v>
      </c>
      <c r="CK101">
        <v>-0.76100000000000001</v>
      </c>
      <c r="CL101">
        <v>-0.64900000000000002</v>
      </c>
      <c r="CM101">
        <v>-0.54400000000000004</v>
      </c>
      <c r="CN101">
        <v>-0.377</v>
      </c>
      <c r="CO101">
        <v>1.024</v>
      </c>
      <c r="CP101">
        <v>88</v>
      </c>
      <c r="CU101" t="s">
        <v>250</v>
      </c>
      <c r="CV101">
        <v>-0.51700000000000002</v>
      </c>
      <c r="CW101">
        <v>0.23100000000000001</v>
      </c>
      <c r="CX101">
        <v>-1.026</v>
      </c>
      <c r="CY101">
        <v>-0.65400000000000003</v>
      </c>
      <c r="CZ101">
        <v>-0.499</v>
      </c>
      <c r="DA101">
        <v>-0.36599999999999999</v>
      </c>
      <c r="DB101">
        <v>-0.11</v>
      </c>
      <c r="DC101">
        <v>1.0029999999999999</v>
      </c>
      <c r="DD101">
        <v>830</v>
      </c>
      <c r="DI101" t="s">
        <v>250</v>
      </c>
      <c r="DJ101">
        <v>-0.154</v>
      </c>
      <c r="DK101">
        <v>0.20399999999999999</v>
      </c>
      <c r="DL101">
        <v>-0.55000000000000004</v>
      </c>
      <c r="DM101">
        <v>-0.29399999999999998</v>
      </c>
      <c r="DN101">
        <v>-0.156</v>
      </c>
      <c r="DO101">
        <v>-1.7999999999999999E-2</v>
      </c>
      <c r="DP101">
        <v>0.254</v>
      </c>
      <c r="DQ101">
        <v>1.008</v>
      </c>
      <c r="DR101">
        <v>280</v>
      </c>
      <c r="DY101" t="s">
        <v>250</v>
      </c>
      <c r="DZ101">
        <v>-0.16200000000000001</v>
      </c>
      <c r="EA101">
        <v>0.20200000000000001</v>
      </c>
      <c r="EB101">
        <v>-0.56200000000000006</v>
      </c>
      <c r="EC101">
        <v>-0.29499999999999998</v>
      </c>
      <c r="ED101">
        <v>-0.158</v>
      </c>
      <c r="EE101">
        <v>-3.3000000000000002E-2</v>
      </c>
      <c r="EF101">
        <v>0.23899999999999999</v>
      </c>
      <c r="EG101">
        <v>1.002</v>
      </c>
      <c r="EH101">
        <v>1000</v>
      </c>
      <c r="EK101" t="s">
        <v>250</v>
      </c>
      <c r="EL101">
        <v>-0.318</v>
      </c>
      <c r="EM101">
        <v>0.17499999999999999</v>
      </c>
      <c r="EN101">
        <v>-0.68</v>
      </c>
      <c r="EO101">
        <v>-0.434</v>
      </c>
      <c r="EP101">
        <v>-0.315</v>
      </c>
      <c r="EQ101">
        <v>-0.20300000000000001</v>
      </c>
      <c r="ER101">
        <v>2.4E-2</v>
      </c>
      <c r="ES101">
        <v>1.01</v>
      </c>
      <c r="ET101">
        <v>240</v>
      </c>
      <c r="EY101" t="s">
        <v>250</v>
      </c>
      <c r="EZ101">
        <v>-0.23499999999999999</v>
      </c>
      <c r="FA101">
        <v>0.19900000000000001</v>
      </c>
      <c r="FB101">
        <v>-0.64</v>
      </c>
      <c r="FC101">
        <v>-0.36299999999999999</v>
      </c>
      <c r="FD101">
        <v>-0.23100000000000001</v>
      </c>
      <c r="FE101">
        <v>-0.104</v>
      </c>
      <c r="FF101">
        <v>0.14399999999999999</v>
      </c>
      <c r="FG101">
        <v>1.006</v>
      </c>
      <c r="FH101">
        <v>340</v>
      </c>
      <c r="GA101" t="s">
        <v>250</v>
      </c>
      <c r="GB101">
        <v>-6.2E-2</v>
      </c>
      <c r="GC101">
        <v>10.026</v>
      </c>
      <c r="GD101">
        <v>-19.547999999999998</v>
      </c>
      <c r="GE101">
        <v>-6.83</v>
      </c>
      <c r="GF101">
        <v>-0.246</v>
      </c>
      <c r="GG101">
        <v>6.6130000000000004</v>
      </c>
      <c r="GH101">
        <v>19.666</v>
      </c>
      <c r="GI101">
        <v>1.0009999999999999</v>
      </c>
      <c r="GJ101">
        <v>2700</v>
      </c>
      <c r="GO101" t="s">
        <v>250</v>
      </c>
      <c r="GP101">
        <v>-0.20399999999999999</v>
      </c>
      <c r="GQ101">
        <v>0.19900000000000001</v>
      </c>
      <c r="GR101">
        <v>-0.60399999999999998</v>
      </c>
      <c r="GS101">
        <v>-0.33100000000000002</v>
      </c>
      <c r="GT101">
        <v>-0.20100000000000001</v>
      </c>
      <c r="GU101">
        <v>-7.0000000000000007E-2</v>
      </c>
      <c r="GV101">
        <v>0.18099999999999999</v>
      </c>
      <c r="GW101">
        <v>1.0009999999999999</v>
      </c>
      <c r="GX101">
        <v>3000</v>
      </c>
      <c r="HC101" t="s">
        <v>250</v>
      </c>
      <c r="HD101">
        <v>-0.19900000000000001</v>
      </c>
      <c r="HE101">
        <v>0.20100000000000001</v>
      </c>
      <c r="HF101">
        <v>-0.59799999999999998</v>
      </c>
      <c r="HG101">
        <v>-0.33</v>
      </c>
      <c r="HH101">
        <v>-0.20200000000000001</v>
      </c>
      <c r="HI101">
        <v>-0.06</v>
      </c>
      <c r="HJ101">
        <v>0.17899999999999999</v>
      </c>
      <c r="HK101">
        <v>1.008</v>
      </c>
      <c r="HL101">
        <v>280</v>
      </c>
      <c r="HP101" s="7"/>
      <c r="HQ101" s="7" t="s">
        <v>250</v>
      </c>
      <c r="HR101" s="7">
        <v>-0.14499999999999999</v>
      </c>
      <c r="HS101" s="7">
        <v>8.6999999999999994E-2</v>
      </c>
      <c r="HT101" s="7">
        <v>-0.318</v>
      </c>
      <c r="HU101" s="7">
        <v>-0.2</v>
      </c>
      <c r="HV101" s="7">
        <v>-0.14499999999999999</v>
      </c>
      <c r="HW101" s="7">
        <v>-0.09</v>
      </c>
      <c r="HX101" s="7">
        <v>2.8000000000000001E-2</v>
      </c>
      <c r="HY101" s="7">
        <v>1.0009999999999999</v>
      </c>
      <c r="HZ101" s="7">
        <v>3000</v>
      </c>
      <c r="IA101" s="7"/>
      <c r="IE101" s="4" t="s">
        <v>250</v>
      </c>
      <c r="IF101" s="4">
        <v>-9.5000000000000001E-2</v>
      </c>
      <c r="IG101">
        <v>4.7E-2</v>
      </c>
      <c r="IH101">
        <v>-0.189</v>
      </c>
      <c r="II101">
        <v>-0.127</v>
      </c>
      <c r="IJ101">
        <v>-9.4E-2</v>
      </c>
      <c r="IK101">
        <v>-6.4000000000000001E-2</v>
      </c>
      <c r="IL101">
        <v>-3.0000000000000001E-3</v>
      </c>
      <c r="IM101">
        <v>1.006</v>
      </c>
      <c r="IN101">
        <v>370</v>
      </c>
      <c r="IS101" t="s">
        <v>187</v>
      </c>
      <c r="IT101">
        <v>5.6660000000000004</v>
      </c>
      <c r="IU101">
        <v>0.60499999999999998</v>
      </c>
      <c r="IV101">
        <v>4.5179999999999998</v>
      </c>
      <c r="IW101">
        <v>5.2309999999999999</v>
      </c>
      <c r="IX101">
        <v>5.66</v>
      </c>
      <c r="IY101">
        <v>6.0759999999999996</v>
      </c>
      <c r="IZ101">
        <v>6.8630000000000004</v>
      </c>
      <c r="JA101">
        <v>1.04</v>
      </c>
      <c r="JB101">
        <v>56</v>
      </c>
      <c r="JF101" t="s">
        <v>187</v>
      </c>
      <c r="JG101">
        <v>5.8470000000000004</v>
      </c>
      <c r="JH101">
        <v>0.56200000000000006</v>
      </c>
      <c r="JI101">
        <v>4.782</v>
      </c>
      <c r="JJ101">
        <v>5.4550000000000001</v>
      </c>
      <c r="JK101">
        <v>5.8179999999999996</v>
      </c>
      <c r="JL101">
        <v>6.2329999999999997</v>
      </c>
      <c r="JM101">
        <v>7.01</v>
      </c>
      <c r="JN101">
        <v>1.004</v>
      </c>
      <c r="JO101">
        <v>570</v>
      </c>
      <c r="JT101" t="s">
        <v>187</v>
      </c>
      <c r="JU101">
        <v>5.859</v>
      </c>
      <c r="JV101">
        <v>0.56599999999999995</v>
      </c>
      <c r="JW101">
        <v>4.7770000000000001</v>
      </c>
      <c r="JX101">
        <v>5.476</v>
      </c>
      <c r="JY101">
        <v>5.8460000000000001</v>
      </c>
      <c r="JZ101">
        <v>6.2309999999999999</v>
      </c>
      <c r="KA101">
        <v>7.01</v>
      </c>
      <c r="KB101">
        <v>1.002</v>
      </c>
      <c r="KC101">
        <v>1000</v>
      </c>
      <c r="KH101" t="s">
        <v>187</v>
      </c>
      <c r="KI101">
        <v>5.8559999999999999</v>
      </c>
      <c r="KJ101">
        <v>0.55900000000000005</v>
      </c>
      <c r="KK101">
        <v>4.7930000000000001</v>
      </c>
      <c r="KL101">
        <v>5.4729999999999999</v>
      </c>
      <c r="KM101">
        <v>5.8490000000000002</v>
      </c>
      <c r="KN101">
        <v>6.2439999999999998</v>
      </c>
      <c r="KO101">
        <v>6.9589999999999996</v>
      </c>
      <c r="KP101">
        <v>1.002</v>
      </c>
      <c r="KQ101">
        <v>1200</v>
      </c>
      <c r="KR101">
        <f>EXP(KI101)</f>
        <v>349.32404949966644</v>
      </c>
      <c r="KV101" t="s">
        <v>187</v>
      </c>
      <c r="KW101">
        <v>6.407</v>
      </c>
      <c r="KX101">
        <v>0.501</v>
      </c>
      <c r="KY101">
        <v>5.4240000000000004</v>
      </c>
      <c r="KZ101">
        <v>6.0469999999999997</v>
      </c>
      <c r="LA101">
        <v>6.415</v>
      </c>
      <c r="LB101">
        <v>6.79</v>
      </c>
      <c r="LC101">
        <v>7.2779999999999996</v>
      </c>
      <c r="LD101">
        <v>1.018</v>
      </c>
      <c r="LE101">
        <v>120</v>
      </c>
      <c r="LJ101" t="s">
        <v>143</v>
      </c>
      <c r="LK101">
        <v>1727.45</v>
      </c>
      <c r="LL101">
        <v>31.28</v>
      </c>
      <c r="LM101">
        <v>1668.7270000000001</v>
      </c>
      <c r="LN101">
        <v>1706.4190000000001</v>
      </c>
      <c r="LO101">
        <v>1726.385</v>
      </c>
      <c r="LP101">
        <v>1747.1130000000001</v>
      </c>
      <c r="LQ101">
        <v>1790.5129999999999</v>
      </c>
      <c r="LR101">
        <v>1.002</v>
      </c>
      <c r="LS101">
        <v>1200</v>
      </c>
      <c r="LX101" t="s">
        <v>143</v>
      </c>
      <c r="LY101">
        <v>1868.3219999999999</v>
      </c>
      <c r="LZ101">
        <v>37.448</v>
      </c>
      <c r="MA101">
        <v>1796.9169999999999</v>
      </c>
      <c r="MB101">
        <v>1842.9390000000001</v>
      </c>
      <c r="MC101">
        <v>1866.271</v>
      </c>
      <c r="MD101">
        <v>1892.6559999999999</v>
      </c>
      <c r="ME101">
        <v>1945.549</v>
      </c>
      <c r="MF101">
        <v>1.0009999999999999</v>
      </c>
      <c r="MG101">
        <v>3000</v>
      </c>
      <c r="ML101" t="s">
        <v>187</v>
      </c>
      <c r="MM101">
        <v>5.2389999999999999</v>
      </c>
      <c r="MN101">
        <v>1.0169999999999999</v>
      </c>
      <c r="MO101">
        <v>3.0259999999999998</v>
      </c>
      <c r="MP101">
        <v>4.5919999999999996</v>
      </c>
      <c r="MQ101">
        <v>5.3040000000000003</v>
      </c>
      <c r="MR101">
        <v>5.9580000000000002</v>
      </c>
      <c r="MS101">
        <v>7.0380000000000003</v>
      </c>
      <c r="MT101">
        <v>1.0149999999999999</v>
      </c>
      <c r="MU101">
        <v>330</v>
      </c>
      <c r="MZ101" t="s">
        <v>187</v>
      </c>
      <c r="NA101">
        <v>5.1740000000000004</v>
      </c>
      <c r="NB101">
        <v>0.81499999999999995</v>
      </c>
      <c r="NC101">
        <v>3.6389999999999998</v>
      </c>
      <c r="ND101">
        <v>4.5510000000000002</v>
      </c>
      <c r="NE101">
        <v>5.133</v>
      </c>
      <c r="NF101">
        <v>5.8029999999999999</v>
      </c>
      <c r="NG101">
        <v>6.7140000000000004</v>
      </c>
      <c r="NH101">
        <v>1.629</v>
      </c>
      <c r="NI101">
        <v>7</v>
      </c>
      <c r="NM101" t="s">
        <v>187</v>
      </c>
      <c r="NN101">
        <v>4.742</v>
      </c>
      <c r="NO101">
        <v>0.96299999999999997</v>
      </c>
      <c r="NP101">
        <v>2.7090000000000001</v>
      </c>
      <c r="NQ101">
        <v>4.1120000000000001</v>
      </c>
      <c r="NR101">
        <v>4.7629999999999999</v>
      </c>
      <c r="NS101">
        <v>5.4349999999999996</v>
      </c>
      <c r="NT101">
        <v>6.4880000000000004</v>
      </c>
      <c r="NU101">
        <v>1.028</v>
      </c>
      <c r="NV101">
        <v>180</v>
      </c>
      <c r="NY101" t="s">
        <v>187</v>
      </c>
      <c r="NZ101">
        <v>5.319</v>
      </c>
      <c r="OA101">
        <v>1.0580000000000001</v>
      </c>
      <c r="OB101">
        <v>3.2269999999999999</v>
      </c>
      <c r="OC101">
        <v>4.6050000000000004</v>
      </c>
      <c r="OD101">
        <v>5.32</v>
      </c>
      <c r="OE101">
        <v>6.085</v>
      </c>
      <c r="OF101">
        <v>7.2080000000000002</v>
      </c>
      <c r="OG101">
        <v>1.036</v>
      </c>
      <c r="OH101">
        <v>310</v>
      </c>
      <c r="OP101" t="s">
        <v>187</v>
      </c>
      <c r="OQ101">
        <v>5.8810000000000002</v>
      </c>
      <c r="OR101">
        <v>0.91500000000000004</v>
      </c>
      <c r="OS101">
        <v>3.7210000000000001</v>
      </c>
      <c r="OT101">
        <v>5.2910000000000004</v>
      </c>
      <c r="OU101">
        <v>6.0449999999999999</v>
      </c>
      <c r="OV101">
        <v>6.5910000000000002</v>
      </c>
      <c r="OW101">
        <v>7.22</v>
      </c>
      <c r="OX101">
        <v>1.1399999999999999</v>
      </c>
      <c r="OY101">
        <v>24</v>
      </c>
      <c r="PB101" t="s">
        <v>187</v>
      </c>
      <c r="PC101">
        <v>3.6040000000000001</v>
      </c>
      <c r="PD101">
        <v>0.88400000000000001</v>
      </c>
      <c r="PE101">
        <v>1.706</v>
      </c>
      <c r="PF101">
        <v>3.0569999999999999</v>
      </c>
      <c r="PG101">
        <v>3.681</v>
      </c>
      <c r="PH101">
        <v>4.2489999999999997</v>
      </c>
      <c r="PI101">
        <v>5.109</v>
      </c>
      <c r="PJ101">
        <v>1.093</v>
      </c>
      <c r="PK101">
        <v>32</v>
      </c>
      <c r="PN101" t="s">
        <v>121</v>
      </c>
      <c r="PO101">
        <v>4.0069999999999997</v>
      </c>
      <c r="PP101">
        <v>0.749</v>
      </c>
      <c r="PQ101">
        <v>2.4769999999999999</v>
      </c>
      <c r="PR101">
        <v>3.5129999999999999</v>
      </c>
      <c r="PS101">
        <v>4.0629999999999997</v>
      </c>
      <c r="PT101">
        <v>4.5270000000000001</v>
      </c>
      <c r="PU101">
        <v>5.3780000000000001</v>
      </c>
      <c r="PV101">
        <v>1.056</v>
      </c>
      <c r="PW101">
        <v>45</v>
      </c>
      <c r="PX101" s="3">
        <f t="shared" si="5"/>
        <v>5.3497997329773028</v>
      </c>
      <c r="QA101" t="s">
        <v>121</v>
      </c>
      <c r="QB101">
        <v>0.78900000000000003</v>
      </c>
      <c r="QC101">
        <v>0.46800000000000003</v>
      </c>
      <c r="QD101">
        <v>5.3999999999999999E-2</v>
      </c>
      <c r="QE101">
        <v>0.40400000000000003</v>
      </c>
      <c r="QF101">
        <v>0.75700000000000001</v>
      </c>
      <c r="QG101">
        <v>1.1100000000000001</v>
      </c>
      <c r="QH101">
        <v>1.7969999999999999</v>
      </c>
      <c r="QI101">
        <v>1.0720000000000001</v>
      </c>
      <c r="QJ101">
        <v>44</v>
      </c>
      <c r="QK101" s="3">
        <f t="shared" si="6"/>
        <v>1.6858974358974359</v>
      </c>
      <c r="QL101">
        <f t="shared" si="4"/>
        <v>3.2179999999999995</v>
      </c>
      <c r="QN101" t="s">
        <v>180</v>
      </c>
    </row>
    <row r="102" spans="1:456">
      <c r="A102" t="s">
        <v>251</v>
      </c>
      <c r="B102">
        <v>0.34499999999999997</v>
      </c>
      <c r="C102">
        <v>0.35099999999999998</v>
      </c>
      <c r="D102">
        <v>-0.30099999999999999</v>
      </c>
      <c r="E102">
        <v>0.106</v>
      </c>
      <c r="F102">
        <v>0.33300000000000002</v>
      </c>
      <c r="G102">
        <v>0.55900000000000005</v>
      </c>
      <c r="H102">
        <v>1.0860000000000001</v>
      </c>
      <c r="I102">
        <v>1.0149999999999999</v>
      </c>
      <c r="J102">
        <v>150</v>
      </c>
      <c r="O102" t="s">
        <v>251</v>
      </c>
      <c r="P102">
        <v>0.19600000000000001</v>
      </c>
      <c r="Q102">
        <v>0.42599999999999999</v>
      </c>
      <c r="R102">
        <v>-0.58199999999999996</v>
      </c>
      <c r="S102">
        <v>-0.104</v>
      </c>
      <c r="T102">
        <v>0.16500000000000001</v>
      </c>
      <c r="U102">
        <v>0.48299999999999998</v>
      </c>
      <c r="V102">
        <v>1.073</v>
      </c>
      <c r="W102">
        <v>1.1850000000000001</v>
      </c>
      <c r="X102">
        <v>15</v>
      </c>
      <c r="AC102" t="s">
        <v>251</v>
      </c>
      <c r="AD102">
        <v>0.437</v>
      </c>
      <c r="AE102">
        <v>0.42599999999999999</v>
      </c>
      <c r="AF102">
        <v>-0.28699999999999998</v>
      </c>
      <c r="AG102">
        <v>0.125</v>
      </c>
      <c r="AH102">
        <v>0.40400000000000003</v>
      </c>
      <c r="AI102">
        <v>0.70399999999999996</v>
      </c>
      <c r="AJ102">
        <v>1.377</v>
      </c>
      <c r="AK102">
        <v>1.026</v>
      </c>
      <c r="AL102">
        <v>86</v>
      </c>
      <c r="AQ102" t="s">
        <v>251</v>
      </c>
      <c r="AR102">
        <v>0.55700000000000005</v>
      </c>
      <c r="AS102">
        <v>0.44900000000000001</v>
      </c>
      <c r="AT102">
        <v>-0.22800000000000001</v>
      </c>
      <c r="AU102">
        <v>0.22900000000000001</v>
      </c>
      <c r="AV102">
        <v>0.51600000000000001</v>
      </c>
      <c r="AW102">
        <v>0.84299999999999997</v>
      </c>
      <c r="AX102">
        <v>1.504</v>
      </c>
      <c r="AY102">
        <v>1.07</v>
      </c>
      <c r="AZ102">
        <v>38</v>
      </c>
      <c r="BE102" t="s">
        <v>251</v>
      </c>
      <c r="BF102">
        <v>-0.154</v>
      </c>
      <c r="BG102">
        <v>0.16900000000000001</v>
      </c>
      <c r="BH102">
        <v>-0.48299999999999998</v>
      </c>
      <c r="BI102">
        <v>-0.26800000000000002</v>
      </c>
      <c r="BJ102">
        <v>-0.154</v>
      </c>
      <c r="BK102">
        <v>-4.2000000000000003E-2</v>
      </c>
      <c r="BL102">
        <v>0.19600000000000001</v>
      </c>
      <c r="BM102">
        <v>1.006</v>
      </c>
      <c r="BN102">
        <v>1300</v>
      </c>
      <c r="BS102" t="s">
        <v>251</v>
      </c>
      <c r="BT102">
        <v>0.58799999999999997</v>
      </c>
      <c r="BU102">
        <v>0.40799999999999997</v>
      </c>
      <c r="BV102">
        <v>-0.14399999999999999</v>
      </c>
      <c r="BW102">
        <v>0.29199999999999998</v>
      </c>
      <c r="BX102">
        <v>0.56399999999999995</v>
      </c>
      <c r="BY102">
        <v>0.88</v>
      </c>
      <c r="BZ102">
        <v>1.4179999999999999</v>
      </c>
      <c r="CA102">
        <v>1.0449999999999999</v>
      </c>
      <c r="CB102">
        <v>85</v>
      </c>
      <c r="CG102" t="s">
        <v>251</v>
      </c>
      <c r="CH102">
        <v>-0.19800000000000001</v>
      </c>
      <c r="CI102">
        <v>0.17100000000000001</v>
      </c>
      <c r="CJ102">
        <v>-0.53200000000000003</v>
      </c>
      <c r="CK102">
        <v>-0.314</v>
      </c>
      <c r="CL102">
        <v>-0.19500000000000001</v>
      </c>
      <c r="CM102">
        <v>-8.4000000000000005E-2</v>
      </c>
      <c r="CN102">
        <v>0.14099999999999999</v>
      </c>
      <c r="CO102">
        <v>1.0169999999999999</v>
      </c>
      <c r="CP102">
        <v>130</v>
      </c>
      <c r="CU102" t="s">
        <v>251</v>
      </c>
      <c r="CV102">
        <v>-0.14499999999999999</v>
      </c>
      <c r="CW102">
        <v>0.28599999999999998</v>
      </c>
      <c r="CX102">
        <v>-0.71</v>
      </c>
      <c r="CY102">
        <v>-0.33700000000000002</v>
      </c>
      <c r="CZ102">
        <v>-0.14599999999999999</v>
      </c>
      <c r="DA102">
        <v>5.2999999999999999E-2</v>
      </c>
      <c r="DB102">
        <v>0.38100000000000001</v>
      </c>
      <c r="DC102">
        <v>1.01</v>
      </c>
      <c r="DD102">
        <v>270</v>
      </c>
      <c r="DI102" t="s">
        <v>251</v>
      </c>
      <c r="DJ102">
        <v>0.38800000000000001</v>
      </c>
      <c r="DK102">
        <v>0.39900000000000002</v>
      </c>
      <c r="DL102">
        <v>-0.29799999999999999</v>
      </c>
      <c r="DM102">
        <v>9.8000000000000004E-2</v>
      </c>
      <c r="DN102">
        <v>0.35399999999999998</v>
      </c>
      <c r="DO102">
        <v>0.64900000000000002</v>
      </c>
      <c r="DP102">
        <v>1.2649999999999999</v>
      </c>
      <c r="DQ102">
        <v>1.01</v>
      </c>
      <c r="DR102">
        <v>240</v>
      </c>
      <c r="DY102" t="s">
        <v>251</v>
      </c>
      <c r="DZ102">
        <v>0.16700000000000001</v>
      </c>
      <c r="EA102">
        <v>0.36099999999999999</v>
      </c>
      <c r="EB102">
        <v>-0.42899999999999999</v>
      </c>
      <c r="EC102">
        <v>-8.4000000000000005E-2</v>
      </c>
      <c r="ED102">
        <v>0.122</v>
      </c>
      <c r="EE102">
        <v>0.38600000000000001</v>
      </c>
      <c r="EF102">
        <v>0.97599999999999998</v>
      </c>
      <c r="EG102">
        <v>1.0549999999999999</v>
      </c>
      <c r="EH102">
        <v>46</v>
      </c>
      <c r="EK102" t="s">
        <v>251</v>
      </c>
      <c r="EL102">
        <v>-0.41299999999999998</v>
      </c>
      <c r="EM102">
        <v>0.28199999999999997</v>
      </c>
      <c r="EN102">
        <v>-0.96399999999999997</v>
      </c>
      <c r="EO102">
        <v>-0.60299999999999998</v>
      </c>
      <c r="EP102">
        <v>-0.41099999999999998</v>
      </c>
      <c r="EQ102">
        <v>-0.219</v>
      </c>
      <c r="ER102">
        <v>0.13500000000000001</v>
      </c>
      <c r="ES102">
        <v>1.0029999999999999</v>
      </c>
      <c r="ET102">
        <v>1500</v>
      </c>
      <c r="EY102" t="s">
        <v>251</v>
      </c>
      <c r="EZ102">
        <v>0.29599999999999999</v>
      </c>
      <c r="FA102">
        <v>0.3</v>
      </c>
      <c r="FB102">
        <v>-0.29899999999999999</v>
      </c>
      <c r="FC102">
        <v>8.7999999999999995E-2</v>
      </c>
      <c r="FD102">
        <v>0.29399999999999998</v>
      </c>
      <c r="FE102">
        <v>0.499</v>
      </c>
      <c r="FF102">
        <v>0.874</v>
      </c>
      <c r="FG102">
        <v>1.016</v>
      </c>
      <c r="FH102">
        <v>130</v>
      </c>
      <c r="GA102" t="s">
        <v>251</v>
      </c>
      <c r="GB102">
        <v>-2.1999999999999999E-2</v>
      </c>
      <c r="GC102">
        <v>9.8729999999999993</v>
      </c>
      <c r="GD102">
        <v>-19.219000000000001</v>
      </c>
      <c r="GE102">
        <v>-6.681</v>
      </c>
      <c r="GF102">
        <v>-8.1000000000000003E-2</v>
      </c>
      <c r="GG102">
        <v>6.6219999999999999</v>
      </c>
      <c r="GH102">
        <v>19.103000000000002</v>
      </c>
      <c r="GI102">
        <v>1.002</v>
      </c>
      <c r="GJ102">
        <v>1900</v>
      </c>
      <c r="GO102" t="s">
        <v>251</v>
      </c>
      <c r="GP102">
        <v>0.35699999999999998</v>
      </c>
      <c r="GQ102">
        <v>0.30599999999999999</v>
      </c>
      <c r="GR102">
        <v>-0.25</v>
      </c>
      <c r="GS102">
        <v>0.14599999999999999</v>
      </c>
      <c r="GT102">
        <v>0.35699999999999998</v>
      </c>
      <c r="GU102">
        <v>0.57199999999999995</v>
      </c>
      <c r="GV102">
        <v>0.93400000000000005</v>
      </c>
      <c r="GW102">
        <v>1.014</v>
      </c>
      <c r="GX102">
        <v>160</v>
      </c>
      <c r="HC102" t="s">
        <v>251</v>
      </c>
      <c r="HD102">
        <v>0.40899999999999997</v>
      </c>
      <c r="HE102">
        <v>0.28699999999999998</v>
      </c>
      <c r="HF102">
        <v>-0.182</v>
      </c>
      <c r="HG102">
        <v>0.219</v>
      </c>
      <c r="HH102">
        <v>0.42099999999999999</v>
      </c>
      <c r="HI102">
        <v>0.60799999999999998</v>
      </c>
      <c r="HJ102">
        <v>0.93200000000000005</v>
      </c>
      <c r="HK102">
        <v>1.0189999999999999</v>
      </c>
      <c r="HL102">
        <v>120</v>
      </c>
      <c r="HP102" s="7"/>
      <c r="HQ102" s="7" t="s">
        <v>251</v>
      </c>
      <c r="HR102" s="7">
        <v>3.7999999999999999E-2</v>
      </c>
      <c r="HS102" s="7">
        <v>0.155</v>
      </c>
      <c r="HT102" s="7">
        <v>-0.24299999999999999</v>
      </c>
      <c r="HU102" s="7">
        <v>-6.9000000000000006E-2</v>
      </c>
      <c r="HV102" s="7">
        <v>2.5999999999999999E-2</v>
      </c>
      <c r="HW102" s="7">
        <v>0.13600000000000001</v>
      </c>
      <c r="HX102" s="7">
        <v>0.37</v>
      </c>
      <c r="HY102" s="7">
        <v>1.004</v>
      </c>
      <c r="HZ102" s="7">
        <v>620</v>
      </c>
      <c r="IA102" s="7"/>
      <c r="IE102" s="4" t="s">
        <v>251</v>
      </c>
      <c r="IF102" s="4">
        <v>-0.13600000000000001</v>
      </c>
      <c r="IG102">
        <v>0.05</v>
      </c>
      <c r="IH102">
        <v>-0.24099999999999999</v>
      </c>
      <c r="II102">
        <v>-0.16800000000000001</v>
      </c>
      <c r="IJ102">
        <v>-0.13300000000000001</v>
      </c>
      <c r="IK102">
        <v>-0.10199999999999999</v>
      </c>
      <c r="IL102">
        <v>-4.1000000000000002E-2</v>
      </c>
      <c r="IM102">
        <v>1.0049999999999999</v>
      </c>
      <c r="IN102">
        <v>490</v>
      </c>
      <c r="IS102" t="s">
        <v>188</v>
      </c>
      <c r="IT102">
        <v>5.8159999999999998</v>
      </c>
      <c r="IU102">
        <v>0.54100000000000004</v>
      </c>
      <c r="IV102">
        <v>4.5359999999999996</v>
      </c>
      <c r="IW102">
        <v>5.5220000000000002</v>
      </c>
      <c r="IX102">
        <v>5.8419999999999996</v>
      </c>
      <c r="IY102">
        <v>6.1630000000000003</v>
      </c>
      <c r="IZ102">
        <v>6.82</v>
      </c>
      <c r="JA102">
        <v>1.0269999999999999</v>
      </c>
      <c r="JB102">
        <v>95</v>
      </c>
      <c r="JF102" t="s">
        <v>188</v>
      </c>
      <c r="JG102">
        <v>6.0640000000000001</v>
      </c>
      <c r="JH102">
        <v>0.60299999999999998</v>
      </c>
      <c r="JI102">
        <v>4.7690000000000001</v>
      </c>
      <c r="JJ102">
        <v>5.681</v>
      </c>
      <c r="JK102">
        <v>6.0910000000000002</v>
      </c>
      <c r="JL102">
        <v>6.4809999999999999</v>
      </c>
      <c r="JM102">
        <v>7.19</v>
      </c>
      <c r="JN102">
        <v>1.004</v>
      </c>
      <c r="JO102">
        <v>540</v>
      </c>
      <c r="JT102" t="s">
        <v>188</v>
      </c>
      <c r="JU102">
        <v>6.032</v>
      </c>
      <c r="JV102">
        <v>0.61899999999999999</v>
      </c>
      <c r="JW102">
        <v>4.7450000000000001</v>
      </c>
      <c r="JX102">
        <v>5.6349999999999998</v>
      </c>
      <c r="JY102">
        <v>6.0510000000000002</v>
      </c>
      <c r="JZ102">
        <v>6.4649999999999999</v>
      </c>
      <c r="KA102">
        <v>7.1710000000000003</v>
      </c>
      <c r="KB102">
        <v>1.002</v>
      </c>
      <c r="KC102">
        <v>1200</v>
      </c>
      <c r="KH102" t="s">
        <v>188</v>
      </c>
      <c r="KI102">
        <v>6.2789999999999999</v>
      </c>
      <c r="KJ102">
        <v>0.59599999999999997</v>
      </c>
      <c r="KK102">
        <v>4.93</v>
      </c>
      <c r="KL102">
        <v>5.9020000000000001</v>
      </c>
      <c r="KM102">
        <v>6.327</v>
      </c>
      <c r="KN102">
        <v>6.72</v>
      </c>
      <c r="KO102">
        <v>7.2649999999999997</v>
      </c>
      <c r="KP102">
        <v>1.0109999999999999</v>
      </c>
      <c r="KQ102">
        <v>380</v>
      </c>
      <c r="KR102">
        <f>EXP(KI102)</f>
        <v>533.25514196712504</v>
      </c>
      <c r="KV102" t="s">
        <v>188</v>
      </c>
      <c r="KW102">
        <v>5.9880000000000004</v>
      </c>
      <c r="KX102">
        <v>0.63900000000000001</v>
      </c>
      <c r="KY102">
        <v>4.7610000000000001</v>
      </c>
      <c r="KZ102">
        <v>5.5259999999999998</v>
      </c>
      <c r="LA102">
        <v>6</v>
      </c>
      <c r="LB102">
        <v>6.4729999999999999</v>
      </c>
      <c r="LC102">
        <v>7.1619999999999999</v>
      </c>
      <c r="LD102">
        <v>1.083</v>
      </c>
      <c r="LE102">
        <v>29</v>
      </c>
      <c r="ML102" t="s">
        <v>188</v>
      </c>
      <c r="MM102">
        <v>5.7249999999999996</v>
      </c>
      <c r="MN102">
        <v>0.99199999999999999</v>
      </c>
      <c r="MO102">
        <v>3.5150000000000001</v>
      </c>
      <c r="MP102">
        <v>5.0949999999999998</v>
      </c>
      <c r="MQ102">
        <v>5.8410000000000002</v>
      </c>
      <c r="MR102">
        <v>6.484</v>
      </c>
      <c r="MS102">
        <v>7.2430000000000003</v>
      </c>
      <c r="MT102">
        <v>1.087</v>
      </c>
      <c r="MU102">
        <v>36</v>
      </c>
      <c r="MZ102" t="s">
        <v>188</v>
      </c>
      <c r="NA102">
        <v>5.8630000000000004</v>
      </c>
      <c r="NB102">
        <v>0.78200000000000003</v>
      </c>
      <c r="NC102">
        <v>4.2910000000000004</v>
      </c>
      <c r="ND102">
        <v>5.3109999999999999</v>
      </c>
      <c r="NE102">
        <v>5.8810000000000002</v>
      </c>
      <c r="NF102">
        <v>6.4630000000000001</v>
      </c>
      <c r="NG102">
        <v>7.1959999999999997</v>
      </c>
      <c r="NH102">
        <v>1.08</v>
      </c>
      <c r="NI102">
        <v>44</v>
      </c>
      <c r="NM102" t="s">
        <v>188</v>
      </c>
      <c r="NN102">
        <v>4.62</v>
      </c>
      <c r="NO102">
        <v>0.85599999999999998</v>
      </c>
      <c r="NP102">
        <v>2.726</v>
      </c>
      <c r="NQ102">
        <v>4.0519999999999996</v>
      </c>
      <c r="NR102">
        <v>4.6310000000000002</v>
      </c>
      <c r="NS102">
        <v>5.2729999999999997</v>
      </c>
      <c r="NT102">
        <v>6.1369999999999996</v>
      </c>
      <c r="NU102">
        <v>1.07</v>
      </c>
      <c r="NV102">
        <v>36</v>
      </c>
      <c r="NY102" t="s">
        <v>188</v>
      </c>
      <c r="NZ102">
        <v>4.9649999999999999</v>
      </c>
      <c r="OA102">
        <v>0.83799999999999997</v>
      </c>
      <c r="OB102">
        <v>2.839</v>
      </c>
      <c r="OC102">
        <v>4.4989999999999997</v>
      </c>
      <c r="OD102">
        <v>5.0940000000000003</v>
      </c>
      <c r="OE102">
        <v>5.58</v>
      </c>
      <c r="OF102">
        <v>6.1479999999999997</v>
      </c>
      <c r="OG102">
        <v>1.139</v>
      </c>
      <c r="OH102">
        <v>130</v>
      </c>
      <c r="OP102" t="s">
        <v>188</v>
      </c>
      <c r="OQ102">
        <v>4.7770000000000001</v>
      </c>
      <c r="OR102">
        <v>0.72699999999999998</v>
      </c>
      <c r="OS102">
        <v>3.234</v>
      </c>
      <c r="OT102">
        <v>4.3099999999999996</v>
      </c>
      <c r="OU102">
        <v>4.9020000000000001</v>
      </c>
      <c r="OV102">
        <v>5.2990000000000004</v>
      </c>
      <c r="OW102">
        <v>5.9409999999999998</v>
      </c>
      <c r="OX102">
        <v>1.097</v>
      </c>
      <c r="OY102">
        <v>33</v>
      </c>
      <c r="PB102" t="s">
        <v>188</v>
      </c>
      <c r="PC102">
        <v>3.7709999999999999</v>
      </c>
      <c r="PD102">
        <v>0.74199999999999999</v>
      </c>
      <c r="PE102">
        <v>2.1800000000000002</v>
      </c>
      <c r="PF102">
        <v>3.3159999999999998</v>
      </c>
      <c r="PG102">
        <v>3.8639999999999999</v>
      </c>
      <c r="PH102">
        <v>4.3120000000000003</v>
      </c>
      <c r="PI102">
        <v>5.0090000000000003</v>
      </c>
      <c r="PJ102">
        <v>1.006</v>
      </c>
      <c r="PK102">
        <v>340</v>
      </c>
      <c r="PN102" t="s">
        <v>122</v>
      </c>
      <c r="PO102">
        <v>3.581</v>
      </c>
      <c r="PP102">
        <v>0.86099999999999999</v>
      </c>
      <c r="PQ102">
        <v>1.627</v>
      </c>
      <c r="PR102">
        <v>3.069</v>
      </c>
      <c r="PS102">
        <v>3.665</v>
      </c>
      <c r="PT102">
        <v>4.2370000000000001</v>
      </c>
      <c r="PU102">
        <v>4.9000000000000004</v>
      </c>
      <c r="PV102">
        <v>1.054</v>
      </c>
      <c r="PW102">
        <v>63</v>
      </c>
      <c r="PX102" s="3">
        <f t="shared" si="5"/>
        <v>4.1591173054587687</v>
      </c>
      <c r="QK102" s="3" t="e">
        <f t="shared" si="6"/>
        <v>#DIV/0!</v>
      </c>
      <c r="QL102">
        <f t="shared" si="4"/>
        <v>3.581</v>
      </c>
      <c r="QN102" t="s">
        <v>181</v>
      </c>
    </row>
    <row r="103" spans="1:456">
      <c r="A103" t="s">
        <v>185</v>
      </c>
      <c r="B103">
        <v>6.7779999999999996</v>
      </c>
      <c r="C103">
        <v>0.878</v>
      </c>
      <c r="D103">
        <v>5.0140000000000002</v>
      </c>
      <c r="E103">
        <v>6.1790000000000003</v>
      </c>
      <c r="F103">
        <v>6.83</v>
      </c>
      <c r="G103">
        <v>7.3579999999999997</v>
      </c>
      <c r="H103">
        <v>8.32</v>
      </c>
      <c r="I103">
        <v>1.016</v>
      </c>
      <c r="J103">
        <v>370</v>
      </c>
      <c r="O103" t="s">
        <v>185</v>
      </c>
      <c r="P103">
        <v>5.109</v>
      </c>
      <c r="Q103">
        <v>1.083</v>
      </c>
      <c r="R103">
        <v>2.9089999999999998</v>
      </c>
      <c r="S103">
        <v>4.359</v>
      </c>
      <c r="T103">
        <v>5.1470000000000002</v>
      </c>
      <c r="U103">
        <v>5.8890000000000002</v>
      </c>
      <c r="V103">
        <v>7.0570000000000004</v>
      </c>
      <c r="W103">
        <v>1.016</v>
      </c>
      <c r="X103">
        <v>150</v>
      </c>
      <c r="AC103" t="s">
        <v>185</v>
      </c>
      <c r="AD103">
        <v>6.6929999999999996</v>
      </c>
      <c r="AE103">
        <v>0.40699999999999997</v>
      </c>
      <c r="AF103">
        <v>5.87</v>
      </c>
      <c r="AG103">
        <v>6.3970000000000002</v>
      </c>
      <c r="AH103">
        <v>6.7160000000000002</v>
      </c>
      <c r="AI103">
        <v>7.0250000000000004</v>
      </c>
      <c r="AJ103">
        <v>7.335</v>
      </c>
      <c r="AK103">
        <v>1.0009999999999999</v>
      </c>
      <c r="AL103">
        <v>3000</v>
      </c>
      <c r="AQ103" t="s">
        <v>185</v>
      </c>
      <c r="AR103">
        <v>6.7510000000000003</v>
      </c>
      <c r="AS103">
        <v>0.38100000000000001</v>
      </c>
      <c r="AT103">
        <v>5.9669999999999996</v>
      </c>
      <c r="AU103">
        <v>6.4859999999999998</v>
      </c>
      <c r="AV103">
        <v>6.7759999999999998</v>
      </c>
      <c r="AW103">
        <v>7.0570000000000004</v>
      </c>
      <c r="AX103">
        <v>7.3419999999999996</v>
      </c>
      <c r="AY103">
        <v>1.002</v>
      </c>
      <c r="AZ103">
        <v>1000</v>
      </c>
      <c r="BE103" t="s">
        <v>185</v>
      </c>
      <c r="BF103">
        <v>6.5750000000000002</v>
      </c>
      <c r="BG103">
        <v>0.40899999999999997</v>
      </c>
      <c r="BH103">
        <v>5.7519999999999998</v>
      </c>
      <c r="BI103">
        <v>6.29</v>
      </c>
      <c r="BJ103">
        <v>6.5789999999999997</v>
      </c>
      <c r="BK103">
        <v>6.875</v>
      </c>
      <c r="BL103">
        <v>7.3120000000000003</v>
      </c>
      <c r="BM103">
        <v>1.0029999999999999</v>
      </c>
      <c r="BN103">
        <v>680</v>
      </c>
      <c r="BS103" t="s">
        <v>185</v>
      </c>
      <c r="BT103">
        <v>6.665</v>
      </c>
      <c r="BU103">
        <v>0.41799999999999998</v>
      </c>
      <c r="BV103">
        <v>5.7679999999999998</v>
      </c>
      <c r="BW103">
        <v>6.3840000000000003</v>
      </c>
      <c r="BX103">
        <v>6.6989999999999998</v>
      </c>
      <c r="BY103">
        <v>6.9939999999999998</v>
      </c>
      <c r="BZ103">
        <v>7.32</v>
      </c>
      <c r="CA103">
        <v>1.0009999999999999</v>
      </c>
      <c r="CB103">
        <v>2000</v>
      </c>
      <c r="CG103" t="s">
        <v>185</v>
      </c>
      <c r="CH103">
        <v>6.4889999999999999</v>
      </c>
      <c r="CI103">
        <v>0.44400000000000001</v>
      </c>
      <c r="CJ103">
        <v>5.6189999999999998</v>
      </c>
      <c r="CK103">
        <v>6.165</v>
      </c>
      <c r="CL103">
        <v>6.49</v>
      </c>
      <c r="CM103">
        <v>6.8339999999999996</v>
      </c>
      <c r="CN103">
        <v>7.29</v>
      </c>
      <c r="CO103">
        <v>1.004</v>
      </c>
      <c r="CP103">
        <v>520</v>
      </c>
      <c r="CU103" t="s">
        <v>185</v>
      </c>
      <c r="CV103">
        <v>6.7430000000000003</v>
      </c>
      <c r="CW103">
        <v>0.38900000000000001</v>
      </c>
      <c r="CX103">
        <v>5.9249999999999998</v>
      </c>
      <c r="CY103">
        <v>6.4809999999999999</v>
      </c>
      <c r="CZ103">
        <v>6.7859999999999996</v>
      </c>
      <c r="DA103">
        <v>7.0449999999999999</v>
      </c>
      <c r="DB103">
        <v>7.35</v>
      </c>
      <c r="DC103">
        <v>1.0149999999999999</v>
      </c>
      <c r="DD103">
        <v>180</v>
      </c>
      <c r="DI103" t="s">
        <v>185</v>
      </c>
      <c r="DJ103">
        <v>6.7169999999999996</v>
      </c>
      <c r="DK103">
        <v>0.40600000000000003</v>
      </c>
      <c r="DL103">
        <v>5.8280000000000003</v>
      </c>
      <c r="DM103">
        <v>6.4509999999999996</v>
      </c>
      <c r="DN103">
        <v>6.758</v>
      </c>
      <c r="DO103">
        <v>7.0410000000000004</v>
      </c>
      <c r="DP103">
        <v>7.3390000000000004</v>
      </c>
      <c r="DQ103">
        <v>1.0029999999999999</v>
      </c>
      <c r="DR103">
        <v>770</v>
      </c>
      <c r="DY103" t="s">
        <v>185</v>
      </c>
      <c r="DZ103">
        <v>6.77</v>
      </c>
      <c r="EA103">
        <v>0.38900000000000001</v>
      </c>
      <c r="EB103">
        <v>5.9219999999999997</v>
      </c>
      <c r="EC103">
        <v>6.5060000000000002</v>
      </c>
      <c r="ED103">
        <v>6.8150000000000004</v>
      </c>
      <c r="EE103">
        <v>7.0780000000000003</v>
      </c>
      <c r="EF103">
        <v>7.3490000000000002</v>
      </c>
      <c r="EG103">
        <v>1.002</v>
      </c>
      <c r="EH103">
        <v>1900</v>
      </c>
      <c r="EK103" t="s">
        <v>185</v>
      </c>
      <c r="EL103">
        <v>5.8250000000000002</v>
      </c>
      <c r="EM103">
        <v>0.52300000000000002</v>
      </c>
      <c r="EN103">
        <v>4.8890000000000002</v>
      </c>
      <c r="EO103">
        <v>5.4459999999999997</v>
      </c>
      <c r="EP103">
        <v>5.7960000000000003</v>
      </c>
      <c r="EQ103">
        <v>6.1529999999999996</v>
      </c>
      <c r="ER103">
        <v>6.968</v>
      </c>
      <c r="ES103">
        <v>1.0009999999999999</v>
      </c>
      <c r="ET103">
        <v>1500</v>
      </c>
      <c r="EY103" t="s">
        <v>185</v>
      </c>
      <c r="EZ103">
        <v>6.2110000000000003</v>
      </c>
      <c r="FA103">
        <v>0.52</v>
      </c>
      <c r="FB103">
        <v>5.2380000000000004</v>
      </c>
      <c r="FC103">
        <v>5.83</v>
      </c>
      <c r="FD103">
        <v>6.1989999999999998</v>
      </c>
      <c r="FE103">
        <v>6.585</v>
      </c>
      <c r="FF103">
        <v>7.234</v>
      </c>
      <c r="FG103">
        <v>1.002</v>
      </c>
      <c r="FH103">
        <v>3000</v>
      </c>
      <c r="GA103" t="s">
        <v>185</v>
      </c>
      <c r="GB103">
        <v>7.0410000000000004</v>
      </c>
      <c r="GC103">
        <v>0.247</v>
      </c>
      <c r="GD103">
        <v>6.4749999999999996</v>
      </c>
      <c r="GE103">
        <v>6.883</v>
      </c>
      <c r="GF103">
        <v>7.0869999999999997</v>
      </c>
      <c r="GG103">
        <v>7.2389999999999999</v>
      </c>
      <c r="GH103">
        <v>7.3659999999999997</v>
      </c>
      <c r="GI103">
        <v>1.0009999999999999</v>
      </c>
      <c r="GJ103">
        <v>3000</v>
      </c>
      <c r="GO103" t="s">
        <v>185</v>
      </c>
      <c r="GP103">
        <v>6.21</v>
      </c>
      <c r="GQ103">
        <v>0.52</v>
      </c>
      <c r="GR103">
        <v>5.2619999999999996</v>
      </c>
      <c r="GS103">
        <v>5.8239999999999998</v>
      </c>
      <c r="GT103">
        <v>6.1929999999999996</v>
      </c>
      <c r="GU103">
        <v>6.5880000000000001</v>
      </c>
      <c r="GV103">
        <v>7.24</v>
      </c>
      <c r="GW103">
        <v>1.0009999999999999</v>
      </c>
      <c r="GX103">
        <v>3000</v>
      </c>
      <c r="HC103" t="s">
        <v>185</v>
      </c>
      <c r="HD103">
        <v>6.2069999999999999</v>
      </c>
      <c r="HE103">
        <v>0.52200000000000002</v>
      </c>
      <c r="HF103">
        <v>5.24</v>
      </c>
      <c r="HG103">
        <v>5.8369999999999997</v>
      </c>
      <c r="HH103">
        <v>6.1909999999999998</v>
      </c>
      <c r="HI103">
        <v>6.5810000000000004</v>
      </c>
      <c r="HJ103">
        <v>7.2140000000000004</v>
      </c>
      <c r="HK103">
        <v>1.0009999999999999</v>
      </c>
      <c r="HL103">
        <v>3000</v>
      </c>
      <c r="HP103" s="7"/>
      <c r="HQ103" s="7" t="s">
        <v>185</v>
      </c>
      <c r="HR103" s="7">
        <v>5.859</v>
      </c>
      <c r="HS103" s="7">
        <v>0.49299999999999999</v>
      </c>
      <c r="HT103" s="7">
        <v>4.9980000000000002</v>
      </c>
      <c r="HU103" s="7">
        <v>5.5030000000000001</v>
      </c>
      <c r="HV103" s="7">
        <v>5.83</v>
      </c>
      <c r="HW103" s="7">
        <v>6.1749999999999998</v>
      </c>
      <c r="HX103" s="7">
        <v>6.931</v>
      </c>
      <c r="HY103" s="7">
        <v>1.002</v>
      </c>
      <c r="HZ103" s="7">
        <v>1500</v>
      </c>
      <c r="IA103" s="7"/>
      <c r="IE103" t="s">
        <v>185</v>
      </c>
      <c r="IF103">
        <v>6.7610000000000001</v>
      </c>
      <c r="IG103">
        <v>0.33900000000000002</v>
      </c>
      <c r="IH103">
        <v>6.0819999999999999</v>
      </c>
      <c r="II103">
        <v>6.5220000000000002</v>
      </c>
      <c r="IJ103">
        <v>6.7709999999999999</v>
      </c>
      <c r="IK103">
        <v>7.024</v>
      </c>
      <c r="IL103">
        <v>7.3280000000000003</v>
      </c>
      <c r="IM103">
        <v>1.0029999999999999</v>
      </c>
      <c r="IN103">
        <v>900</v>
      </c>
      <c r="IS103" t="s">
        <v>123</v>
      </c>
      <c r="IT103">
        <v>7.7619999999999996</v>
      </c>
      <c r="IU103">
        <v>0.96899999999999997</v>
      </c>
      <c r="IV103">
        <v>5.7869999999999999</v>
      </c>
      <c r="IW103">
        <v>7.1280000000000001</v>
      </c>
      <c r="IX103">
        <v>7.7590000000000003</v>
      </c>
      <c r="IY103">
        <v>8.4250000000000007</v>
      </c>
      <c r="IZ103">
        <v>9.64</v>
      </c>
      <c r="JA103">
        <v>1.002</v>
      </c>
      <c r="JB103">
        <v>1300</v>
      </c>
      <c r="JF103" t="s">
        <v>123</v>
      </c>
      <c r="JG103">
        <v>6.5709999999999997</v>
      </c>
      <c r="JH103">
        <v>0.91100000000000003</v>
      </c>
      <c r="JI103">
        <v>4.8639999999999999</v>
      </c>
      <c r="JJ103">
        <v>5.9329999999999998</v>
      </c>
      <c r="JK103">
        <v>6.5490000000000004</v>
      </c>
      <c r="JL103">
        <v>7.16</v>
      </c>
      <c r="JM103">
        <v>8.4689999999999994</v>
      </c>
      <c r="JN103">
        <v>1.0029999999999999</v>
      </c>
      <c r="JO103">
        <v>920</v>
      </c>
      <c r="JT103" t="s">
        <v>123</v>
      </c>
      <c r="JU103">
        <v>6.58</v>
      </c>
      <c r="JV103">
        <v>0.90800000000000003</v>
      </c>
      <c r="JW103">
        <v>4.8860000000000001</v>
      </c>
      <c r="JX103">
        <v>5.9480000000000004</v>
      </c>
      <c r="JY103">
        <v>6.55</v>
      </c>
      <c r="JZ103">
        <v>7.1779999999999999</v>
      </c>
      <c r="KA103">
        <v>8.3770000000000007</v>
      </c>
      <c r="KB103">
        <v>1.0029999999999999</v>
      </c>
      <c r="KC103">
        <v>730</v>
      </c>
      <c r="KH103" t="s">
        <v>123</v>
      </c>
      <c r="KI103">
        <v>6.4320000000000004</v>
      </c>
      <c r="KJ103">
        <v>0.92200000000000004</v>
      </c>
      <c r="KK103">
        <v>4.7130000000000001</v>
      </c>
      <c r="KL103">
        <v>5.8109999999999999</v>
      </c>
      <c r="KM103">
        <v>6.3849999999999998</v>
      </c>
      <c r="KN103">
        <v>7.0250000000000004</v>
      </c>
      <c r="KO103">
        <v>8.3360000000000003</v>
      </c>
      <c r="KP103">
        <v>1.0049999999999999</v>
      </c>
      <c r="KQ103">
        <v>430</v>
      </c>
      <c r="KR103">
        <f>SUM(KR99:KR102)</f>
        <v>2226.8858317937425</v>
      </c>
      <c r="KV103" t="s">
        <v>123</v>
      </c>
      <c r="KW103">
        <v>6.6870000000000003</v>
      </c>
      <c r="KX103">
        <v>0.91500000000000004</v>
      </c>
      <c r="KY103">
        <v>4.9050000000000002</v>
      </c>
      <c r="KZ103">
        <v>6.1</v>
      </c>
      <c r="LA103">
        <v>6.6790000000000003</v>
      </c>
      <c r="LB103">
        <v>7.3029999999999999</v>
      </c>
      <c r="LC103">
        <v>8.49</v>
      </c>
      <c r="LD103">
        <v>1.016</v>
      </c>
      <c r="LE103">
        <v>140</v>
      </c>
      <c r="LJ103" t="s">
        <v>144</v>
      </c>
      <c r="LK103" t="s">
        <v>14</v>
      </c>
      <c r="LL103" t="s">
        <v>145</v>
      </c>
      <c r="LM103" t="s">
        <v>26</v>
      </c>
      <c r="LN103" t="s">
        <v>146</v>
      </c>
      <c r="LO103" t="s">
        <v>147</v>
      </c>
      <c r="LP103" t="s">
        <v>148</v>
      </c>
      <c r="LQ103" t="s">
        <v>149</v>
      </c>
      <c r="LR103" t="s">
        <v>150</v>
      </c>
      <c r="LS103" t="s">
        <v>151</v>
      </c>
      <c r="LT103" t="s">
        <v>152</v>
      </c>
      <c r="LU103" t="s">
        <v>153</v>
      </c>
      <c r="LX103" t="s">
        <v>144</v>
      </c>
      <c r="LY103" t="s">
        <v>14</v>
      </c>
      <c r="LZ103" t="s">
        <v>145</v>
      </c>
      <c r="MA103" t="s">
        <v>26</v>
      </c>
      <c r="MB103" t="s">
        <v>146</v>
      </c>
      <c r="MC103" t="s">
        <v>147</v>
      </c>
      <c r="MD103" t="s">
        <v>148</v>
      </c>
      <c r="ME103" t="s">
        <v>149</v>
      </c>
      <c r="MF103" t="s">
        <v>150</v>
      </c>
      <c r="MG103" t="s">
        <v>151</v>
      </c>
      <c r="MH103" t="s">
        <v>152</v>
      </c>
      <c r="MI103" t="s">
        <v>153</v>
      </c>
      <c r="ML103" t="s">
        <v>123</v>
      </c>
      <c r="MM103">
        <v>13.34</v>
      </c>
      <c r="MN103">
        <v>1.0369999999999999</v>
      </c>
      <c r="MO103">
        <v>11.308</v>
      </c>
      <c r="MP103">
        <v>12.638</v>
      </c>
      <c r="MQ103">
        <v>13.336</v>
      </c>
      <c r="MR103">
        <v>14.041</v>
      </c>
      <c r="MS103">
        <v>15.381</v>
      </c>
      <c r="MT103">
        <v>1.0009999999999999</v>
      </c>
      <c r="MU103">
        <v>5300</v>
      </c>
      <c r="MZ103" t="s">
        <v>123</v>
      </c>
      <c r="NA103">
        <v>13.423</v>
      </c>
      <c r="NB103">
        <v>1.0249999999999999</v>
      </c>
      <c r="NC103">
        <v>11.409000000000001</v>
      </c>
      <c r="ND103">
        <v>12.744</v>
      </c>
      <c r="NE103">
        <v>13.42</v>
      </c>
      <c r="NF103">
        <v>14.125</v>
      </c>
      <c r="NG103">
        <v>15.45</v>
      </c>
      <c r="NH103">
        <v>1.0029999999999999</v>
      </c>
      <c r="NI103">
        <v>980</v>
      </c>
      <c r="NM103" t="s">
        <v>123</v>
      </c>
      <c r="NN103">
        <v>6.0140000000000002</v>
      </c>
      <c r="NO103">
        <v>0.79300000000000004</v>
      </c>
      <c r="NP103">
        <v>4.5119999999999996</v>
      </c>
      <c r="NQ103">
        <v>5.4569999999999999</v>
      </c>
      <c r="NR103">
        <v>6.0090000000000003</v>
      </c>
      <c r="NS103">
        <v>6.556</v>
      </c>
      <c r="NT103">
        <v>7.5919999999999996</v>
      </c>
      <c r="NU103">
        <v>1.002</v>
      </c>
      <c r="NV103">
        <v>1900</v>
      </c>
      <c r="NY103" t="s">
        <v>123</v>
      </c>
      <c r="NZ103">
        <v>6.32</v>
      </c>
      <c r="OA103">
        <v>0.76600000000000001</v>
      </c>
      <c r="OB103">
        <v>4.8159999999999998</v>
      </c>
      <c r="OC103">
        <v>5.7960000000000003</v>
      </c>
      <c r="OD103">
        <v>6.3239999999999998</v>
      </c>
      <c r="OE103">
        <v>6.8369999999999997</v>
      </c>
      <c r="OF103">
        <v>7.8319999999999999</v>
      </c>
      <c r="OG103">
        <v>1.0009999999999999</v>
      </c>
      <c r="OH103">
        <v>5700</v>
      </c>
      <c r="OP103" t="s">
        <v>123</v>
      </c>
      <c r="OQ103">
        <v>6.6479999999999997</v>
      </c>
      <c r="OR103">
        <v>0.70599999999999996</v>
      </c>
      <c r="OS103">
        <v>5.2140000000000004</v>
      </c>
      <c r="OT103">
        <v>6.1980000000000004</v>
      </c>
      <c r="OU103">
        <v>6.6470000000000002</v>
      </c>
      <c r="OV103">
        <v>7.1239999999999997</v>
      </c>
      <c r="OW103">
        <v>8.0129999999999999</v>
      </c>
      <c r="OX103">
        <v>1.0109999999999999</v>
      </c>
      <c r="OY103">
        <v>580</v>
      </c>
      <c r="PB103" t="s">
        <v>123</v>
      </c>
      <c r="PC103">
        <v>6.5439999999999996</v>
      </c>
      <c r="PD103">
        <v>0.71699999999999997</v>
      </c>
      <c r="PE103">
        <v>5.0010000000000003</v>
      </c>
      <c r="PF103">
        <v>6.093</v>
      </c>
      <c r="PG103">
        <v>6.5890000000000004</v>
      </c>
      <c r="PH103">
        <v>7.0170000000000003</v>
      </c>
      <c r="PI103">
        <v>7.89</v>
      </c>
      <c r="PJ103">
        <v>1.016</v>
      </c>
      <c r="PK103">
        <v>220</v>
      </c>
      <c r="PN103" t="s">
        <v>123</v>
      </c>
      <c r="PO103">
        <v>6.6820000000000004</v>
      </c>
      <c r="PP103">
        <v>0.67200000000000004</v>
      </c>
      <c r="PQ103">
        <v>5.3730000000000002</v>
      </c>
      <c r="PR103">
        <v>6.2359999999999998</v>
      </c>
      <c r="PS103">
        <v>6.7</v>
      </c>
      <c r="PT103">
        <v>7.1269999999999998</v>
      </c>
      <c r="PU103">
        <v>8.0220000000000002</v>
      </c>
      <c r="PV103">
        <v>1.002</v>
      </c>
      <c r="PW103">
        <v>2500</v>
      </c>
      <c r="PX103" s="3">
        <f t="shared" si="5"/>
        <v>9.9434523809523814</v>
      </c>
      <c r="QA103" t="s">
        <v>123</v>
      </c>
      <c r="QB103">
        <v>6.226</v>
      </c>
      <c r="QC103">
        <v>0.90100000000000002</v>
      </c>
      <c r="QD103">
        <v>4.6150000000000002</v>
      </c>
      <c r="QE103">
        <v>5.54</v>
      </c>
      <c r="QF103">
        <v>6.18</v>
      </c>
      <c r="QG103">
        <v>6.8860000000000001</v>
      </c>
      <c r="QH103">
        <v>7.9989999999999997</v>
      </c>
      <c r="QI103">
        <v>1.0009999999999999</v>
      </c>
      <c r="QJ103">
        <v>3500</v>
      </c>
      <c r="QK103" s="3">
        <f t="shared" si="6"/>
        <v>6.9100998890122085</v>
      </c>
      <c r="QL103">
        <f t="shared" si="4"/>
        <v>0.45600000000000041</v>
      </c>
      <c r="QM103">
        <f>QL103/AVERAGE(PP103,QC103)</f>
        <v>0.57978385251112574</v>
      </c>
      <c r="QN103" t="s">
        <v>182</v>
      </c>
    </row>
    <row r="104" spans="1:456">
      <c r="A104" t="s">
        <v>186</v>
      </c>
      <c r="B104">
        <v>6.1630000000000003</v>
      </c>
      <c r="C104">
        <v>0.96499999999999997</v>
      </c>
      <c r="D104">
        <v>4.3710000000000004</v>
      </c>
      <c r="E104">
        <v>5.4820000000000002</v>
      </c>
      <c r="F104">
        <v>6.141</v>
      </c>
      <c r="G104">
        <v>6.8330000000000002</v>
      </c>
      <c r="H104">
        <v>8.2260000000000009</v>
      </c>
      <c r="I104">
        <v>1.2949999999999999</v>
      </c>
      <c r="J104">
        <v>11</v>
      </c>
      <c r="O104" t="s">
        <v>186</v>
      </c>
      <c r="P104">
        <v>4.7869999999999999</v>
      </c>
      <c r="Q104">
        <v>1.169</v>
      </c>
      <c r="R104">
        <v>2.4609999999999999</v>
      </c>
      <c r="S104">
        <v>3.9630000000000001</v>
      </c>
      <c r="T104">
        <v>4.8339999999999996</v>
      </c>
      <c r="U104">
        <v>5.6219999999999999</v>
      </c>
      <c r="V104">
        <v>6.97</v>
      </c>
      <c r="W104">
        <v>1.012</v>
      </c>
      <c r="X104">
        <v>180</v>
      </c>
      <c r="AC104" t="s">
        <v>186</v>
      </c>
      <c r="AD104">
        <v>6.8410000000000002</v>
      </c>
      <c r="AE104">
        <v>0.35899999999999999</v>
      </c>
      <c r="AF104">
        <v>5.9989999999999997</v>
      </c>
      <c r="AG104">
        <v>6.6230000000000002</v>
      </c>
      <c r="AH104">
        <v>6.8890000000000002</v>
      </c>
      <c r="AI104">
        <v>7.1289999999999996</v>
      </c>
      <c r="AJ104">
        <v>7.3520000000000003</v>
      </c>
      <c r="AK104">
        <v>1.0009999999999999</v>
      </c>
      <c r="AL104">
        <v>3000</v>
      </c>
      <c r="AQ104" t="s">
        <v>186</v>
      </c>
      <c r="AR104">
        <v>6.8339999999999996</v>
      </c>
      <c r="AS104">
        <v>0.35699999999999998</v>
      </c>
      <c r="AT104">
        <v>6.0590000000000002</v>
      </c>
      <c r="AU104">
        <v>6.5970000000000004</v>
      </c>
      <c r="AV104">
        <v>6.8819999999999997</v>
      </c>
      <c r="AW104">
        <v>7.117</v>
      </c>
      <c r="AX104">
        <v>7.3559999999999999</v>
      </c>
      <c r="AY104">
        <v>1.0009999999999999</v>
      </c>
      <c r="AZ104">
        <v>3000</v>
      </c>
      <c r="BE104" t="s">
        <v>186</v>
      </c>
      <c r="BF104">
        <v>6.4809999999999999</v>
      </c>
      <c r="BG104">
        <v>0.45300000000000001</v>
      </c>
      <c r="BH104">
        <v>5.5549999999999997</v>
      </c>
      <c r="BI104">
        <v>6.1589999999999998</v>
      </c>
      <c r="BJ104">
        <v>6.4960000000000004</v>
      </c>
      <c r="BK104">
        <v>6.8179999999999996</v>
      </c>
      <c r="BL104">
        <v>7.2869999999999999</v>
      </c>
      <c r="BM104">
        <v>1.01</v>
      </c>
      <c r="BN104">
        <v>220</v>
      </c>
      <c r="BS104" t="s">
        <v>186</v>
      </c>
      <c r="BT104">
        <v>6.702</v>
      </c>
      <c r="BU104">
        <v>0.41199999999999998</v>
      </c>
      <c r="BV104">
        <v>5.8140000000000001</v>
      </c>
      <c r="BW104">
        <v>6.43</v>
      </c>
      <c r="BX104">
        <v>6.75</v>
      </c>
      <c r="BY104">
        <v>7.0220000000000002</v>
      </c>
      <c r="BZ104">
        <v>7.335</v>
      </c>
      <c r="CA104">
        <v>1.0009999999999999</v>
      </c>
      <c r="CB104">
        <v>2000</v>
      </c>
      <c r="CG104" t="s">
        <v>186</v>
      </c>
      <c r="CH104">
        <v>6.4710000000000001</v>
      </c>
      <c r="CI104">
        <v>0.44800000000000001</v>
      </c>
      <c r="CJ104">
        <v>5.6239999999999997</v>
      </c>
      <c r="CK104">
        <v>6.1390000000000002</v>
      </c>
      <c r="CL104">
        <v>6.4690000000000003</v>
      </c>
      <c r="CM104">
        <v>6.8070000000000004</v>
      </c>
      <c r="CN104">
        <v>7.2859999999999996</v>
      </c>
      <c r="CO104">
        <v>1.0109999999999999</v>
      </c>
      <c r="CP104">
        <v>190</v>
      </c>
      <c r="CU104" t="s">
        <v>186</v>
      </c>
      <c r="CV104">
        <v>6.7370000000000001</v>
      </c>
      <c r="CW104">
        <v>0.38700000000000001</v>
      </c>
      <c r="CX104">
        <v>5.8840000000000003</v>
      </c>
      <c r="CY104">
        <v>6.4729999999999999</v>
      </c>
      <c r="CZ104">
        <v>6.7690000000000001</v>
      </c>
      <c r="DA104">
        <v>7.0490000000000004</v>
      </c>
      <c r="DB104">
        <v>7.3390000000000004</v>
      </c>
      <c r="DC104">
        <v>1.006</v>
      </c>
      <c r="DD104">
        <v>460</v>
      </c>
      <c r="DI104" t="s">
        <v>186</v>
      </c>
      <c r="DJ104">
        <v>6.8559999999999999</v>
      </c>
      <c r="DK104">
        <v>0.36599999999999999</v>
      </c>
      <c r="DL104">
        <v>6.0519999999999996</v>
      </c>
      <c r="DM104">
        <v>6.625</v>
      </c>
      <c r="DN104">
        <v>6.915</v>
      </c>
      <c r="DO104">
        <v>7.1529999999999996</v>
      </c>
      <c r="DP104">
        <v>7.3540000000000001</v>
      </c>
      <c r="DQ104">
        <v>1.004</v>
      </c>
      <c r="DR104">
        <v>520</v>
      </c>
      <c r="DY104" t="s">
        <v>186</v>
      </c>
      <c r="DZ104">
        <v>6.8929999999999998</v>
      </c>
      <c r="EA104">
        <v>0.33900000000000002</v>
      </c>
      <c r="EB104">
        <v>6.14</v>
      </c>
      <c r="EC104">
        <v>6.6680000000000001</v>
      </c>
      <c r="ED104">
        <v>6.9509999999999996</v>
      </c>
      <c r="EE104">
        <v>7.1660000000000004</v>
      </c>
      <c r="EF104">
        <v>7.3550000000000004</v>
      </c>
      <c r="EG104">
        <v>1.0009999999999999</v>
      </c>
      <c r="EH104">
        <v>3000</v>
      </c>
      <c r="EK104" t="s">
        <v>186</v>
      </c>
      <c r="EL104">
        <v>6.74</v>
      </c>
      <c r="EM104">
        <v>0.42199999999999999</v>
      </c>
      <c r="EN104">
        <v>5.7750000000000004</v>
      </c>
      <c r="EO104">
        <v>6.4720000000000004</v>
      </c>
      <c r="EP104">
        <v>6.7930000000000001</v>
      </c>
      <c r="EQ104">
        <v>7.0679999999999996</v>
      </c>
      <c r="ER104">
        <v>7.3470000000000004</v>
      </c>
      <c r="ES104">
        <v>1.002</v>
      </c>
      <c r="ET104">
        <v>1200</v>
      </c>
      <c r="EY104" t="s">
        <v>186</v>
      </c>
      <c r="EZ104">
        <v>6.6210000000000004</v>
      </c>
      <c r="FA104">
        <v>0.441</v>
      </c>
      <c r="FB104">
        <v>5.7089999999999996</v>
      </c>
      <c r="FC104">
        <v>6.3150000000000004</v>
      </c>
      <c r="FD104">
        <v>6.649</v>
      </c>
      <c r="FE104">
        <v>6.9669999999999996</v>
      </c>
      <c r="FF104">
        <v>7.327</v>
      </c>
      <c r="FG104">
        <v>1.0009999999999999</v>
      </c>
      <c r="FH104">
        <v>3000</v>
      </c>
      <c r="GA104" t="s">
        <v>186</v>
      </c>
      <c r="GB104">
        <v>7.1779999999999999</v>
      </c>
      <c r="GC104">
        <v>0.17199999999999999</v>
      </c>
      <c r="GD104">
        <v>6.7530000000000001</v>
      </c>
      <c r="GE104">
        <v>7.0880000000000001</v>
      </c>
      <c r="GF104">
        <v>7.2220000000000004</v>
      </c>
      <c r="GG104">
        <v>7.3129999999999997</v>
      </c>
      <c r="GH104">
        <v>7.3739999999999997</v>
      </c>
      <c r="GI104">
        <v>1.0009999999999999</v>
      </c>
      <c r="GJ104">
        <v>3000</v>
      </c>
      <c r="GO104" t="s">
        <v>186</v>
      </c>
      <c r="GP104">
        <v>6.6459999999999999</v>
      </c>
      <c r="GQ104">
        <v>0.433</v>
      </c>
      <c r="GR104">
        <v>5.76</v>
      </c>
      <c r="GS104">
        <v>6.3440000000000003</v>
      </c>
      <c r="GT104">
        <v>6.68</v>
      </c>
      <c r="GU104">
        <v>6.9859999999999998</v>
      </c>
      <c r="GV104">
        <v>7.327</v>
      </c>
      <c r="GW104">
        <v>1.002</v>
      </c>
      <c r="GX104">
        <v>1300</v>
      </c>
      <c r="HC104" t="s">
        <v>186</v>
      </c>
      <c r="HD104">
        <v>6.6449999999999996</v>
      </c>
      <c r="HE104">
        <v>0.433</v>
      </c>
      <c r="HF104">
        <v>5.74</v>
      </c>
      <c r="HG104">
        <v>6.3470000000000004</v>
      </c>
      <c r="HH104">
        <v>6.6909999999999998</v>
      </c>
      <c r="HI104">
        <v>6.9880000000000004</v>
      </c>
      <c r="HJ104">
        <v>7.3310000000000004</v>
      </c>
      <c r="HK104">
        <v>1.0049999999999999</v>
      </c>
      <c r="HL104">
        <v>430</v>
      </c>
      <c r="HP104" s="7"/>
      <c r="HQ104" s="7" t="s">
        <v>186</v>
      </c>
      <c r="HR104" s="7">
        <v>6.7939999999999996</v>
      </c>
      <c r="HS104" s="7">
        <v>0.377</v>
      </c>
      <c r="HT104" s="7">
        <v>5.9690000000000003</v>
      </c>
      <c r="HU104" s="7">
        <v>6.5339999999999998</v>
      </c>
      <c r="HV104" s="7">
        <v>6.835</v>
      </c>
      <c r="HW104" s="7">
        <v>7.0940000000000003</v>
      </c>
      <c r="HX104" s="7">
        <v>7.3490000000000002</v>
      </c>
      <c r="HY104" s="7">
        <v>1.0009999999999999</v>
      </c>
      <c r="HZ104" s="7">
        <v>3000</v>
      </c>
      <c r="IA104" s="7"/>
      <c r="IE104" t="s">
        <v>186</v>
      </c>
      <c r="IF104">
        <v>7.0369999999999999</v>
      </c>
      <c r="IG104">
        <v>0.26100000000000001</v>
      </c>
      <c r="IH104">
        <v>6.41</v>
      </c>
      <c r="II104">
        <v>6.8879999999999999</v>
      </c>
      <c r="IJ104">
        <v>7.09</v>
      </c>
      <c r="IK104">
        <v>7.2439999999999998</v>
      </c>
      <c r="IL104">
        <v>7.367</v>
      </c>
      <c r="IM104">
        <v>1.0009999999999999</v>
      </c>
      <c r="IN104">
        <v>3000</v>
      </c>
      <c r="IS104" t="s">
        <v>124</v>
      </c>
      <c r="IT104">
        <v>9.6590000000000007</v>
      </c>
      <c r="IU104">
        <v>0.81899999999999995</v>
      </c>
      <c r="IV104">
        <v>8.0860000000000003</v>
      </c>
      <c r="IW104">
        <v>9.1159999999999997</v>
      </c>
      <c r="IX104">
        <v>9.6539999999999999</v>
      </c>
      <c r="IY104">
        <v>10.209</v>
      </c>
      <c r="IZ104">
        <v>11.292</v>
      </c>
      <c r="JA104">
        <v>1.0009999999999999</v>
      </c>
      <c r="JB104">
        <v>3000</v>
      </c>
      <c r="JF104" t="s">
        <v>124</v>
      </c>
      <c r="JG104">
        <v>9.2370000000000001</v>
      </c>
      <c r="JH104">
        <v>0.85799999999999998</v>
      </c>
      <c r="JI104">
        <v>7.5350000000000001</v>
      </c>
      <c r="JJ104">
        <v>8.6620000000000008</v>
      </c>
      <c r="JK104">
        <v>9.2289999999999992</v>
      </c>
      <c r="JL104">
        <v>9.8230000000000004</v>
      </c>
      <c r="JM104">
        <v>10.935</v>
      </c>
      <c r="JN104">
        <v>1.0009999999999999</v>
      </c>
      <c r="JO104">
        <v>3000</v>
      </c>
      <c r="JT104" t="s">
        <v>124</v>
      </c>
      <c r="JU104">
        <v>9.2629999999999999</v>
      </c>
      <c r="JV104">
        <v>0.94699999999999995</v>
      </c>
      <c r="JW104">
        <v>7.4260000000000002</v>
      </c>
      <c r="JX104">
        <v>8.4909999999999997</v>
      </c>
      <c r="JY104">
        <v>9.3130000000000006</v>
      </c>
      <c r="JZ104">
        <v>10.065</v>
      </c>
      <c r="KA104">
        <v>10.788</v>
      </c>
      <c r="KB104">
        <v>1.0169999999999999</v>
      </c>
      <c r="KC104">
        <v>550</v>
      </c>
      <c r="KH104" t="s">
        <v>124</v>
      </c>
      <c r="KI104">
        <v>8.9350000000000005</v>
      </c>
      <c r="KJ104">
        <v>1.1160000000000001</v>
      </c>
      <c r="KK104">
        <v>5.8239999999999998</v>
      </c>
      <c r="KL104">
        <v>8.4039999999999999</v>
      </c>
      <c r="KM104">
        <v>9.0389999999999997</v>
      </c>
      <c r="KN104">
        <v>9.7279999999999998</v>
      </c>
      <c r="KO104">
        <v>10.718999999999999</v>
      </c>
      <c r="KP104">
        <v>1.25</v>
      </c>
      <c r="KQ104">
        <v>16</v>
      </c>
      <c r="KV104" t="s">
        <v>124</v>
      </c>
      <c r="KW104">
        <v>9.0980000000000008</v>
      </c>
      <c r="KX104">
        <v>0.86399999999999999</v>
      </c>
      <c r="KY104">
        <v>7.3819999999999997</v>
      </c>
      <c r="KZ104">
        <v>8.5020000000000007</v>
      </c>
      <c r="LA104">
        <v>9.0990000000000002</v>
      </c>
      <c r="LB104">
        <v>9.6530000000000005</v>
      </c>
      <c r="LC104">
        <v>10.818</v>
      </c>
      <c r="LD104">
        <v>1.0029999999999999</v>
      </c>
      <c r="LE104">
        <v>970</v>
      </c>
      <c r="LJ104" t="s">
        <v>154</v>
      </c>
      <c r="LK104" t="s">
        <v>25</v>
      </c>
      <c r="LL104" t="s">
        <v>146</v>
      </c>
      <c r="LM104" t="s">
        <v>155</v>
      </c>
      <c r="LN104" t="s">
        <v>156</v>
      </c>
      <c r="LO104" t="s">
        <v>157</v>
      </c>
      <c r="LP104" t="s">
        <v>158</v>
      </c>
      <c r="LQ104" t="s">
        <v>159</v>
      </c>
      <c r="LR104" t="s">
        <v>160</v>
      </c>
      <c r="LS104" t="s">
        <v>161</v>
      </c>
      <c r="LT104" t="s">
        <v>162</v>
      </c>
      <c r="LX104" t="s">
        <v>154</v>
      </c>
      <c r="LY104" t="s">
        <v>25</v>
      </c>
      <c r="LZ104" t="s">
        <v>146</v>
      </c>
      <c r="MA104" t="s">
        <v>155</v>
      </c>
      <c r="MB104" t="s">
        <v>156</v>
      </c>
      <c r="MC104" t="s">
        <v>157</v>
      </c>
      <c r="MD104" t="s">
        <v>158</v>
      </c>
      <c r="ME104" t="s">
        <v>159</v>
      </c>
      <c r="MF104" t="s">
        <v>160</v>
      </c>
      <c r="MG104" t="s">
        <v>161</v>
      </c>
      <c r="MH104" t="s">
        <v>162</v>
      </c>
      <c r="ML104" t="s">
        <v>124</v>
      </c>
      <c r="MM104">
        <v>14.071</v>
      </c>
      <c r="MN104">
        <v>0.93300000000000005</v>
      </c>
      <c r="MO104">
        <v>12.250999999999999</v>
      </c>
      <c r="MP104">
        <v>13.441000000000001</v>
      </c>
      <c r="MQ104">
        <v>14.066000000000001</v>
      </c>
      <c r="MR104">
        <v>14.696</v>
      </c>
      <c r="MS104">
        <v>15.914999999999999</v>
      </c>
      <c r="MT104">
        <v>1.0009999999999999</v>
      </c>
      <c r="MU104">
        <v>8600</v>
      </c>
      <c r="MZ104" t="s">
        <v>124</v>
      </c>
      <c r="NA104">
        <v>14.085000000000001</v>
      </c>
      <c r="NB104">
        <v>0.93799999999999994</v>
      </c>
      <c r="NC104">
        <v>12.26</v>
      </c>
      <c r="ND104">
        <v>13.452</v>
      </c>
      <c r="NE104">
        <v>14.052</v>
      </c>
      <c r="NF104">
        <v>14.71</v>
      </c>
      <c r="NG104">
        <v>15.901</v>
      </c>
      <c r="NH104">
        <v>1.0029999999999999</v>
      </c>
      <c r="NI104">
        <v>690</v>
      </c>
      <c r="NM104" t="s">
        <v>124</v>
      </c>
      <c r="NN104">
        <v>10.185</v>
      </c>
      <c r="NO104">
        <v>0.71</v>
      </c>
      <c r="NP104">
        <v>8.8130000000000006</v>
      </c>
      <c r="NQ104">
        <v>9.7089999999999996</v>
      </c>
      <c r="NR104">
        <v>10.173999999999999</v>
      </c>
      <c r="NS104">
        <v>10.659000000000001</v>
      </c>
      <c r="NT104">
        <v>11.621</v>
      </c>
      <c r="NU104">
        <v>1.0009999999999999</v>
      </c>
      <c r="NV104">
        <v>5300</v>
      </c>
      <c r="NY104" t="s">
        <v>124</v>
      </c>
      <c r="NZ104">
        <v>10.173</v>
      </c>
      <c r="OA104">
        <v>0.7</v>
      </c>
      <c r="OB104">
        <v>8.83</v>
      </c>
      <c r="OC104">
        <v>9.7010000000000005</v>
      </c>
      <c r="OD104">
        <v>10.163</v>
      </c>
      <c r="OE104">
        <v>10.638999999999999</v>
      </c>
      <c r="OF104">
        <v>11.58</v>
      </c>
      <c r="OG104">
        <v>1.0009999999999999</v>
      </c>
      <c r="OH104">
        <v>4700</v>
      </c>
      <c r="OP104" t="s">
        <v>124</v>
      </c>
      <c r="OQ104">
        <v>10.1</v>
      </c>
      <c r="OR104">
        <v>0.70399999999999996</v>
      </c>
      <c r="OS104">
        <v>8.7439999999999998</v>
      </c>
      <c r="OT104">
        <v>9.6140000000000008</v>
      </c>
      <c r="OU104">
        <v>10.093999999999999</v>
      </c>
      <c r="OV104">
        <v>10.577</v>
      </c>
      <c r="OW104">
        <v>11.472</v>
      </c>
      <c r="OX104">
        <v>1.002</v>
      </c>
      <c r="OY104">
        <v>1600</v>
      </c>
      <c r="PB104" t="s">
        <v>124</v>
      </c>
      <c r="PC104">
        <v>10.192</v>
      </c>
      <c r="PD104">
        <v>0.71599999999999997</v>
      </c>
      <c r="PE104">
        <v>8.7899999999999991</v>
      </c>
      <c r="PF104">
        <v>9.7110000000000003</v>
      </c>
      <c r="PG104">
        <v>10.199999999999999</v>
      </c>
      <c r="PH104">
        <v>10.651</v>
      </c>
      <c r="PI104">
        <v>11.63</v>
      </c>
      <c r="PJ104">
        <v>1.0009999999999999</v>
      </c>
      <c r="PK104">
        <v>3000</v>
      </c>
      <c r="PN104" t="s">
        <v>124</v>
      </c>
      <c r="PO104">
        <v>10.129</v>
      </c>
      <c r="PP104">
        <v>0.70399999999999996</v>
      </c>
      <c r="PQ104">
        <v>8.7720000000000002</v>
      </c>
      <c r="PR104">
        <v>9.6370000000000005</v>
      </c>
      <c r="PS104">
        <v>10.119</v>
      </c>
      <c r="PT104">
        <v>10.618</v>
      </c>
      <c r="PU104">
        <v>11.503</v>
      </c>
      <c r="PV104">
        <v>1.0009999999999999</v>
      </c>
      <c r="PW104">
        <v>3000</v>
      </c>
      <c r="PX104" s="3">
        <f t="shared" si="5"/>
        <v>14.387784090909092</v>
      </c>
      <c r="QA104" t="s">
        <v>124</v>
      </c>
      <c r="QB104">
        <v>10.913</v>
      </c>
      <c r="QC104">
        <v>0.73599999999999999</v>
      </c>
      <c r="QD104">
        <v>9.4740000000000002</v>
      </c>
      <c r="QE104">
        <v>10.417</v>
      </c>
      <c r="QF104">
        <v>10.922000000000001</v>
      </c>
      <c r="QG104">
        <v>11.404999999999999</v>
      </c>
      <c r="QH104">
        <v>12.353999999999999</v>
      </c>
      <c r="QI104">
        <v>1.008</v>
      </c>
      <c r="QJ104">
        <v>300</v>
      </c>
      <c r="QK104" s="3">
        <f t="shared" si="6"/>
        <v>14.827445652173914</v>
      </c>
      <c r="QL104">
        <f t="shared" si="4"/>
        <v>-0.7840000000000007</v>
      </c>
      <c r="QM104">
        <f>QL104/AVERAGE(PP104,QC104)</f>
        <v>-1.0888888888888899</v>
      </c>
      <c r="QN104" t="s">
        <v>183</v>
      </c>
    </row>
    <row r="105" spans="1:456">
      <c r="A105" t="s">
        <v>187</v>
      </c>
      <c r="B105">
        <v>5.13</v>
      </c>
      <c r="C105">
        <v>0.88500000000000001</v>
      </c>
      <c r="D105">
        <v>3.1509999999999998</v>
      </c>
      <c r="E105">
        <v>4.6180000000000003</v>
      </c>
      <c r="F105">
        <v>5.1849999999999996</v>
      </c>
      <c r="G105">
        <v>5.7240000000000002</v>
      </c>
      <c r="H105">
        <v>6.7720000000000002</v>
      </c>
      <c r="I105">
        <v>1.04</v>
      </c>
      <c r="J105">
        <v>180</v>
      </c>
      <c r="O105" t="s">
        <v>187</v>
      </c>
      <c r="P105">
        <v>5.3090000000000002</v>
      </c>
      <c r="Q105">
        <v>0.95</v>
      </c>
      <c r="R105">
        <v>3.2250000000000001</v>
      </c>
      <c r="S105">
        <v>4.7030000000000003</v>
      </c>
      <c r="T105">
        <v>5.36</v>
      </c>
      <c r="U105">
        <v>5.9909999999999997</v>
      </c>
      <c r="V105">
        <v>7.0060000000000002</v>
      </c>
      <c r="W105">
        <v>1.0009999999999999</v>
      </c>
      <c r="X105">
        <v>2400</v>
      </c>
      <c r="AC105" t="s">
        <v>187</v>
      </c>
      <c r="AD105">
        <v>5.6139999999999999</v>
      </c>
      <c r="AE105">
        <v>0.57999999999999996</v>
      </c>
      <c r="AF105">
        <v>4.4690000000000003</v>
      </c>
      <c r="AG105">
        <v>5.2279999999999998</v>
      </c>
      <c r="AH105">
        <v>5.6159999999999997</v>
      </c>
      <c r="AI105">
        <v>6.0049999999999999</v>
      </c>
      <c r="AJ105">
        <v>6.7409999999999997</v>
      </c>
      <c r="AK105">
        <v>1.0029999999999999</v>
      </c>
      <c r="AL105">
        <v>740</v>
      </c>
      <c r="AQ105" t="s">
        <v>187</v>
      </c>
      <c r="AR105">
        <v>5.6440000000000001</v>
      </c>
      <c r="AS105">
        <v>0.57799999999999996</v>
      </c>
      <c r="AT105">
        <v>4.58</v>
      </c>
      <c r="AU105">
        <v>5.234</v>
      </c>
      <c r="AV105">
        <v>5.6260000000000003</v>
      </c>
      <c r="AW105">
        <v>6.0369999999999999</v>
      </c>
      <c r="AX105">
        <v>6.8440000000000003</v>
      </c>
      <c r="AY105">
        <v>1.0189999999999999</v>
      </c>
      <c r="AZ105">
        <v>110</v>
      </c>
      <c r="BE105" t="s">
        <v>187</v>
      </c>
      <c r="BF105">
        <v>6.3739999999999997</v>
      </c>
      <c r="BG105">
        <v>0.47299999999999998</v>
      </c>
      <c r="BH105">
        <v>5.4569999999999999</v>
      </c>
      <c r="BI105">
        <v>6.04</v>
      </c>
      <c r="BJ105">
        <v>6.3819999999999997</v>
      </c>
      <c r="BK105">
        <v>6.718</v>
      </c>
      <c r="BL105">
        <v>7.2469999999999999</v>
      </c>
      <c r="BM105">
        <v>1.01</v>
      </c>
      <c r="BN105">
        <v>240</v>
      </c>
      <c r="BS105" t="s">
        <v>187</v>
      </c>
      <c r="BT105">
        <v>5.6520000000000001</v>
      </c>
      <c r="BU105">
        <v>0.58199999999999996</v>
      </c>
      <c r="BV105">
        <v>4.532</v>
      </c>
      <c r="BW105">
        <v>5.2430000000000003</v>
      </c>
      <c r="BX105">
        <v>5.649</v>
      </c>
      <c r="BY105">
        <v>6.0549999999999997</v>
      </c>
      <c r="BZ105">
        <v>6.7709999999999999</v>
      </c>
      <c r="CA105">
        <v>1.028</v>
      </c>
      <c r="CB105">
        <v>81</v>
      </c>
      <c r="CG105" t="s">
        <v>187</v>
      </c>
      <c r="CH105">
        <v>6.4349999999999996</v>
      </c>
      <c r="CI105">
        <v>0.46400000000000002</v>
      </c>
      <c r="CJ105">
        <v>5.4690000000000003</v>
      </c>
      <c r="CK105">
        <v>6.1260000000000003</v>
      </c>
      <c r="CL105">
        <v>6.4470000000000001</v>
      </c>
      <c r="CM105">
        <v>6.7590000000000003</v>
      </c>
      <c r="CN105">
        <v>7.2560000000000002</v>
      </c>
      <c r="CO105">
        <v>1.01</v>
      </c>
      <c r="CP105">
        <v>220</v>
      </c>
      <c r="CU105" t="s">
        <v>187</v>
      </c>
      <c r="CV105">
        <v>6.2450000000000001</v>
      </c>
      <c r="CW105">
        <v>0.50700000000000001</v>
      </c>
      <c r="CX105">
        <v>5.1769999999999996</v>
      </c>
      <c r="CY105">
        <v>5.9059999999999997</v>
      </c>
      <c r="CZ105">
        <v>6.2750000000000004</v>
      </c>
      <c r="DA105">
        <v>6.59</v>
      </c>
      <c r="DB105">
        <v>7.1909999999999998</v>
      </c>
      <c r="DC105">
        <v>1.0029999999999999</v>
      </c>
      <c r="DD105">
        <v>990</v>
      </c>
      <c r="DI105" t="s">
        <v>187</v>
      </c>
      <c r="DJ105">
        <v>5.6890000000000001</v>
      </c>
      <c r="DK105">
        <v>0.58299999999999996</v>
      </c>
      <c r="DL105">
        <v>4.57</v>
      </c>
      <c r="DM105">
        <v>5.2809999999999997</v>
      </c>
      <c r="DN105">
        <v>5.6820000000000004</v>
      </c>
      <c r="DO105">
        <v>6.1150000000000002</v>
      </c>
      <c r="DP105">
        <v>6.8</v>
      </c>
      <c r="DQ105">
        <v>1.002</v>
      </c>
      <c r="DR105">
        <v>1200</v>
      </c>
      <c r="DY105" t="s">
        <v>187</v>
      </c>
      <c r="DZ105">
        <v>5.7690000000000001</v>
      </c>
      <c r="EA105">
        <v>0.57299999999999995</v>
      </c>
      <c r="EB105">
        <v>4.6520000000000001</v>
      </c>
      <c r="EC105">
        <v>5.3689999999999998</v>
      </c>
      <c r="ED105">
        <v>5.766</v>
      </c>
      <c r="EE105">
        <v>6.1680000000000001</v>
      </c>
      <c r="EF105">
        <v>6.9</v>
      </c>
      <c r="EG105">
        <v>1.016</v>
      </c>
      <c r="EH105">
        <v>130</v>
      </c>
      <c r="EK105" t="s">
        <v>187</v>
      </c>
      <c r="EL105">
        <v>5.5720000000000001</v>
      </c>
      <c r="EM105">
        <v>0.66100000000000003</v>
      </c>
      <c r="EN105">
        <v>4.3840000000000003</v>
      </c>
      <c r="EO105">
        <v>5.12</v>
      </c>
      <c r="EP105">
        <v>5.5460000000000003</v>
      </c>
      <c r="EQ105">
        <v>6.0279999999999996</v>
      </c>
      <c r="ER105">
        <v>6.899</v>
      </c>
      <c r="ES105">
        <v>1.0129999999999999</v>
      </c>
      <c r="ET105">
        <v>160</v>
      </c>
      <c r="EY105" t="s">
        <v>187</v>
      </c>
      <c r="EZ105">
        <v>5.5990000000000002</v>
      </c>
      <c r="FA105">
        <v>0.625</v>
      </c>
      <c r="FB105">
        <v>4.4340000000000002</v>
      </c>
      <c r="FC105">
        <v>5.1559999999999997</v>
      </c>
      <c r="FD105">
        <v>5.5910000000000002</v>
      </c>
      <c r="FE105">
        <v>6.016</v>
      </c>
      <c r="FF105">
        <v>6.8710000000000004</v>
      </c>
      <c r="FG105">
        <v>1.0009999999999999</v>
      </c>
      <c r="FH105">
        <v>3000</v>
      </c>
      <c r="GA105" t="s">
        <v>187</v>
      </c>
      <c r="GB105">
        <v>5.2610000000000001</v>
      </c>
      <c r="GC105">
        <v>0.47899999999999998</v>
      </c>
      <c r="GD105">
        <v>4.2910000000000004</v>
      </c>
      <c r="GE105">
        <v>4.9279999999999999</v>
      </c>
      <c r="GF105">
        <v>5.2759999999999998</v>
      </c>
      <c r="GG105">
        <v>5.6059999999999999</v>
      </c>
      <c r="GH105">
        <v>6.149</v>
      </c>
      <c r="GI105">
        <v>1.0109999999999999</v>
      </c>
      <c r="GJ105">
        <v>190</v>
      </c>
      <c r="GO105" t="s">
        <v>187</v>
      </c>
      <c r="GP105">
        <v>5.5869999999999997</v>
      </c>
      <c r="GQ105">
        <v>0.64</v>
      </c>
      <c r="GR105">
        <v>4.3440000000000003</v>
      </c>
      <c r="GS105">
        <v>5.1459999999999999</v>
      </c>
      <c r="GT105">
        <v>5.5990000000000002</v>
      </c>
      <c r="GU105">
        <v>6.0179999999999998</v>
      </c>
      <c r="GV105">
        <v>6.8860000000000001</v>
      </c>
      <c r="GW105">
        <v>1.0089999999999999</v>
      </c>
      <c r="GX105">
        <v>240</v>
      </c>
      <c r="HC105" t="s">
        <v>187</v>
      </c>
      <c r="HD105">
        <v>5.5330000000000004</v>
      </c>
      <c r="HE105">
        <v>0.629</v>
      </c>
      <c r="HF105">
        <v>4.3650000000000002</v>
      </c>
      <c r="HG105">
        <v>5.1020000000000003</v>
      </c>
      <c r="HH105">
        <v>5.5229999999999997</v>
      </c>
      <c r="HI105">
        <v>5.9530000000000003</v>
      </c>
      <c r="HJ105">
        <v>6.827</v>
      </c>
      <c r="HK105">
        <v>1.0129999999999999</v>
      </c>
      <c r="HL105">
        <v>170</v>
      </c>
      <c r="HP105" s="7"/>
      <c r="HQ105" s="7" t="s">
        <v>187</v>
      </c>
      <c r="HR105" s="7">
        <v>5.6920000000000002</v>
      </c>
      <c r="HS105" s="7">
        <v>0.58099999999999996</v>
      </c>
      <c r="HT105" s="7">
        <v>4.601</v>
      </c>
      <c r="HU105" s="7">
        <v>5.2759999999999998</v>
      </c>
      <c r="HV105" s="7">
        <v>5.6820000000000004</v>
      </c>
      <c r="HW105" s="7">
        <v>6.0990000000000002</v>
      </c>
      <c r="HX105" s="7">
        <v>6.8280000000000003</v>
      </c>
      <c r="HY105" s="7">
        <v>1.0049999999999999</v>
      </c>
      <c r="HZ105" s="7">
        <v>470</v>
      </c>
      <c r="IA105" s="7"/>
      <c r="IE105" t="s">
        <v>187</v>
      </c>
      <c r="IF105">
        <v>5.7430000000000003</v>
      </c>
      <c r="IG105">
        <v>0.57899999999999996</v>
      </c>
      <c r="IH105">
        <v>4.6390000000000002</v>
      </c>
      <c r="II105">
        <v>5.3369999999999997</v>
      </c>
      <c r="IJ105">
        <v>5.7290000000000001</v>
      </c>
      <c r="IK105">
        <v>6.141</v>
      </c>
      <c r="IL105">
        <v>6.9290000000000003</v>
      </c>
      <c r="IM105">
        <v>1.0089999999999999</v>
      </c>
      <c r="IN105">
        <v>230</v>
      </c>
      <c r="IS105" t="s">
        <v>125</v>
      </c>
      <c r="IT105">
        <v>0.41</v>
      </c>
      <c r="IU105">
        <v>0.20899999999999999</v>
      </c>
      <c r="IV105">
        <v>0.151</v>
      </c>
      <c r="IW105">
        <v>0.246</v>
      </c>
      <c r="IX105">
        <v>0.35299999999999998</v>
      </c>
      <c r="IY105">
        <v>0.54100000000000004</v>
      </c>
      <c r="IZ105">
        <v>0.91700000000000004</v>
      </c>
      <c r="JA105">
        <v>1.06</v>
      </c>
      <c r="JB105">
        <v>38</v>
      </c>
      <c r="JF105" t="s">
        <v>125</v>
      </c>
      <c r="JG105">
        <v>0.317</v>
      </c>
      <c r="JH105">
        <v>0.13700000000000001</v>
      </c>
      <c r="JI105">
        <v>0.14000000000000001</v>
      </c>
      <c r="JJ105">
        <v>0.218</v>
      </c>
      <c r="JK105">
        <v>0.28599999999999998</v>
      </c>
      <c r="JL105">
        <v>0.38400000000000001</v>
      </c>
      <c r="JM105">
        <v>0.67</v>
      </c>
      <c r="JN105">
        <v>1.014</v>
      </c>
      <c r="JO105">
        <v>150</v>
      </c>
      <c r="JT105" t="s">
        <v>125</v>
      </c>
      <c r="JU105">
        <v>0.313</v>
      </c>
      <c r="JV105">
        <v>0.128</v>
      </c>
      <c r="JW105">
        <v>0.14399999999999999</v>
      </c>
      <c r="JX105">
        <v>0.223</v>
      </c>
      <c r="JY105">
        <v>0.28599999999999998</v>
      </c>
      <c r="JZ105">
        <v>0.378</v>
      </c>
      <c r="KA105">
        <v>0.624</v>
      </c>
      <c r="KB105">
        <v>1.004</v>
      </c>
      <c r="KC105">
        <v>1200</v>
      </c>
      <c r="KH105" t="s">
        <v>125</v>
      </c>
      <c r="KI105">
        <v>0.30599999999999999</v>
      </c>
      <c r="KJ105">
        <v>0.13700000000000001</v>
      </c>
      <c r="KK105">
        <v>0.13700000000000001</v>
      </c>
      <c r="KL105">
        <v>0.20899999999999999</v>
      </c>
      <c r="KM105">
        <v>0.27400000000000002</v>
      </c>
      <c r="KN105">
        <v>0.36399999999999999</v>
      </c>
      <c r="KO105">
        <v>0.63800000000000001</v>
      </c>
      <c r="KP105">
        <v>1.0069999999999999</v>
      </c>
      <c r="KQ105">
        <v>700</v>
      </c>
      <c r="KV105" t="s">
        <v>125</v>
      </c>
      <c r="KW105">
        <v>0.38400000000000001</v>
      </c>
      <c r="KX105">
        <v>0.15</v>
      </c>
      <c r="KY105">
        <v>0.189</v>
      </c>
      <c r="KZ105">
        <v>0.27500000000000002</v>
      </c>
      <c r="LA105">
        <v>0.35</v>
      </c>
      <c r="LB105">
        <v>0.46600000000000003</v>
      </c>
      <c r="LC105">
        <v>0.76900000000000002</v>
      </c>
      <c r="LD105">
        <v>1.0509999999999999</v>
      </c>
      <c r="LE105">
        <v>45</v>
      </c>
      <c r="ML105" t="s">
        <v>125</v>
      </c>
      <c r="MM105">
        <v>0.17499999999999999</v>
      </c>
      <c r="MN105">
        <v>0.156</v>
      </c>
      <c r="MO105">
        <v>1.2999999999999999E-2</v>
      </c>
      <c r="MP105">
        <v>6.4000000000000001E-2</v>
      </c>
      <c r="MQ105">
        <v>0.128</v>
      </c>
      <c r="MR105">
        <v>0.23499999999999999</v>
      </c>
      <c r="MS105">
        <v>0.61099999999999999</v>
      </c>
      <c r="MT105">
        <v>1.0189999999999999</v>
      </c>
      <c r="MU105">
        <v>260</v>
      </c>
      <c r="MZ105" t="s">
        <v>125</v>
      </c>
      <c r="NA105">
        <v>0.14699999999999999</v>
      </c>
      <c r="NB105">
        <v>0.1</v>
      </c>
      <c r="NC105">
        <v>3.1E-2</v>
      </c>
      <c r="ND105">
        <v>6.8000000000000005E-2</v>
      </c>
      <c r="NE105">
        <v>0.11899999999999999</v>
      </c>
      <c r="NF105">
        <v>0.20399999999999999</v>
      </c>
      <c r="NG105">
        <v>0.40699999999999997</v>
      </c>
      <c r="NH105">
        <v>1.48</v>
      </c>
      <c r="NI105">
        <v>8</v>
      </c>
      <c r="NM105" t="s">
        <v>125</v>
      </c>
      <c r="NN105">
        <v>2.8000000000000001E-2</v>
      </c>
      <c r="NO105">
        <v>2.7E-2</v>
      </c>
      <c r="NP105">
        <v>2E-3</v>
      </c>
      <c r="NQ105">
        <v>0.01</v>
      </c>
      <c r="NR105">
        <v>1.9E-2</v>
      </c>
      <c r="NS105">
        <v>3.5999999999999997E-2</v>
      </c>
      <c r="NT105">
        <v>0.105</v>
      </c>
      <c r="NU105">
        <v>1.0740000000000001</v>
      </c>
      <c r="NV105">
        <v>33</v>
      </c>
      <c r="NY105" t="s">
        <v>125</v>
      </c>
      <c r="NZ105">
        <v>0.01</v>
      </c>
      <c r="OA105">
        <v>1.2E-2</v>
      </c>
      <c r="OB105">
        <v>0</v>
      </c>
      <c r="OC105">
        <v>1E-3</v>
      </c>
      <c r="OD105">
        <v>4.0000000000000001E-3</v>
      </c>
      <c r="OE105">
        <v>1.4E-2</v>
      </c>
      <c r="OF105">
        <v>4.2999999999999997E-2</v>
      </c>
      <c r="OG105">
        <v>1.1759999999999999</v>
      </c>
      <c r="OH105">
        <v>17</v>
      </c>
      <c r="OP105" t="s">
        <v>125</v>
      </c>
      <c r="OQ105">
        <v>1.2E-2</v>
      </c>
      <c r="OR105">
        <v>8.9999999999999993E-3</v>
      </c>
      <c r="OS105">
        <v>1E-3</v>
      </c>
      <c r="OT105">
        <v>5.0000000000000001E-3</v>
      </c>
      <c r="OU105">
        <v>1.0999999999999999E-2</v>
      </c>
      <c r="OV105">
        <v>1.7999999999999999E-2</v>
      </c>
      <c r="OW105">
        <v>3.2000000000000001E-2</v>
      </c>
      <c r="OX105">
        <v>1.2230000000000001</v>
      </c>
      <c r="OY105">
        <v>14</v>
      </c>
      <c r="PB105" t="s">
        <v>125</v>
      </c>
      <c r="PC105">
        <v>0.111</v>
      </c>
      <c r="PD105">
        <v>9.7000000000000003E-2</v>
      </c>
      <c r="PE105">
        <v>1.0999999999999999E-2</v>
      </c>
      <c r="PF105">
        <v>4.2000000000000003E-2</v>
      </c>
      <c r="PG105">
        <v>8.1000000000000003E-2</v>
      </c>
      <c r="PH105">
        <v>0.15</v>
      </c>
      <c r="PI105">
        <v>0.38400000000000001</v>
      </c>
      <c r="PJ105">
        <v>1.087</v>
      </c>
      <c r="PK105">
        <v>29</v>
      </c>
      <c r="PN105" t="s">
        <v>125</v>
      </c>
      <c r="PO105">
        <v>9.1999999999999998E-2</v>
      </c>
      <c r="PP105">
        <v>7.0999999999999994E-2</v>
      </c>
      <c r="PQ105">
        <v>1.4E-2</v>
      </c>
      <c r="PR105">
        <v>4.2000000000000003E-2</v>
      </c>
      <c r="PS105">
        <v>7.3999999999999996E-2</v>
      </c>
      <c r="PT105">
        <v>0.121</v>
      </c>
      <c r="PU105">
        <v>0.28899999999999998</v>
      </c>
      <c r="PV105">
        <v>1.0449999999999999</v>
      </c>
      <c r="PW105">
        <v>50</v>
      </c>
      <c r="PX105" s="3">
        <f t="shared" si="5"/>
        <v>1.295774647887324</v>
      </c>
      <c r="QA105" t="s">
        <v>125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1.1419999999999999</v>
      </c>
      <c r="QJ105">
        <v>23</v>
      </c>
      <c r="QK105" s="3" t="e">
        <f t="shared" si="6"/>
        <v>#DIV/0!</v>
      </c>
      <c r="QL105">
        <f t="shared" si="4"/>
        <v>9.1999999999999998E-2</v>
      </c>
      <c r="QN105" t="s">
        <v>193</v>
      </c>
    </row>
    <row r="106" spans="1:456">
      <c r="A106" t="s">
        <v>188</v>
      </c>
      <c r="B106">
        <v>4.2519999999999998</v>
      </c>
      <c r="C106">
        <v>0.81200000000000006</v>
      </c>
      <c r="D106">
        <v>2.57</v>
      </c>
      <c r="E106">
        <v>3.7170000000000001</v>
      </c>
      <c r="F106">
        <v>4.3490000000000002</v>
      </c>
      <c r="G106">
        <v>4.7960000000000003</v>
      </c>
      <c r="H106">
        <v>5.7629999999999999</v>
      </c>
      <c r="I106">
        <v>1.115</v>
      </c>
      <c r="J106">
        <v>33</v>
      </c>
      <c r="O106" t="s">
        <v>188</v>
      </c>
      <c r="P106">
        <v>4.1660000000000004</v>
      </c>
      <c r="Q106">
        <v>1.1339999999999999</v>
      </c>
      <c r="R106">
        <v>2.0270000000000001</v>
      </c>
      <c r="S106">
        <v>3.3980000000000001</v>
      </c>
      <c r="T106">
        <v>4.1319999999999997</v>
      </c>
      <c r="U106">
        <v>4.915</v>
      </c>
      <c r="V106">
        <v>6.4889999999999999</v>
      </c>
      <c r="W106">
        <v>1.0209999999999999</v>
      </c>
      <c r="X106">
        <v>120</v>
      </c>
      <c r="AC106" t="s">
        <v>188</v>
      </c>
      <c r="AD106">
        <v>5.37</v>
      </c>
      <c r="AE106">
        <v>0.83599999999999997</v>
      </c>
      <c r="AF106">
        <v>3.8290000000000002</v>
      </c>
      <c r="AG106">
        <v>4.7640000000000002</v>
      </c>
      <c r="AH106">
        <v>5.35</v>
      </c>
      <c r="AI106">
        <v>5.9530000000000003</v>
      </c>
      <c r="AJ106">
        <v>7.01</v>
      </c>
      <c r="AK106">
        <v>1.0309999999999999</v>
      </c>
      <c r="AL106">
        <v>71</v>
      </c>
      <c r="AQ106" t="s">
        <v>188</v>
      </c>
      <c r="AR106">
        <v>5.548</v>
      </c>
      <c r="AS106">
        <v>0.79500000000000004</v>
      </c>
      <c r="AT106">
        <v>3.952</v>
      </c>
      <c r="AU106">
        <v>5.008</v>
      </c>
      <c r="AV106">
        <v>5.5430000000000001</v>
      </c>
      <c r="AW106">
        <v>6.0990000000000002</v>
      </c>
      <c r="AX106">
        <v>7.0970000000000004</v>
      </c>
      <c r="AY106">
        <v>1.026</v>
      </c>
      <c r="AZ106">
        <v>94</v>
      </c>
      <c r="BE106" t="s">
        <v>188</v>
      </c>
      <c r="BF106">
        <v>6.0350000000000001</v>
      </c>
      <c r="BG106">
        <v>0.56799999999999995</v>
      </c>
      <c r="BH106">
        <v>4.9580000000000002</v>
      </c>
      <c r="BI106">
        <v>5.6369999999999996</v>
      </c>
      <c r="BJ106">
        <v>6.0170000000000003</v>
      </c>
      <c r="BK106">
        <v>6.4260000000000002</v>
      </c>
      <c r="BL106">
        <v>7.1749999999999998</v>
      </c>
      <c r="BM106">
        <v>1.004</v>
      </c>
      <c r="BN106">
        <v>1100</v>
      </c>
      <c r="BS106" t="s">
        <v>188</v>
      </c>
      <c r="BT106">
        <v>4.9429999999999996</v>
      </c>
      <c r="BU106">
        <v>0.87</v>
      </c>
      <c r="BV106">
        <v>3.3809999999999998</v>
      </c>
      <c r="BW106">
        <v>4.3</v>
      </c>
      <c r="BX106">
        <v>4.8840000000000003</v>
      </c>
      <c r="BY106">
        <v>5.5270000000000001</v>
      </c>
      <c r="BZ106">
        <v>6.7569999999999997</v>
      </c>
      <c r="CA106">
        <v>1.014</v>
      </c>
      <c r="CB106">
        <v>180</v>
      </c>
      <c r="CG106" t="s">
        <v>188</v>
      </c>
      <c r="CH106">
        <v>5.931</v>
      </c>
      <c r="CI106">
        <v>0.57899999999999996</v>
      </c>
      <c r="CJ106">
        <v>4.8710000000000004</v>
      </c>
      <c r="CK106">
        <v>5.51</v>
      </c>
      <c r="CL106">
        <v>5.9039999999999999</v>
      </c>
      <c r="CM106">
        <v>6.3289999999999997</v>
      </c>
      <c r="CN106">
        <v>7.1050000000000004</v>
      </c>
      <c r="CO106">
        <v>1.032</v>
      </c>
      <c r="CP106">
        <v>68</v>
      </c>
      <c r="CU106" t="s">
        <v>188</v>
      </c>
      <c r="CV106">
        <v>6.1139999999999999</v>
      </c>
      <c r="CW106">
        <v>0.68600000000000005</v>
      </c>
      <c r="CX106">
        <v>4.7089999999999996</v>
      </c>
      <c r="CY106">
        <v>5.6369999999999996</v>
      </c>
      <c r="CZ106">
        <v>6.1379999999999999</v>
      </c>
      <c r="DA106">
        <v>6.65</v>
      </c>
      <c r="DB106">
        <v>7.26</v>
      </c>
      <c r="DC106">
        <v>1.0309999999999999</v>
      </c>
      <c r="DD106">
        <v>76</v>
      </c>
      <c r="DI106" t="s">
        <v>188</v>
      </c>
      <c r="DJ106">
        <v>5.23</v>
      </c>
      <c r="DK106">
        <v>0.879</v>
      </c>
      <c r="DL106">
        <v>3.6280000000000001</v>
      </c>
      <c r="DM106">
        <v>4.577</v>
      </c>
      <c r="DN106">
        <v>5.1959999999999997</v>
      </c>
      <c r="DO106">
        <v>5.835</v>
      </c>
      <c r="DP106">
        <v>6.9770000000000003</v>
      </c>
      <c r="DQ106">
        <v>1.0129999999999999</v>
      </c>
      <c r="DR106">
        <v>210</v>
      </c>
      <c r="DY106" t="s">
        <v>188</v>
      </c>
      <c r="DZ106">
        <v>5.7160000000000002</v>
      </c>
      <c r="EA106">
        <v>0.81799999999999995</v>
      </c>
      <c r="EB106">
        <v>4.0919999999999996</v>
      </c>
      <c r="EC106">
        <v>5.1379999999999999</v>
      </c>
      <c r="ED106">
        <v>5.758</v>
      </c>
      <c r="EE106">
        <v>6.3029999999999999</v>
      </c>
      <c r="EF106">
        <v>7.1849999999999996</v>
      </c>
      <c r="EG106">
        <v>1.006</v>
      </c>
      <c r="EH106">
        <v>1300</v>
      </c>
      <c r="EK106" t="s">
        <v>188</v>
      </c>
      <c r="EL106">
        <v>5.5410000000000004</v>
      </c>
      <c r="EM106">
        <v>0.80600000000000005</v>
      </c>
      <c r="EN106">
        <v>4.0529999999999999</v>
      </c>
      <c r="EO106">
        <v>4.95</v>
      </c>
      <c r="EP106">
        <v>5.5140000000000002</v>
      </c>
      <c r="EQ106">
        <v>6.133</v>
      </c>
      <c r="ER106">
        <v>7.0919999999999996</v>
      </c>
      <c r="ES106">
        <v>1.0089999999999999</v>
      </c>
      <c r="ET106">
        <v>220</v>
      </c>
      <c r="EY106" t="s">
        <v>188</v>
      </c>
      <c r="EZ106">
        <v>5.96</v>
      </c>
      <c r="FA106">
        <v>0.78</v>
      </c>
      <c r="FB106">
        <v>4.2869999999999999</v>
      </c>
      <c r="FC106">
        <v>5.4279999999999999</v>
      </c>
      <c r="FD106">
        <v>6.0430000000000001</v>
      </c>
      <c r="FE106">
        <v>6.5570000000000004</v>
      </c>
      <c r="FF106">
        <v>7.2439999999999998</v>
      </c>
      <c r="FG106">
        <v>1.0049999999999999</v>
      </c>
      <c r="FH106">
        <v>490</v>
      </c>
      <c r="GA106" t="s">
        <v>188</v>
      </c>
      <c r="GB106">
        <v>5.5140000000000002</v>
      </c>
      <c r="GC106">
        <v>0.36499999999999999</v>
      </c>
      <c r="GD106">
        <v>4.8319999999999999</v>
      </c>
      <c r="GE106">
        <v>5.2619999999999996</v>
      </c>
      <c r="GF106">
        <v>5.5069999999999997</v>
      </c>
      <c r="GG106">
        <v>5.7510000000000003</v>
      </c>
      <c r="GH106">
        <v>6.2439999999999998</v>
      </c>
      <c r="GI106">
        <v>1.002</v>
      </c>
      <c r="GJ106">
        <v>1100</v>
      </c>
      <c r="GO106" t="s">
        <v>188</v>
      </c>
      <c r="GP106">
        <v>5.9660000000000002</v>
      </c>
      <c r="GQ106">
        <v>0.81200000000000006</v>
      </c>
      <c r="GR106">
        <v>4.242</v>
      </c>
      <c r="GS106">
        <v>5.4169999999999998</v>
      </c>
      <c r="GT106">
        <v>6.0460000000000003</v>
      </c>
      <c r="GU106">
        <v>6.59</v>
      </c>
      <c r="GV106">
        <v>7.2750000000000004</v>
      </c>
      <c r="GW106">
        <v>1.0029999999999999</v>
      </c>
      <c r="GX106">
        <v>800</v>
      </c>
      <c r="HC106" t="s">
        <v>188</v>
      </c>
      <c r="HD106">
        <v>6.2770000000000001</v>
      </c>
      <c r="HE106">
        <v>0.67300000000000004</v>
      </c>
      <c r="HF106">
        <v>4.8159999999999998</v>
      </c>
      <c r="HG106">
        <v>5.8419999999999996</v>
      </c>
      <c r="HH106">
        <v>6.3479999999999999</v>
      </c>
      <c r="HI106">
        <v>6.7969999999999997</v>
      </c>
      <c r="HJ106">
        <v>7.3090000000000002</v>
      </c>
      <c r="HK106">
        <v>1.006</v>
      </c>
      <c r="HL106">
        <v>370</v>
      </c>
      <c r="HP106" s="7"/>
      <c r="HQ106" s="7" t="s">
        <v>188</v>
      </c>
      <c r="HR106" s="7">
        <v>6.4050000000000002</v>
      </c>
      <c r="HS106" s="7">
        <v>0.628</v>
      </c>
      <c r="HT106" s="7">
        <v>4.9589999999999996</v>
      </c>
      <c r="HU106" s="7">
        <v>6.0190000000000001</v>
      </c>
      <c r="HV106" s="7">
        <v>6.4859999999999998</v>
      </c>
      <c r="HW106" s="7">
        <v>6.9</v>
      </c>
      <c r="HX106" s="7">
        <v>7.3120000000000003</v>
      </c>
      <c r="HY106" s="7">
        <v>1.004</v>
      </c>
      <c r="HZ106" s="7">
        <v>1100</v>
      </c>
      <c r="IA106" s="7"/>
      <c r="IE106" t="s">
        <v>188</v>
      </c>
      <c r="IF106">
        <v>5.8540000000000001</v>
      </c>
      <c r="IG106">
        <v>0.51200000000000001</v>
      </c>
      <c r="IH106">
        <v>4.7690000000000001</v>
      </c>
      <c r="II106">
        <v>5.5469999999999997</v>
      </c>
      <c r="IJ106">
        <v>5.85</v>
      </c>
      <c r="IK106">
        <v>6.1719999999999997</v>
      </c>
      <c r="IL106">
        <v>6.8559999999999999</v>
      </c>
      <c r="IM106">
        <v>1.081</v>
      </c>
      <c r="IN106">
        <v>43</v>
      </c>
      <c r="IS106" t="s">
        <v>126</v>
      </c>
      <c r="IT106">
        <v>1.764</v>
      </c>
      <c r="IU106">
        <v>0.71099999999999997</v>
      </c>
      <c r="IV106">
        <v>0.38200000000000001</v>
      </c>
      <c r="IW106">
        <v>1.3149999999999999</v>
      </c>
      <c r="IX106">
        <v>1.784</v>
      </c>
      <c r="IY106">
        <v>2.226</v>
      </c>
      <c r="IZ106">
        <v>3.1739999999999999</v>
      </c>
      <c r="JA106">
        <v>1.0489999999999999</v>
      </c>
      <c r="JB106">
        <v>56</v>
      </c>
      <c r="JF106" t="s">
        <v>126</v>
      </c>
      <c r="JG106">
        <v>1.5840000000000001</v>
      </c>
      <c r="JH106">
        <v>0.70699999999999996</v>
      </c>
      <c r="JI106">
        <v>0.372</v>
      </c>
      <c r="JJ106">
        <v>1.0620000000000001</v>
      </c>
      <c r="JK106">
        <v>1.546</v>
      </c>
      <c r="JL106">
        <v>2.048</v>
      </c>
      <c r="JM106">
        <v>3.03</v>
      </c>
      <c r="JN106">
        <v>1.0149999999999999</v>
      </c>
      <c r="JO106">
        <v>220</v>
      </c>
      <c r="JT106" t="s">
        <v>126</v>
      </c>
      <c r="JU106">
        <v>1.474</v>
      </c>
      <c r="JV106">
        <v>0.68799999999999994</v>
      </c>
      <c r="JW106">
        <v>0.38</v>
      </c>
      <c r="JX106">
        <v>0.95399999999999996</v>
      </c>
      <c r="JY106">
        <v>1.3959999999999999</v>
      </c>
      <c r="JZ106">
        <v>1.9319999999999999</v>
      </c>
      <c r="KA106">
        <v>2.984</v>
      </c>
      <c r="KB106">
        <v>1.0049999999999999</v>
      </c>
      <c r="KC106">
        <v>460</v>
      </c>
      <c r="KH106" t="s">
        <v>126</v>
      </c>
      <c r="KI106">
        <v>1.665</v>
      </c>
      <c r="KJ106">
        <v>0.69699999999999995</v>
      </c>
      <c r="KK106">
        <v>0.40200000000000002</v>
      </c>
      <c r="KL106">
        <v>1.1850000000000001</v>
      </c>
      <c r="KM106">
        <v>1.6439999999999999</v>
      </c>
      <c r="KN106">
        <v>2.1219999999999999</v>
      </c>
      <c r="KO106">
        <v>3.0910000000000002</v>
      </c>
      <c r="KP106">
        <v>1.0229999999999999</v>
      </c>
      <c r="KQ106">
        <v>110</v>
      </c>
      <c r="KV106" t="s">
        <v>126</v>
      </c>
      <c r="KW106">
        <v>0.89700000000000002</v>
      </c>
      <c r="KX106">
        <v>0.59799999999999998</v>
      </c>
      <c r="KY106">
        <v>0.253</v>
      </c>
      <c r="KZ106">
        <v>0.45600000000000002</v>
      </c>
      <c r="LA106">
        <v>0.70399999999999996</v>
      </c>
      <c r="LB106">
        <v>1.173</v>
      </c>
      <c r="LC106">
        <v>2.4900000000000002</v>
      </c>
      <c r="LD106">
        <v>1.119</v>
      </c>
      <c r="LE106">
        <v>22</v>
      </c>
      <c r="LJ106" t="s">
        <v>163</v>
      </c>
      <c r="LK106" t="s">
        <v>164</v>
      </c>
      <c r="LL106" t="s">
        <v>165</v>
      </c>
      <c r="LM106" t="s">
        <v>155</v>
      </c>
      <c r="LN106" t="s">
        <v>166</v>
      </c>
      <c r="LO106" t="s">
        <v>167</v>
      </c>
      <c r="LP106" t="s">
        <v>20</v>
      </c>
      <c r="LQ106" t="s">
        <v>168</v>
      </c>
      <c r="LX106" t="s">
        <v>163</v>
      </c>
      <c r="LY106" t="s">
        <v>164</v>
      </c>
      <c r="LZ106" t="s">
        <v>165</v>
      </c>
      <c r="MA106" t="s">
        <v>155</v>
      </c>
      <c r="MB106" t="s">
        <v>166</v>
      </c>
      <c r="MC106" t="s">
        <v>167</v>
      </c>
      <c r="MD106" t="s">
        <v>20</v>
      </c>
      <c r="ME106" t="s">
        <v>168</v>
      </c>
      <c r="ML106" t="s">
        <v>126</v>
      </c>
      <c r="MM106">
        <v>0.30099999999999999</v>
      </c>
      <c r="MN106">
        <v>0.28999999999999998</v>
      </c>
      <c r="MO106">
        <v>1.2999999999999999E-2</v>
      </c>
      <c r="MP106">
        <v>8.6999999999999994E-2</v>
      </c>
      <c r="MQ106">
        <v>0.19900000000000001</v>
      </c>
      <c r="MR106">
        <v>0.436</v>
      </c>
      <c r="MS106">
        <v>1.048</v>
      </c>
      <c r="MT106">
        <v>1.095</v>
      </c>
      <c r="MU106">
        <v>28</v>
      </c>
      <c r="MZ106" t="s">
        <v>126</v>
      </c>
      <c r="NA106">
        <v>0.251</v>
      </c>
      <c r="NB106">
        <v>0.192</v>
      </c>
      <c r="NC106">
        <v>3.4000000000000002E-2</v>
      </c>
      <c r="ND106">
        <v>0.13300000000000001</v>
      </c>
      <c r="NE106">
        <v>0.20200000000000001</v>
      </c>
      <c r="NF106">
        <v>0.29899999999999999</v>
      </c>
      <c r="NG106">
        <v>0.82</v>
      </c>
      <c r="NH106">
        <v>1.198</v>
      </c>
      <c r="NI106">
        <v>36</v>
      </c>
      <c r="NM106" t="s">
        <v>126</v>
      </c>
      <c r="NN106">
        <v>0.246</v>
      </c>
      <c r="NO106">
        <v>0.25600000000000001</v>
      </c>
      <c r="NP106">
        <v>2.1000000000000001E-2</v>
      </c>
      <c r="NQ106">
        <v>8.8999999999999996E-2</v>
      </c>
      <c r="NR106">
        <v>0.17299999999999999</v>
      </c>
      <c r="NS106">
        <v>0.317</v>
      </c>
      <c r="NT106">
        <v>0.77500000000000002</v>
      </c>
      <c r="NU106">
        <v>1.069</v>
      </c>
      <c r="NV106">
        <v>35</v>
      </c>
      <c r="NY106" t="s">
        <v>126</v>
      </c>
      <c r="NZ106">
        <v>0.40899999999999997</v>
      </c>
      <c r="OA106">
        <v>0.33700000000000002</v>
      </c>
      <c r="OB106">
        <v>2.4E-2</v>
      </c>
      <c r="OC106">
        <v>0.157</v>
      </c>
      <c r="OD106">
        <v>0.308</v>
      </c>
      <c r="OE106">
        <v>0.58299999999999996</v>
      </c>
      <c r="OF106">
        <v>1.3029999999999999</v>
      </c>
      <c r="OG106">
        <v>1.0629999999999999</v>
      </c>
      <c r="OH106">
        <v>1100</v>
      </c>
      <c r="OP106" t="s">
        <v>126</v>
      </c>
      <c r="OQ106">
        <v>0.26</v>
      </c>
      <c r="OR106">
        <v>0.16500000000000001</v>
      </c>
      <c r="OS106">
        <v>4.2000000000000003E-2</v>
      </c>
      <c r="OT106">
        <v>0.115</v>
      </c>
      <c r="OU106">
        <v>0.24299999999999999</v>
      </c>
      <c r="OV106">
        <v>0.36599999999999999</v>
      </c>
      <c r="OW106">
        <v>0.629</v>
      </c>
      <c r="OX106">
        <v>1.1140000000000001</v>
      </c>
      <c r="OY106">
        <v>24</v>
      </c>
      <c r="PB106" t="s">
        <v>126</v>
      </c>
      <c r="PC106">
        <v>0.245</v>
      </c>
      <c r="PD106">
        <v>0.185</v>
      </c>
      <c r="PE106">
        <v>3.2000000000000001E-2</v>
      </c>
      <c r="PF106">
        <v>0.111</v>
      </c>
      <c r="PG106">
        <v>0.20100000000000001</v>
      </c>
      <c r="PH106">
        <v>0.33200000000000002</v>
      </c>
      <c r="PI106">
        <v>0.751</v>
      </c>
      <c r="PJ106">
        <v>1.01</v>
      </c>
      <c r="PK106">
        <v>240</v>
      </c>
      <c r="PN106" t="s">
        <v>126</v>
      </c>
      <c r="PO106">
        <v>0.246</v>
      </c>
      <c r="PP106">
        <v>0.19900000000000001</v>
      </c>
      <c r="PQ106">
        <v>2.1999999999999999E-2</v>
      </c>
      <c r="PR106">
        <v>9.8000000000000004E-2</v>
      </c>
      <c r="PS106">
        <v>0.185</v>
      </c>
      <c r="PT106">
        <v>0.34599999999999997</v>
      </c>
      <c r="PU106">
        <v>0.76300000000000001</v>
      </c>
      <c r="PV106">
        <v>1.054</v>
      </c>
      <c r="PW106">
        <v>42</v>
      </c>
      <c r="PX106" s="3">
        <f t="shared" si="5"/>
        <v>1.2361809045226131</v>
      </c>
      <c r="QA106" t="s">
        <v>126</v>
      </c>
      <c r="QB106">
        <v>0.66200000000000003</v>
      </c>
      <c r="QC106">
        <v>0.251</v>
      </c>
      <c r="QD106">
        <v>0.25</v>
      </c>
      <c r="QE106">
        <v>0.47599999999999998</v>
      </c>
      <c r="QF106">
        <v>0.64200000000000002</v>
      </c>
      <c r="QG106">
        <v>0.81599999999999995</v>
      </c>
      <c r="QH106">
        <v>1.218</v>
      </c>
      <c r="QI106">
        <v>1.0129999999999999</v>
      </c>
      <c r="QJ106">
        <v>180</v>
      </c>
      <c r="QK106" s="3">
        <f t="shared" si="6"/>
        <v>2.6374501992031876</v>
      </c>
      <c r="QL106">
        <f t="shared" si="4"/>
        <v>-0.41600000000000004</v>
      </c>
      <c r="QM106">
        <f>QL106/AVERAGE(PP106,QC106)</f>
        <v>-1.848888888888889</v>
      </c>
    </row>
    <row r="107" spans="1:456">
      <c r="A107" t="s">
        <v>123</v>
      </c>
      <c r="B107">
        <v>16.036999999999999</v>
      </c>
      <c r="C107">
        <v>0.92900000000000005</v>
      </c>
      <c r="D107">
        <v>14.21</v>
      </c>
      <c r="E107">
        <v>15.429</v>
      </c>
      <c r="F107">
        <v>16.030999999999999</v>
      </c>
      <c r="G107">
        <v>16.664999999999999</v>
      </c>
      <c r="H107">
        <v>17.866</v>
      </c>
      <c r="I107">
        <v>1.0029999999999999</v>
      </c>
      <c r="J107">
        <v>810</v>
      </c>
      <c r="O107" t="s">
        <v>123</v>
      </c>
      <c r="P107">
        <v>15.631</v>
      </c>
      <c r="Q107">
        <v>0.92100000000000004</v>
      </c>
      <c r="R107">
        <v>13.818</v>
      </c>
      <c r="S107">
        <v>15.022</v>
      </c>
      <c r="T107">
        <v>15.618</v>
      </c>
      <c r="U107">
        <v>16.260999999999999</v>
      </c>
      <c r="V107">
        <v>17.43</v>
      </c>
      <c r="W107">
        <v>1.0009999999999999</v>
      </c>
      <c r="X107">
        <v>2900</v>
      </c>
      <c r="AC107" t="s">
        <v>123</v>
      </c>
      <c r="AD107">
        <v>16.614000000000001</v>
      </c>
      <c r="AE107">
        <v>0.97199999999999998</v>
      </c>
      <c r="AF107">
        <v>14.688000000000001</v>
      </c>
      <c r="AG107">
        <v>15.956</v>
      </c>
      <c r="AH107">
        <v>16.62</v>
      </c>
      <c r="AI107">
        <v>17.256</v>
      </c>
      <c r="AJ107">
        <v>18.536999999999999</v>
      </c>
      <c r="AK107">
        <v>1.002</v>
      </c>
      <c r="AL107">
        <v>1400</v>
      </c>
      <c r="AQ107" t="s">
        <v>123</v>
      </c>
      <c r="AR107">
        <v>16.667999999999999</v>
      </c>
      <c r="AS107">
        <v>0.98199999999999998</v>
      </c>
      <c r="AT107">
        <v>14.737</v>
      </c>
      <c r="AU107">
        <v>16.004999999999999</v>
      </c>
      <c r="AV107">
        <v>16.66</v>
      </c>
      <c r="AW107">
        <v>17.317</v>
      </c>
      <c r="AX107">
        <v>18.632999999999999</v>
      </c>
      <c r="AY107">
        <v>1.0009999999999999</v>
      </c>
      <c r="AZ107">
        <v>3000</v>
      </c>
      <c r="BE107" t="s">
        <v>123</v>
      </c>
      <c r="BF107">
        <v>16.835000000000001</v>
      </c>
      <c r="BG107">
        <v>0.99</v>
      </c>
      <c r="BH107">
        <v>14.923</v>
      </c>
      <c r="BI107">
        <v>16.161999999999999</v>
      </c>
      <c r="BJ107">
        <v>16.795000000000002</v>
      </c>
      <c r="BK107">
        <v>17.494</v>
      </c>
      <c r="BL107">
        <v>18.824999999999999</v>
      </c>
      <c r="BM107">
        <v>1.0089999999999999</v>
      </c>
      <c r="BN107">
        <v>240</v>
      </c>
      <c r="BS107" t="s">
        <v>123</v>
      </c>
      <c r="BT107">
        <v>16.722000000000001</v>
      </c>
      <c r="BU107">
        <v>0.96299999999999997</v>
      </c>
      <c r="BV107">
        <v>14.856</v>
      </c>
      <c r="BW107">
        <v>16.068000000000001</v>
      </c>
      <c r="BX107">
        <v>16.72</v>
      </c>
      <c r="BY107">
        <v>17.39</v>
      </c>
      <c r="BZ107">
        <v>18.661000000000001</v>
      </c>
      <c r="CA107">
        <v>1.0009999999999999</v>
      </c>
      <c r="CB107">
        <v>3000</v>
      </c>
      <c r="CG107" t="s">
        <v>123</v>
      </c>
      <c r="CH107">
        <v>16.893999999999998</v>
      </c>
      <c r="CI107">
        <v>0.93799999999999994</v>
      </c>
      <c r="CJ107">
        <v>15.114000000000001</v>
      </c>
      <c r="CK107">
        <v>16.239999999999998</v>
      </c>
      <c r="CL107">
        <v>16.895</v>
      </c>
      <c r="CM107">
        <v>17.533000000000001</v>
      </c>
      <c r="CN107">
        <v>18.744</v>
      </c>
      <c r="CO107">
        <v>1.0089999999999999</v>
      </c>
      <c r="CP107">
        <v>240</v>
      </c>
      <c r="CU107" t="s">
        <v>123</v>
      </c>
      <c r="CV107">
        <v>16.773</v>
      </c>
      <c r="CW107">
        <v>0.93700000000000006</v>
      </c>
      <c r="CX107">
        <v>14.936</v>
      </c>
      <c r="CY107">
        <v>16.151</v>
      </c>
      <c r="CZ107">
        <v>16.765000000000001</v>
      </c>
      <c r="DA107">
        <v>17.402999999999999</v>
      </c>
      <c r="DB107">
        <v>18.614000000000001</v>
      </c>
      <c r="DC107">
        <v>1.0049999999999999</v>
      </c>
      <c r="DD107">
        <v>410</v>
      </c>
      <c r="DI107" t="s">
        <v>123</v>
      </c>
      <c r="DJ107">
        <v>16.661000000000001</v>
      </c>
      <c r="DK107">
        <v>0.95199999999999996</v>
      </c>
      <c r="DL107">
        <v>14.765000000000001</v>
      </c>
      <c r="DM107">
        <v>16.024000000000001</v>
      </c>
      <c r="DN107">
        <v>16.672000000000001</v>
      </c>
      <c r="DO107">
        <v>17.308</v>
      </c>
      <c r="DP107">
        <v>18.530999999999999</v>
      </c>
      <c r="DQ107">
        <v>1.002</v>
      </c>
      <c r="DR107">
        <v>1400</v>
      </c>
      <c r="DY107" t="s">
        <v>123</v>
      </c>
      <c r="DZ107">
        <v>16.588999999999999</v>
      </c>
      <c r="EA107">
        <v>0.93899999999999995</v>
      </c>
      <c r="EB107">
        <v>14.69</v>
      </c>
      <c r="EC107">
        <v>15.955</v>
      </c>
      <c r="ED107">
        <v>16.573</v>
      </c>
      <c r="EE107">
        <v>17.238</v>
      </c>
      <c r="EF107">
        <v>18.38</v>
      </c>
      <c r="EG107">
        <v>1.0009999999999999</v>
      </c>
      <c r="EH107">
        <v>2300</v>
      </c>
      <c r="EK107" t="s">
        <v>123</v>
      </c>
      <c r="EL107">
        <v>16.577999999999999</v>
      </c>
      <c r="EM107">
        <v>0.92500000000000004</v>
      </c>
      <c r="EN107">
        <v>14.725</v>
      </c>
      <c r="EO107">
        <v>15.994999999999999</v>
      </c>
      <c r="EP107">
        <v>16.568999999999999</v>
      </c>
      <c r="EQ107">
        <v>17.187000000000001</v>
      </c>
      <c r="ER107">
        <v>18.367000000000001</v>
      </c>
      <c r="ES107">
        <v>1</v>
      </c>
      <c r="ET107">
        <v>1500</v>
      </c>
      <c r="EY107" t="s">
        <v>123</v>
      </c>
      <c r="EZ107">
        <v>10.089</v>
      </c>
      <c r="FA107">
        <v>0.94199999999999995</v>
      </c>
      <c r="FB107">
        <v>8.2189999999999994</v>
      </c>
      <c r="FC107">
        <v>9.468</v>
      </c>
      <c r="FD107">
        <v>10.083</v>
      </c>
      <c r="FE107">
        <v>10.726000000000001</v>
      </c>
      <c r="FF107">
        <v>11.977</v>
      </c>
      <c r="FG107">
        <v>1.0009999999999999</v>
      </c>
      <c r="FH107">
        <v>3000</v>
      </c>
      <c r="GA107" t="s">
        <v>123</v>
      </c>
      <c r="GB107">
        <v>17.221</v>
      </c>
      <c r="GC107">
        <v>0.91800000000000004</v>
      </c>
      <c r="GD107">
        <v>15.422000000000001</v>
      </c>
      <c r="GE107">
        <v>16.587</v>
      </c>
      <c r="GF107">
        <v>17.222000000000001</v>
      </c>
      <c r="GG107">
        <v>17.861000000000001</v>
      </c>
      <c r="GH107">
        <v>19.045000000000002</v>
      </c>
      <c r="GI107">
        <v>1.002</v>
      </c>
      <c r="GJ107">
        <v>1700</v>
      </c>
      <c r="GO107" t="s">
        <v>123</v>
      </c>
      <c r="GP107">
        <v>10.101000000000001</v>
      </c>
      <c r="GQ107">
        <v>0.94799999999999995</v>
      </c>
      <c r="GR107">
        <v>8.2609999999999992</v>
      </c>
      <c r="GS107">
        <v>9.4410000000000007</v>
      </c>
      <c r="GT107">
        <v>10.105</v>
      </c>
      <c r="GU107">
        <v>10.75</v>
      </c>
      <c r="GV107">
        <v>11.891999999999999</v>
      </c>
      <c r="GW107">
        <v>1.0009999999999999</v>
      </c>
      <c r="GX107">
        <v>3000</v>
      </c>
      <c r="HC107" t="s">
        <v>123</v>
      </c>
      <c r="HD107">
        <v>10.114000000000001</v>
      </c>
      <c r="HE107">
        <v>0.95199999999999996</v>
      </c>
      <c r="HF107">
        <v>8.2729999999999997</v>
      </c>
      <c r="HG107">
        <v>9.4550000000000001</v>
      </c>
      <c r="HH107">
        <v>10.141999999999999</v>
      </c>
      <c r="HI107">
        <v>10.728</v>
      </c>
      <c r="HJ107">
        <v>12.016</v>
      </c>
      <c r="HK107">
        <v>1.0009999999999999</v>
      </c>
      <c r="HL107">
        <v>2100</v>
      </c>
      <c r="HP107" s="7"/>
      <c r="HQ107" s="7" t="s">
        <v>123</v>
      </c>
      <c r="HR107" s="7">
        <v>6.5179999999999998</v>
      </c>
      <c r="HS107" s="7">
        <v>0.90400000000000003</v>
      </c>
      <c r="HT107" s="7">
        <v>4.8440000000000003</v>
      </c>
      <c r="HU107" s="7">
        <v>5.9160000000000004</v>
      </c>
      <c r="HV107" s="7">
        <v>6.48</v>
      </c>
      <c r="HW107" s="7">
        <v>7.0819999999999999</v>
      </c>
      <c r="HX107" s="7">
        <v>8.3859999999999992</v>
      </c>
      <c r="HY107" s="7">
        <v>1.0029999999999999</v>
      </c>
      <c r="HZ107" s="7">
        <v>680</v>
      </c>
      <c r="IA107" s="7"/>
      <c r="IE107" t="s">
        <v>123</v>
      </c>
      <c r="IF107">
        <v>7.3150000000000004</v>
      </c>
      <c r="IG107">
        <v>0.94199999999999995</v>
      </c>
      <c r="IH107">
        <v>5.4660000000000002</v>
      </c>
      <c r="II107">
        <v>6.6929999999999996</v>
      </c>
      <c r="IJ107">
        <v>7.2960000000000003</v>
      </c>
      <c r="IK107">
        <v>7.9509999999999996</v>
      </c>
      <c r="IL107">
        <v>9.2089999999999996</v>
      </c>
      <c r="IM107">
        <v>1.0029999999999999</v>
      </c>
      <c r="IN107">
        <v>760</v>
      </c>
      <c r="IS107" t="s">
        <v>189</v>
      </c>
      <c r="IT107">
        <v>-5.7000000000000002E-2</v>
      </c>
      <c r="IU107">
        <v>0.36499999999999999</v>
      </c>
      <c r="IV107">
        <v>-0.78600000000000003</v>
      </c>
      <c r="IW107">
        <v>-0.29299999999999998</v>
      </c>
      <c r="IX107">
        <v>-5.6000000000000001E-2</v>
      </c>
      <c r="IY107">
        <v>0.185</v>
      </c>
      <c r="IZ107">
        <v>0.67500000000000004</v>
      </c>
      <c r="JA107">
        <v>1.0009999999999999</v>
      </c>
      <c r="JB107">
        <v>3000</v>
      </c>
      <c r="JF107" t="s">
        <v>189</v>
      </c>
      <c r="JG107">
        <v>-0.14599999999999999</v>
      </c>
      <c r="JH107">
        <v>0.38500000000000001</v>
      </c>
      <c r="JI107">
        <v>-0.93</v>
      </c>
      <c r="JJ107">
        <v>-0.38900000000000001</v>
      </c>
      <c r="JK107">
        <v>-0.14599999999999999</v>
      </c>
      <c r="JL107">
        <v>9.2999999999999999E-2</v>
      </c>
      <c r="JM107">
        <v>0.64200000000000002</v>
      </c>
      <c r="JN107">
        <v>1.002</v>
      </c>
      <c r="JO107">
        <v>1900</v>
      </c>
      <c r="JT107" t="s">
        <v>189</v>
      </c>
      <c r="JU107">
        <v>-0.107</v>
      </c>
      <c r="JV107">
        <v>0.39700000000000002</v>
      </c>
      <c r="JW107">
        <v>-0.89500000000000002</v>
      </c>
      <c r="JX107">
        <v>-0.36299999999999999</v>
      </c>
      <c r="JY107">
        <v>-0.107</v>
      </c>
      <c r="JZ107">
        <v>0.13400000000000001</v>
      </c>
      <c r="KA107">
        <v>0.72199999999999998</v>
      </c>
      <c r="KB107">
        <v>1.002</v>
      </c>
      <c r="KC107">
        <v>1600</v>
      </c>
      <c r="KH107" t="s">
        <v>189</v>
      </c>
      <c r="KI107">
        <v>-0.104</v>
      </c>
      <c r="KJ107">
        <v>0.40400000000000003</v>
      </c>
      <c r="KK107">
        <v>-0.91300000000000003</v>
      </c>
      <c r="KL107">
        <v>-0.36299999999999999</v>
      </c>
      <c r="KM107">
        <v>-0.10100000000000001</v>
      </c>
      <c r="KN107">
        <v>0.159</v>
      </c>
      <c r="KO107">
        <v>0.68700000000000006</v>
      </c>
      <c r="KP107">
        <v>1.0009999999999999</v>
      </c>
      <c r="KQ107">
        <v>3000</v>
      </c>
      <c r="KV107" t="s">
        <v>189</v>
      </c>
      <c r="KW107">
        <v>-0.19</v>
      </c>
      <c r="KX107">
        <v>0.29699999999999999</v>
      </c>
      <c r="KY107">
        <v>-0.77400000000000002</v>
      </c>
      <c r="KZ107">
        <v>-0.38200000000000001</v>
      </c>
      <c r="LA107">
        <v>-0.184</v>
      </c>
      <c r="LB107">
        <v>4.0000000000000001E-3</v>
      </c>
      <c r="LC107">
        <v>0.39400000000000002</v>
      </c>
      <c r="LD107">
        <v>1.002</v>
      </c>
      <c r="LE107">
        <v>1100</v>
      </c>
      <c r="LJ107" t="s">
        <v>167</v>
      </c>
      <c r="LK107" t="s">
        <v>20</v>
      </c>
      <c r="LL107">
        <v>488.7</v>
      </c>
      <c r="LM107" t="s">
        <v>154</v>
      </c>
      <c r="LN107" t="s">
        <v>163</v>
      </c>
      <c r="LO107" t="s">
        <v>20</v>
      </c>
      <c r="LP107">
        <v>2216.1</v>
      </c>
      <c r="LX107" t="s">
        <v>167</v>
      </c>
      <c r="LY107" t="s">
        <v>20</v>
      </c>
      <c r="LZ107">
        <v>701.5</v>
      </c>
      <c r="MA107" t="s">
        <v>154</v>
      </c>
      <c r="MB107" t="s">
        <v>163</v>
      </c>
      <c r="MC107" t="s">
        <v>20</v>
      </c>
      <c r="MD107">
        <v>2569.8000000000002</v>
      </c>
      <c r="ML107" t="s">
        <v>189</v>
      </c>
      <c r="MM107">
        <v>-0.27100000000000002</v>
      </c>
      <c r="MN107">
        <v>0.27100000000000002</v>
      </c>
      <c r="MO107">
        <v>-0.80200000000000005</v>
      </c>
      <c r="MP107">
        <v>-0.45100000000000001</v>
      </c>
      <c r="MQ107">
        <v>-0.27100000000000002</v>
      </c>
      <c r="MR107">
        <v>-9.1999999999999998E-2</v>
      </c>
      <c r="MS107">
        <v>0.26400000000000001</v>
      </c>
      <c r="MT107">
        <v>1.0009999999999999</v>
      </c>
      <c r="MU107">
        <v>11000</v>
      </c>
      <c r="MZ107" t="s">
        <v>189</v>
      </c>
      <c r="NA107">
        <v>-0.29599999999999999</v>
      </c>
      <c r="NB107">
        <v>0.26500000000000001</v>
      </c>
      <c r="NC107">
        <v>-0.79200000000000004</v>
      </c>
      <c r="ND107">
        <v>-0.47399999999999998</v>
      </c>
      <c r="NE107">
        <v>-0.29699999999999999</v>
      </c>
      <c r="NF107">
        <v>-0.123</v>
      </c>
      <c r="NG107">
        <v>0.22900000000000001</v>
      </c>
      <c r="NH107">
        <v>1.004</v>
      </c>
      <c r="NI107">
        <v>1700</v>
      </c>
      <c r="NM107" t="s">
        <v>189</v>
      </c>
      <c r="NN107">
        <v>0.104</v>
      </c>
      <c r="NO107">
        <v>0.186</v>
      </c>
      <c r="NP107">
        <v>-0.26200000000000001</v>
      </c>
      <c r="NQ107">
        <v>-1.4999999999999999E-2</v>
      </c>
      <c r="NR107">
        <v>0.1</v>
      </c>
      <c r="NS107">
        <v>0.223</v>
      </c>
      <c r="NT107">
        <v>0.48</v>
      </c>
      <c r="NU107">
        <v>1.0009999999999999</v>
      </c>
      <c r="NV107">
        <v>10000</v>
      </c>
      <c r="NY107" t="s">
        <v>189</v>
      </c>
      <c r="NZ107">
        <v>0.13100000000000001</v>
      </c>
      <c r="OA107">
        <v>0.17199999999999999</v>
      </c>
      <c r="OB107">
        <v>-0.183</v>
      </c>
      <c r="OC107">
        <v>1.7999999999999999E-2</v>
      </c>
      <c r="OD107">
        <v>0.121</v>
      </c>
      <c r="OE107">
        <v>0.23499999999999999</v>
      </c>
      <c r="OF107">
        <v>0.501</v>
      </c>
      <c r="OG107">
        <v>1.0009999999999999</v>
      </c>
      <c r="OH107">
        <v>28000</v>
      </c>
      <c r="OP107" t="s">
        <v>189</v>
      </c>
      <c r="OQ107">
        <v>-3.0000000000000001E-3</v>
      </c>
      <c r="OR107">
        <v>0.154</v>
      </c>
      <c r="OS107">
        <v>-0.27700000000000002</v>
      </c>
      <c r="OT107">
        <v>-0.106</v>
      </c>
      <c r="OU107">
        <v>-0.01</v>
      </c>
      <c r="OV107">
        <v>8.8999999999999996E-2</v>
      </c>
      <c r="OW107">
        <v>0.33500000000000002</v>
      </c>
      <c r="OX107">
        <v>1.002</v>
      </c>
      <c r="OY107">
        <v>1300</v>
      </c>
      <c r="PB107" t="s">
        <v>189</v>
      </c>
      <c r="PC107">
        <v>-5.5E-2</v>
      </c>
      <c r="PD107">
        <v>0.14699999999999999</v>
      </c>
      <c r="PE107">
        <v>-0.33</v>
      </c>
      <c r="PF107">
        <v>-0.14599999999999999</v>
      </c>
      <c r="PG107">
        <v>-6.2E-2</v>
      </c>
      <c r="PH107">
        <v>2.9000000000000001E-2</v>
      </c>
      <c r="PI107">
        <v>0.26400000000000001</v>
      </c>
      <c r="PJ107">
        <v>1.0069999999999999</v>
      </c>
      <c r="PK107">
        <v>820</v>
      </c>
      <c r="PN107" t="s">
        <v>127</v>
      </c>
      <c r="PO107">
        <v>8.4000000000000005E-2</v>
      </c>
      <c r="PP107">
        <v>0.20300000000000001</v>
      </c>
      <c r="PQ107">
        <v>-0.309</v>
      </c>
      <c r="PR107">
        <v>-4.7E-2</v>
      </c>
      <c r="PS107">
        <v>7.6999999999999999E-2</v>
      </c>
      <c r="PT107">
        <v>0.22</v>
      </c>
      <c r="PU107">
        <v>0.499</v>
      </c>
      <c r="PV107">
        <v>1.002</v>
      </c>
      <c r="PW107">
        <v>1400</v>
      </c>
      <c r="PX107" s="3">
        <f t="shared" si="5"/>
        <v>0.41379310344827586</v>
      </c>
      <c r="QA107" t="s">
        <v>127</v>
      </c>
      <c r="QB107">
        <v>-0.20399999999999999</v>
      </c>
      <c r="QC107">
        <v>7.4999999999999997E-2</v>
      </c>
      <c r="QD107">
        <v>-0.35499999999999998</v>
      </c>
      <c r="QE107">
        <v>-0.255</v>
      </c>
      <c r="QF107">
        <v>-0.20300000000000001</v>
      </c>
      <c r="QG107">
        <v>-0.152</v>
      </c>
      <c r="QH107">
        <v>-5.8999999999999997E-2</v>
      </c>
      <c r="QI107">
        <v>1.06</v>
      </c>
      <c r="QJ107">
        <v>39</v>
      </c>
      <c r="QK107" s="3">
        <f t="shared" si="6"/>
        <v>-2.7199999999999998</v>
      </c>
      <c r="QL107">
        <f t="shared" si="4"/>
        <v>0.28799999999999998</v>
      </c>
    </row>
    <row r="108" spans="1:456">
      <c r="A108" t="s">
        <v>124</v>
      </c>
      <c r="B108">
        <v>15.944000000000001</v>
      </c>
      <c r="C108">
        <v>0.91200000000000003</v>
      </c>
      <c r="D108">
        <v>14.188000000000001</v>
      </c>
      <c r="E108">
        <v>15.319000000000001</v>
      </c>
      <c r="F108">
        <v>15.948</v>
      </c>
      <c r="G108">
        <v>16.556999999999999</v>
      </c>
      <c r="H108">
        <v>17.745000000000001</v>
      </c>
      <c r="I108">
        <v>1.0229999999999999</v>
      </c>
      <c r="J108">
        <v>93</v>
      </c>
      <c r="O108" t="s">
        <v>124</v>
      </c>
      <c r="P108">
        <v>17.436</v>
      </c>
      <c r="Q108">
        <v>0.89200000000000002</v>
      </c>
      <c r="R108">
        <v>15.715</v>
      </c>
      <c r="S108">
        <v>16.834</v>
      </c>
      <c r="T108">
        <v>17.439</v>
      </c>
      <c r="U108">
        <v>18.029</v>
      </c>
      <c r="V108">
        <v>19.152999999999999</v>
      </c>
      <c r="W108">
        <v>1.002</v>
      </c>
      <c r="X108">
        <v>1000</v>
      </c>
      <c r="AC108" t="s">
        <v>124</v>
      </c>
      <c r="AD108">
        <v>17.829000000000001</v>
      </c>
      <c r="AE108">
        <v>0.91700000000000004</v>
      </c>
      <c r="AF108">
        <v>16.079999999999998</v>
      </c>
      <c r="AG108">
        <v>17.190999999999999</v>
      </c>
      <c r="AH108">
        <v>17.824000000000002</v>
      </c>
      <c r="AI108">
        <v>18.434000000000001</v>
      </c>
      <c r="AJ108">
        <v>19.707000000000001</v>
      </c>
      <c r="AK108">
        <v>1.0009999999999999</v>
      </c>
      <c r="AL108">
        <v>3000</v>
      </c>
      <c r="AQ108" t="s">
        <v>124</v>
      </c>
      <c r="AR108">
        <v>17.827999999999999</v>
      </c>
      <c r="AS108">
        <v>0.92100000000000004</v>
      </c>
      <c r="AT108">
        <v>16.016999999999999</v>
      </c>
      <c r="AU108">
        <v>17.207000000000001</v>
      </c>
      <c r="AV108">
        <v>17.811</v>
      </c>
      <c r="AW108">
        <v>18.434999999999999</v>
      </c>
      <c r="AX108">
        <v>19.678999999999998</v>
      </c>
      <c r="AY108">
        <v>1.002</v>
      </c>
      <c r="AZ108">
        <v>1500</v>
      </c>
      <c r="BE108" t="s">
        <v>124</v>
      </c>
      <c r="BF108">
        <v>18.027000000000001</v>
      </c>
      <c r="BG108">
        <v>0.92</v>
      </c>
      <c r="BH108">
        <v>16.212</v>
      </c>
      <c r="BI108">
        <v>17.401</v>
      </c>
      <c r="BJ108">
        <v>18.027000000000001</v>
      </c>
      <c r="BK108">
        <v>18.640999999999998</v>
      </c>
      <c r="BL108">
        <v>19.808</v>
      </c>
      <c r="BM108">
        <v>1.006</v>
      </c>
      <c r="BN108">
        <v>400</v>
      </c>
      <c r="BS108" t="s">
        <v>124</v>
      </c>
      <c r="BT108">
        <v>17.832999999999998</v>
      </c>
      <c r="BU108">
        <v>0.95099999999999996</v>
      </c>
      <c r="BV108">
        <v>15.999000000000001</v>
      </c>
      <c r="BW108">
        <v>17.193999999999999</v>
      </c>
      <c r="BX108">
        <v>17.829000000000001</v>
      </c>
      <c r="BY108">
        <v>18.448</v>
      </c>
      <c r="BZ108">
        <v>19.754999999999999</v>
      </c>
      <c r="CA108">
        <v>1.0029999999999999</v>
      </c>
      <c r="CB108">
        <v>720</v>
      </c>
      <c r="CG108" t="s">
        <v>124</v>
      </c>
      <c r="CH108">
        <v>17.934000000000001</v>
      </c>
      <c r="CI108">
        <v>0.90300000000000002</v>
      </c>
      <c r="CJ108">
        <v>16.192</v>
      </c>
      <c r="CK108">
        <v>17.327999999999999</v>
      </c>
      <c r="CL108">
        <v>17.905999999999999</v>
      </c>
      <c r="CM108">
        <v>18.523</v>
      </c>
      <c r="CN108">
        <v>19.747</v>
      </c>
      <c r="CO108">
        <v>1.004</v>
      </c>
      <c r="CP108">
        <v>530</v>
      </c>
      <c r="CU108" t="s">
        <v>124</v>
      </c>
      <c r="CV108">
        <v>17.934999999999999</v>
      </c>
      <c r="CW108">
        <v>0.90600000000000003</v>
      </c>
      <c r="CX108">
        <v>16.146999999999998</v>
      </c>
      <c r="CY108">
        <v>17.321999999999999</v>
      </c>
      <c r="CZ108">
        <v>17.940999999999999</v>
      </c>
      <c r="DA108">
        <v>18.542000000000002</v>
      </c>
      <c r="DB108">
        <v>19.728999999999999</v>
      </c>
      <c r="DC108">
        <v>1.0009999999999999</v>
      </c>
      <c r="DD108">
        <v>3000</v>
      </c>
      <c r="DI108" t="s">
        <v>124</v>
      </c>
      <c r="DJ108">
        <v>17.802</v>
      </c>
      <c r="DK108">
        <v>0.92500000000000004</v>
      </c>
      <c r="DL108">
        <v>15.938000000000001</v>
      </c>
      <c r="DM108">
        <v>17.190000000000001</v>
      </c>
      <c r="DN108">
        <v>17.82</v>
      </c>
      <c r="DO108">
        <v>18.393000000000001</v>
      </c>
      <c r="DP108">
        <v>19.632000000000001</v>
      </c>
      <c r="DQ108">
        <v>1.0029999999999999</v>
      </c>
      <c r="DR108">
        <v>990</v>
      </c>
      <c r="DY108" t="s">
        <v>124</v>
      </c>
      <c r="DZ108">
        <v>18.143000000000001</v>
      </c>
      <c r="EA108">
        <v>0.89900000000000002</v>
      </c>
      <c r="EB108">
        <v>16.388999999999999</v>
      </c>
      <c r="EC108">
        <v>17.536000000000001</v>
      </c>
      <c r="ED108">
        <v>18.14</v>
      </c>
      <c r="EE108">
        <v>18.742000000000001</v>
      </c>
      <c r="EF108">
        <v>19.93</v>
      </c>
      <c r="EG108">
        <v>1.0009999999999999</v>
      </c>
      <c r="EH108">
        <v>3000</v>
      </c>
      <c r="EK108" t="s">
        <v>124</v>
      </c>
      <c r="EL108">
        <v>18.004000000000001</v>
      </c>
      <c r="EM108">
        <v>0.85099999999999998</v>
      </c>
      <c r="EN108">
        <v>16.341999999999999</v>
      </c>
      <c r="EO108">
        <v>17.446999999999999</v>
      </c>
      <c r="EP108">
        <v>17.978000000000002</v>
      </c>
      <c r="EQ108">
        <v>18.559000000000001</v>
      </c>
      <c r="ER108">
        <v>19.725999999999999</v>
      </c>
      <c r="ES108">
        <v>1.0009999999999999</v>
      </c>
      <c r="ET108">
        <v>1500</v>
      </c>
      <c r="EY108" t="s">
        <v>124</v>
      </c>
      <c r="EZ108">
        <v>14.166</v>
      </c>
      <c r="FA108">
        <v>0.88900000000000001</v>
      </c>
      <c r="FB108">
        <v>12.413</v>
      </c>
      <c r="FC108">
        <v>13.569000000000001</v>
      </c>
      <c r="FD108">
        <v>14.172000000000001</v>
      </c>
      <c r="FE108">
        <v>14.776999999999999</v>
      </c>
      <c r="FF108">
        <v>15.888999999999999</v>
      </c>
      <c r="FG108">
        <v>1.0009999999999999</v>
      </c>
      <c r="FH108">
        <v>3000</v>
      </c>
      <c r="GA108" t="s">
        <v>124</v>
      </c>
      <c r="GB108">
        <v>18.576000000000001</v>
      </c>
      <c r="GC108">
        <v>0.87</v>
      </c>
      <c r="GD108">
        <v>16.888000000000002</v>
      </c>
      <c r="GE108">
        <v>17.995000000000001</v>
      </c>
      <c r="GF108">
        <v>18.577999999999999</v>
      </c>
      <c r="GG108">
        <v>19.154</v>
      </c>
      <c r="GH108">
        <v>20.324999999999999</v>
      </c>
      <c r="GI108">
        <v>1.0009999999999999</v>
      </c>
      <c r="GJ108">
        <v>3000</v>
      </c>
      <c r="GO108" t="s">
        <v>124</v>
      </c>
      <c r="GP108">
        <v>14.138999999999999</v>
      </c>
      <c r="GQ108">
        <v>0.86199999999999999</v>
      </c>
      <c r="GR108">
        <v>12.478999999999999</v>
      </c>
      <c r="GS108">
        <v>13.551</v>
      </c>
      <c r="GT108">
        <v>14.138</v>
      </c>
      <c r="GU108">
        <v>14.734</v>
      </c>
      <c r="GV108">
        <v>15.813000000000001</v>
      </c>
      <c r="GW108">
        <v>1.0009999999999999</v>
      </c>
      <c r="GX108">
        <v>3000</v>
      </c>
      <c r="HC108" t="s">
        <v>124</v>
      </c>
      <c r="HD108">
        <v>14.186999999999999</v>
      </c>
      <c r="HE108">
        <v>0.879</v>
      </c>
      <c r="HF108">
        <v>12.488</v>
      </c>
      <c r="HG108">
        <v>13.589</v>
      </c>
      <c r="HH108">
        <v>14.183999999999999</v>
      </c>
      <c r="HI108">
        <v>14.77</v>
      </c>
      <c r="HJ108">
        <v>15.888999999999999</v>
      </c>
      <c r="HK108">
        <v>1.002</v>
      </c>
      <c r="HL108">
        <v>1500</v>
      </c>
      <c r="HP108" s="7"/>
      <c r="HQ108" s="7" t="s">
        <v>124</v>
      </c>
      <c r="HR108" s="7">
        <v>9.173</v>
      </c>
      <c r="HS108" s="7">
        <v>0.88400000000000001</v>
      </c>
      <c r="HT108" s="7">
        <v>7.4459999999999997</v>
      </c>
      <c r="HU108" s="7">
        <v>8.5549999999999997</v>
      </c>
      <c r="HV108" s="7">
        <v>9.1850000000000005</v>
      </c>
      <c r="HW108" s="7">
        <v>9.7629999999999999</v>
      </c>
      <c r="HX108" s="7">
        <v>10.882</v>
      </c>
      <c r="HY108" s="7">
        <v>1.0009999999999999</v>
      </c>
      <c r="HZ108" s="7">
        <v>3000</v>
      </c>
      <c r="IA108" s="7"/>
      <c r="IE108" t="s">
        <v>124</v>
      </c>
      <c r="IF108">
        <v>9.6180000000000003</v>
      </c>
      <c r="IG108">
        <v>0.83899999999999997</v>
      </c>
      <c r="IH108">
        <v>8.0030000000000001</v>
      </c>
      <c r="II108">
        <v>9.0310000000000006</v>
      </c>
      <c r="IJ108">
        <v>9.5909999999999993</v>
      </c>
      <c r="IK108">
        <v>10.176</v>
      </c>
      <c r="IL108">
        <v>11.275</v>
      </c>
      <c r="IM108">
        <v>1.0009999999999999</v>
      </c>
      <c r="IN108">
        <v>2300</v>
      </c>
      <c r="IS108" t="s">
        <v>190</v>
      </c>
      <c r="IT108">
        <v>1.0289999999999999</v>
      </c>
      <c r="IU108">
        <v>0.442</v>
      </c>
      <c r="IV108">
        <v>0.17499999999999999</v>
      </c>
      <c r="IW108">
        <v>0.73499999999999999</v>
      </c>
      <c r="IX108">
        <v>1.032</v>
      </c>
      <c r="IY108">
        <v>1.3169999999999999</v>
      </c>
      <c r="IZ108">
        <v>1.895</v>
      </c>
      <c r="JA108">
        <v>1.002</v>
      </c>
      <c r="JB108">
        <v>1200</v>
      </c>
      <c r="JF108" t="s">
        <v>190</v>
      </c>
      <c r="JG108">
        <v>1.518</v>
      </c>
      <c r="JH108">
        <v>0.54500000000000004</v>
      </c>
      <c r="JI108">
        <v>0.42</v>
      </c>
      <c r="JJ108">
        <v>1.157</v>
      </c>
      <c r="JK108">
        <v>1.5149999999999999</v>
      </c>
      <c r="JL108">
        <v>1.889</v>
      </c>
      <c r="JM108">
        <v>2.5739999999999998</v>
      </c>
      <c r="JN108">
        <v>1.002</v>
      </c>
      <c r="JO108">
        <v>1600</v>
      </c>
      <c r="JT108" t="s">
        <v>190</v>
      </c>
      <c r="JU108">
        <v>1.5840000000000001</v>
      </c>
      <c r="JV108">
        <v>0.55700000000000005</v>
      </c>
      <c r="JW108">
        <v>0.53</v>
      </c>
      <c r="JX108">
        <v>1.194</v>
      </c>
      <c r="JY108">
        <v>1.57</v>
      </c>
      <c r="JZ108">
        <v>1.9530000000000001</v>
      </c>
      <c r="KA108">
        <v>2.7090000000000001</v>
      </c>
      <c r="KB108">
        <v>1.0029999999999999</v>
      </c>
      <c r="KC108">
        <v>750</v>
      </c>
      <c r="KH108" t="s">
        <v>190</v>
      </c>
      <c r="KI108">
        <v>1.5529999999999999</v>
      </c>
      <c r="KJ108">
        <v>0.56100000000000005</v>
      </c>
      <c r="KK108">
        <v>0.47199999999999998</v>
      </c>
      <c r="KL108">
        <v>1.1830000000000001</v>
      </c>
      <c r="KM108">
        <v>1.5449999999999999</v>
      </c>
      <c r="KN108">
        <v>1.913</v>
      </c>
      <c r="KO108">
        <v>2.6949999999999998</v>
      </c>
      <c r="KP108">
        <v>1.0009999999999999</v>
      </c>
      <c r="KQ108">
        <v>3000</v>
      </c>
      <c r="KV108" t="s">
        <v>190</v>
      </c>
      <c r="KW108">
        <v>1.879</v>
      </c>
      <c r="KX108">
        <v>0.39900000000000002</v>
      </c>
      <c r="KY108">
        <v>1.1100000000000001</v>
      </c>
      <c r="KZ108">
        <v>1.61</v>
      </c>
      <c r="LA108">
        <v>1.8859999999999999</v>
      </c>
      <c r="LB108">
        <v>2.1429999999999998</v>
      </c>
      <c r="LC108">
        <v>2.673</v>
      </c>
      <c r="LD108">
        <v>1.0029999999999999</v>
      </c>
      <c r="LE108">
        <v>890</v>
      </c>
      <c r="LJ108" t="s">
        <v>163</v>
      </c>
      <c r="LK108" t="s">
        <v>146</v>
      </c>
      <c r="LL108" t="s">
        <v>169</v>
      </c>
      <c r="LM108" t="s">
        <v>170</v>
      </c>
      <c r="LN108" t="s">
        <v>150</v>
      </c>
      <c r="LO108" t="s">
        <v>171</v>
      </c>
      <c r="LP108" t="s">
        <v>172</v>
      </c>
      <c r="LQ108" t="s">
        <v>173</v>
      </c>
      <c r="LR108" t="s">
        <v>174</v>
      </c>
      <c r="LS108" t="s">
        <v>143</v>
      </c>
      <c r="LT108" t="s">
        <v>146</v>
      </c>
      <c r="LU108" t="s">
        <v>175</v>
      </c>
      <c r="LX108" t="s">
        <v>163</v>
      </c>
      <c r="LY108" t="s">
        <v>146</v>
      </c>
      <c r="LZ108" t="s">
        <v>169</v>
      </c>
      <c r="MA108" t="s">
        <v>170</v>
      </c>
      <c r="MB108" t="s">
        <v>150</v>
      </c>
      <c r="MC108" t="s">
        <v>171</v>
      </c>
      <c r="MD108" t="s">
        <v>172</v>
      </c>
      <c r="ME108" t="s">
        <v>173</v>
      </c>
      <c r="MF108" t="s">
        <v>174</v>
      </c>
      <c r="MG108" t="s">
        <v>143</v>
      </c>
      <c r="MH108" t="s">
        <v>146</v>
      </c>
      <c r="MI108" t="s">
        <v>175</v>
      </c>
      <c r="ML108" t="s">
        <v>190</v>
      </c>
      <c r="MM108">
        <v>1.4239999999999999</v>
      </c>
      <c r="MN108">
        <v>0.373</v>
      </c>
      <c r="MO108">
        <v>0.69299999999999995</v>
      </c>
      <c r="MP108">
        <v>1.1739999999999999</v>
      </c>
      <c r="MQ108">
        <v>1.425</v>
      </c>
      <c r="MR108">
        <v>1.6759999999999999</v>
      </c>
      <c r="MS108">
        <v>2.1509999999999998</v>
      </c>
      <c r="MT108">
        <v>1.0009999999999999</v>
      </c>
      <c r="MU108">
        <v>34000</v>
      </c>
      <c r="MZ108" t="s">
        <v>190</v>
      </c>
      <c r="NA108">
        <v>1.427</v>
      </c>
      <c r="NB108">
        <v>0.35399999999999998</v>
      </c>
      <c r="NC108">
        <v>0.72499999999999998</v>
      </c>
      <c r="ND108">
        <v>1.1890000000000001</v>
      </c>
      <c r="NE108">
        <v>1.4339999999999999</v>
      </c>
      <c r="NF108">
        <v>1.6759999999999999</v>
      </c>
      <c r="NG108">
        <v>2.1219999999999999</v>
      </c>
      <c r="NH108">
        <v>1.006</v>
      </c>
      <c r="NI108">
        <v>530</v>
      </c>
      <c r="NM108" t="s">
        <v>190</v>
      </c>
      <c r="NN108">
        <v>0.17899999999999999</v>
      </c>
      <c r="NO108">
        <v>0.128</v>
      </c>
      <c r="NP108">
        <v>-8.5000000000000006E-2</v>
      </c>
      <c r="NQ108">
        <v>9.6000000000000002E-2</v>
      </c>
      <c r="NR108">
        <v>0.182</v>
      </c>
      <c r="NS108">
        <v>0.26500000000000001</v>
      </c>
      <c r="NT108">
        <v>0.42199999999999999</v>
      </c>
      <c r="NU108">
        <v>1.0009999999999999</v>
      </c>
      <c r="NV108">
        <v>6100</v>
      </c>
      <c r="NY108" t="s">
        <v>190</v>
      </c>
      <c r="NZ108">
        <v>0.189</v>
      </c>
      <c r="OA108">
        <v>0.129</v>
      </c>
      <c r="OB108">
        <v>-7.4999999999999997E-2</v>
      </c>
      <c r="OC108">
        <v>0.105</v>
      </c>
      <c r="OD108">
        <v>0.193</v>
      </c>
      <c r="OE108">
        <v>0.27600000000000002</v>
      </c>
      <c r="OF108">
        <v>0.42899999999999999</v>
      </c>
      <c r="OG108">
        <v>1.0009999999999999</v>
      </c>
      <c r="OH108">
        <v>46000</v>
      </c>
      <c r="OP108" t="s">
        <v>190</v>
      </c>
      <c r="OQ108">
        <v>0.17599999999999999</v>
      </c>
      <c r="OR108">
        <v>0.13600000000000001</v>
      </c>
      <c r="OS108">
        <v>-0.10100000000000001</v>
      </c>
      <c r="OT108">
        <v>8.5000000000000006E-2</v>
      </c>
      <c r="OU108">
        <v>0.18099999999999999</v>
      </c>
      <c r="OV108">
        <v>0.27400000000000002</v>
      </c>
      <c r="OW108">
        <v>0.42499999999999999</v>
      </c>
      <c r="OX108">
        <v>1.0009999999999999</v>
      </c>
      <c r="OY108">
        <v>3000</v>
      </c>
      <c r="PB108" t="s">
        <v>190</v>
      </c>
      <c r="PC108">
        <v>0.17100000000000001</v>
      </c>
      <c r="PD108">
        <v>0.13</v>
      </c>
      <c r="PE108">
        <v>-0.1</v>
      </c>
      <c r="PF108">
        <v>8.6999999999999994E-2</v>
      </c>
      <c r="PG108">
        <v>0.17399999999999999</v>
      </c>
      <c r="PH108">
        <v>0.26100000000000001</v>
      </c>
      <c r="PI108">
        <v>0.41399999999999998</v>
      </c>
      <c r="PJ108">
        <v>1.0009999999999999</v>
      </c>
      <c r="PK108">
        <v>3000</v>
      </c>
      <c r="PN108" t="s">
        <v>128</v>
      </c>
      <c r="PO108">
        <v>0.125</v>
      </c>
      <c r="PP108">
        <v>8.6999999999999994E-2</v>
      </c>
      <c r="PQ108">
        <v>-4.1000000000000002E-2</v>
      </c>
      <c r="PR108">
        <v>6.5000000000000002E-2</v>
      </c>
      <c r="PS108">
        <v>0.126</v>
      </c>
      <c r="PT108">
        <v>0.182</v>
      </c>
      <c r="PU108">
        <v>0.29899999999999999</v>
      </c>
      <c r="PV108">
        <v>1.0009999999999999</v>
      </c>
      <c r="PW108">
        <v>2700</v>
      </c>
      <c r="PX108" s="3">
        <f t="shared" si="5"/>
        <v>1.4367816091954024</v>
      </c>
      <c r="QA108" t="s">
        <v>128</v>
      </c>
      <c r="QB108">
        <v>0.10100000000000001</v>
      </c>
      <c r="QC108">
        <v>0.04</v>
      </c>
      <c r="QD108">
        <v>2.4E-2</v>
      </c>
      <c r="QE108">
        <v>7.2999999999999995E-2</v>
      </c>
      <c r="QF108">
        <v>9.9000000000000005E-2</v>
      </c>
      <c r="QG108">
        <v>0.129</v>
      </c>
      <c r="QH108">
        <v>0.17899999999999999</v>
      </c>
      <c r="QI108">
        <v>1.155</v>
      </c>
      <c r="QJ108">
        <v>17</v>
      </c>
      <c r="QK108" s="3">
        <f t="shared" si="6"/>
        <v>2.5249999999999999</v>
      </c>
      <c r="QL108">
        <f t="shared" si="4"/>
        <v>2.3999999999999994E-2</v>
      </c>
    </row>
    <row r="109" spans="1:456">
      <c r="A109" t="s">
        <v>125</v>
      </c>
      <c r="B109">
        <v>0.28100000000000003</v>
      </c>
      <c r="C109">
        <v>0.20899999999999999</v>
      </c>
      <c r="D109">
        <v>2.1999999999999999E-2</v>
      </c>
      <c r="E109">
        <v>0.122</v>
      </c>
      <c r="F109">
        <v>0.23300000000000001</v>
      </c>
      <c r="G109">
        <v>0.376</v>
      </c>
      <c r="H109">
        <v>0.81100000000000005</v>
      </c>
      <c r="I109">
        <v>1.1319999999999999</v>
      </c>
      <c r="J109">
        <v>24</v>
      </c>
      <c r="O109" t="s">
        <v>125</v>
      </c>
      <c r="P109">
        <v>0.39500000000000002</v>
      </c>
      <c r="Q109">
        <v>0.16</v>
      </c>
      <c r="R109">
        <v>0.20100000000000001</v>
      </c>
      <c r="S109">
        <v>0.28199999999999997</v>
      </c>
      <c r="T109">
        <v>0.34799999999999998</v>
      </c>
      <c r="U109">
        <v>0.47</v>
      </c>
      <c r="V109">
        <v>0.83499999999999996</v>
      </c>
      <c r="W109">
        <v>1.073</v>
      </c>
      <c r="X109">
        <v>36</v>
      </c>
      <c r="AC109" t="s">
        <v>125</v>
      </c>
      <c r="AD109">
        <v>0.52100000000000002</v>
      </c>
      <c r="AE109">
        <v>0.23400000000000001</v>
      </c>
      <c r="AF109">
        <v>0.23200000000000001</v>
      </c>
      <c r="AG109">
        <v>0.34899999999999998</v>
      </c>
      <c r="AH109">
        <v>0.46600000000000003</v>
      </c>
      <c r="AI109">
        <v>0.63100000000000001</v>
      </c>
      <c r="AJ109">
        <v>1.155</v>
      </c>
      <c r="AK109">
        <v>1.0109999999999999</v>
      </c>
      <c r="AL109">
        <v>180</v>
      </c>
      <c r="AQ109" t="s">
        <v>125</v>
      </c>
      <c r="AR109">
        <v>0.57899999999999996</v>
      </c>
      <c r="AS109">
        <v>0.28199999999999997</v>
      </c>
      <c r="AT109">
        <v>0.24099999999999999</v>
      </c>
      <c r="AU109">
        <v>0.378</v>
      </c>
      <c r="AV109">
        <v>0.51200000000000001</v>
      </c>
      <c r="AW109">
        <v>0.70099999999999996</v>
      </c>
      <c r="AX109">
        <v>1.3120000000000001</v>
      </c>
      <c r="AY109">
        <v>1.05</v>
      </c>
      <c r="AZ109">
        <v>53</v>
      </c>
      <c r="BE109" t="s">
        <v>125</v>
      </c>
      <c r="BF109">
        <v>1.0329999999999999</v>
      </c>
      <c r="BG109">
        <v>0.41099999999999998</v>
      </c>
      <c r="BH109">
        <v>0.46200000000000002</v>
      </c>
      <c r="BI109">
        <v>0.73199999999999998</v>
      </c>
      <c r="BJ109">
        <v>0.94599999999999995</v>
      </c>
      <c r="BK109">
        <v>1.274</v>
      </c>
      <c r="BL109">
        <v>2.093</v>
      </c>
      <c r="BM109">
        <v>1.075</v>
      </c>
      <c r="BN109">
        <v>37</v>
      </c>
      <c r="BS109" t="s">
        <v>125</v>
      </c>
      <c r="BT109">
        <v>0.57399999999999995</v>
      </c>
      <c r="BU109">
        <v>0.249</v>
      </c>
      <c r="BV109">
        <v>0.23499999999999999</v>
      </c>
      <c r="BW109">
        <v>0.379</v>
      </c>
      <c r="BX109">
        <v>0.53800000000000003</v>
      </c>
      <c r="BY109">
        <v>0.70699999999999996</v>
      </c>
      <c r="BZ109">
        <v>1.1339999999999999</v>
      </c>
      <c r="CA109">
        <v>1.1259999999999999</v>
      </c>
      <c r="CB109">
        <v>25</v>
      </c>
      <c r="CG109" t="s">
        <v>125</v>
      </c>
      <c r="CH109">
        <v>1.1020000000000001</v>
      </c>
      <c r="CI109">
        <v>0.41599999999999998</v>
      </c>
      <c r="CJ109">
        <v>0.45700000000000002</v>
      </c>
      <c r="CK109">
        <v>0.79600000000000004</v>
      </c>
      <c r="CL109">
        <v>1.036</v>
      </c>
      <c r="CM109">
        <v>1.353</v>
      </c>
      <c r="CN109">
        <v>2.0609999999999999</v>
      </c>
      <c r="CO109">
        <v>1.095</v>
      </c>
      <c r="CP109">
        <v>27</v>
      </c>
      <c r="CU109" t="s">
        <v>125</v>
      </c>
      <c r="CV109">
        <v>0.71199999999999997</v>
      </c>
      <c r="CW109">
        <v>0.32100000000000001</v>
      </c>
      <c r="CX109">
        <v>0.29799999999999999</v>
      </c>
      <c r="CY109">
        <v>0.48599999999999999</v>
      </c>
      <c r="CZ109">
        <v>0.64600000000000002</v>
      </c>
      <c r="DA109">
        <v>0.85099999999999998</v>
      </c>
      <c r="DB109">
        <v>1.54</v>
      </c>
      <c r="DC109">
        <v>1.0249999999999999</v>
      </c>
      <c r="DD109">
        <v>100</v>
      </c>
      <c r="DI109" t="s">
        <v>125</v>
      </c>
      <c r="DJ109">
        <v>0.56699999999999995</v>
      </c>
      <c r="DK109">
        <v>0.28199999999999997</v>
      </c>
      <c r="DL109">
        <v>0.23599999999999999</v>
      </c>
      <c r="DM109">
        <v>0.36799999999999999</v>
      </c>
      <c r="DN109">
        <v>0.5</v>
      </c>
      <c r="DO109">
        <v>0.68500000000000005</v>
      </c>
      <c r="DP109">
        <v>1.3260000000000001</v>
      </c>
      <c r="DQ109">
        <v>1.0089999999999999</v>
      </c>
      <c r="DR109">
        <v>930</v>
      </c>
      <c r="DY109" t="s">
        <v>125</v>
      </c>
      <c r="DZ109">
        <v>0.63500000000000001</v>
      </c>
      <c r="EA109">
        <v>0.34499999999999997</v>
      </c>
      <c r="EB109">
        <v>0.25600000000000001</v>
      </c>
      <c r="EC109">
        <v>0.40699999999999997</v>
      </c>
      <c r="ED109">
        <v>0.54200000000000004</v>
      </c>
      <c r="EE109">
        <v>0.747</v>
      </c>
      <c r="EF109">
        <v>1.5960000000000001</v>
      </c>
      <c r="EG109">
        <v>1.0900000000000001</v>
      </c>
      <c r="EH109">
        <v>35</v>
      </c>
      <c r="EK109" t="s">
        <v>125</v>
      </c>
      <c r="EL109">
        <v>0.51300000000000001</v>
      </c>
      <c r="EM109">
        <v>0.29699999999999999</v>
      </c>
      <c r="EN109">
        <v>0.20799999999999999</v>
      </c>
      <c r="EO109">
        <v>0.30299999999999999</v>
      </c>
      <c r="EP109">
        <v>0.42699999999999999</v>
      </c>
      <c r="EQ109">
        <v>0.61799999999999999</v>
      </c>
      <c r="ER109">
        <v>1.3640000000000001</v>
      </c>
      <c r="ES109">
        <v>1.01</v>
      </c>
      <c r="ET109">
        <v>250</v>
      </c>
      <c r="EY109" t="s">
        <v>125</v>
      </c>
      <c r="EZ109">
        <v>0.48799999999999999</v>
      </c>
      <c r="FA109">
        <v>0.255</v>
      </c>
      <c r="FB109">
        <v>0.21299999999999999</v>
      </c>
      <c r="FC109">
        <v>0.318</v>
      </c>
      <c r="FD109">
        <v>0.41399999999999998</v>
      </c>
      <c r="FE109">
        <v>0.57799999999999996</v>
      </c>
      <c r="FF109">
        <v>1.214</v>
      </c>
      <c r="FG109">
        <v>1.0069999999999999</v>
      </c>
      <c r="FH109">
        <v>410</v>
      </c>
      <c r="GA109" t="s">
        <v>125</v>
      </c>
      <c r="GB109">
        <v>0.82399999999999995</v>
      </c>
      <c r="GC109">
        <v>0.372</v>
      </c>
      <c r="GD109">
        <v>0.28499999999999998</v>
      </c>
      <c r="GE109">
        <v>0.51200000000000001</v>
      </c>
      <c r="GF109">
        <v>0.76600000000000001</v>
      </c>
      <c r="GG109">
        <v>1.0880000000000001</v>
      </c>
      <c r="GH109">
        <v>1.6459999999999999</v>
      </c>
      <c r="GI109">
        <v>1.0089999999999999</v>
      </c>
      <c r="GJ109">
        <v>240</v>
      </c>
      <c r="GO109" t="s">
        <v>125</v>
      </c>
      <c r="GP109">
        <v>0.56299999999999994</v>
      </c>
      <c r="GQ109">
        <v>0.32200000000000001</v>
      </c>
      <c r="GR109">
        <v>0.22700000000000001</v>
      </c>
      <c r="GS109">
        <v>0.34200000000000003</v>
      </c>
      <c r="GT109">
        <v>0.47299999999999998</v>
      </c>
      <c r="GU109">
        <v>0.68200000000000005</v>
      </c>
      <c r="GV109">
        <v>1.4790000000000001</v>
      </c>
      <c r="GW109">
        <v>1.0429999999999999</v>
      </c>
      <c r="GX109">
        <v>59</v>
      </c>
      <c r="HC109" t="s">
        <v>125</v>
      </c>
      <c r="HD109">
        <v>0.47399999999999998</v>
      </c>
      <c r="HE109">
        <v>0.21</v>
      </c>
      <c r="HF109">
        <v>0.23</v>
      </c>
      <c r="HG109">
        <v>0.32900000000000001</v>
      </c>
      <c r="HH109">
        <v>0.42</v>
      </c>
      <c r="HI109">
        <v>0.55600000000000005</v>
      </c>
      <c r="HJ109">
        <v>1.0469999999999999</v>
      </c>
      <c r="HK109">
        <v>1.03</v>
      </c>
      <c r="HL109">
        <v>97</v>
      </c>
      <c r="HP109" s="7"/>
      <c r="HQ109" s="7" t="s">
        <v>125</v>
      </c>
      <c r="HR109" s="7">
        <v>0.35799999999999998</v>
      </c>
      <c r="HS109" s="7">
        <v>0.16900000000000001</v>
      </c>
      <c r="HT109" s="7">
        <v>0.14599999999999999</v>
      </c>
      <c r="HU109" s="7">
        <v>0.23699999999999999</v>
      </c>
      <c r="HV109" s="7">
        <v>0.311</v>
      </c>
      <c r="HW109" s="7">
        <v>0.439</v>
      </c>
      <c r="HX109" s="7">
        <v>0.80500000000000005</v>
      </c>
      <c r="HY109" s="7">
        <v>1.0129999999999999</v>
      </c>
      <c r="HZ109" s="7">
        <v>170</v>
      </c>
      <c r="IA109" s="7"/>
      <c r="IE109" t="s">
        <v>125</v>
      </c>
      <c r="IF109">
        <v>0.46100000000000002</v>
      </c>
      <c r="IG109">
        <v>0.23400000000000001</v>
      </c>
      <c r="IH109">
        <v>0.16700000000000001</v>
      </c>
      <c r="II109">
        <v>0.29099999999999998</v>
      </c>
      <c r="IJ109">
        <v>0.41</v>
      </c>
      <c r="IK109">
        <v>0.56599999999999995</v>
      </c>
      <c r="IL109">
        <v>1.0860000000000001</v>
      </c>
      <c r="IM109">
        <v>1.0189999999999999</v>
      </c>
      <c r="IN109">
        <v>110</v>
      </c>
      <c r="IS109" t="s">
        <v>191</v>
      </c>
      <c r="IT109">
        <v>-1.522</v>
      </c>
      <c r="IU109">
        <v>0.39900000000000002</v>
      </c>
      <c r="IV109">
        <v>-2.3919999999999999</v>
      </c>
      <c r="IW109">
        <v>-1.766</v>
      </c>
      <c r="IX109">
        <v>-1.4750000000000001</v>
      </c>
      <c r="IY109">
        <v>-1.246</v>
      </c>
      <c r="IZ109">
        <v>-0.83299999999999996</v>
      </c>
      <c r="JA109">
        <v>1.0009999999999999</v>
      </c>
      <c r="JB109">
        <v>2900</v>
      </c>
      <c r="JF109" t="s">
        <v>191</v>
      </c>
      <c r="JG109">
        <v>-1.6479999999999999</v>
      </c>
      <c r="JH109">
        <v>0.44400000000000001</v>
      </c>
      <c r="JI109">
        <v>-2.59</v>
      </c>
      <c r="JJ109">
        <v>-1.8979999999999999</v>
      </c>
      <c r="JK109">
        <v>-1.6220000000000001</v>
      </c>
      <c r="JL109">
        <v>-1.3460000000000001</v>
      </c>
      <c r="JM109">
        <v>-0.88900000000000001</v>
      </c>
      <c r="JN109">
        <v>1.0029999999999999</v>
      </c>
      <c r="JO109">
        <v>970</v>
      </c>
      <c r="JT109" t="s">
        <v>191</v>
      </c>
      <c r="JU109">
        <v>-1.6830000000000001</v>
      </c>
      <c r="JV109">
        <v>0.47</v>
      </c>
      <c r="JW109">
        <v>-2.7410000000000001</v>
      </c>
      <c r="JX109">
        <v>-1.9770000000000001</v>
      </c>
      <c r="JY109">
        <v>-1.6459999999999999</v>
      </c>
      <c r="JZ109">
        <v>-1.359</v>
      </c>
      <c r="KA109">
        <v>-0.873</v>
      </c>
      <c r="KB109">
        <v>1.002</v>
      </c>
      <c r="KC109">
        <v>2600</v>
      </c>
      <c r="KH109" t="s">
        <v>191</v>
      </c>
      <c r="KI109">
        <v>-1.722</v>
      </c>
      <c r="KJ109">
        <v>0.49299999999999999</v>
      </c>
      <c r="KK109">
        <v>-2.7709999999999999</v>
      </c>
      <c r="KL109">
        <v>-2.0249999999999999</v>
      </c>
      <c r="KM109">
        <v>-1.6839999999999999</v>
      </c>
      <c r="KN109">
        <v>-1.3759999999999999</v>
      </c>
      <c r="KO109">
        <v>-0.88700000000000001</v>
      </c>
      <c r="KP109">
        <v>1.0009999999999999</v>
      </c>
      <c r="KQ109">
        <v>3000</v>
      </c>
      <c r="KV109" t="s">
        <v>191</v>
      </c>
      <c r="KW109">
        <v>-1.53</v>
      </c>
      <c r="KX109">
        <v>0.34399999999999997</v>
      </c>
      <c r="KY109">
        <v>-2.294</v>
      </c>
      <c r="KZ109">
        <v>-1.7410000000000001</v>
      </c>
      <c r="LA109">
        <v>-1.502</v>
      </c>
      <c r="LB109">
        <v>-1.294</v>
      </c>
      <c r="LC109">
        <v>-0.91700000000000004</v>
      </c>
      <c r="LD109">
        <v>1.006</v>
      </c>
      <c r="LE109">
        <v>340</v>
      </c>
      <c r="ML109" t="s">
        <v>191</v>
      </c>
      <c r="MM109">
        <v>-1.3620000000000001</v>
      </c>
      <c r="MN109">
        <v>0.27700000000000002</v>
      </c>
      <c r="MO109">
        <v>-1.9410000000000001</v>
      </c>
      <c r="MP109">
        <v>-1.538</v>
      </c>
      <c r="MQ109">
        <v>-1.3480000000000001</v>
      </c>
      <c r="MR109">
        <v>-1.17</v>
      </c>
      <c r="MS109">
        <v>-0.85399999999999998</v>
      </c>
      <c r="MT109">
        <v>1.0009999999999999</v>
      </c>
      <c r="MU109">
        <v>19000</v>
      </c>
      <c r="MZ109" t="s">
        <v>191</v>
      </c>
      <c r="NA109">
        <v>-1.3380000000000001</v>
      </c>
      <c r="NB109">
        <v>0.27800000000000002</v>
      </c>
      <c r="NC109">
        <v>-1.909</v>
      </c>
      <c r="ND109">
        <v>-1.5209999999999999</v>
      </c>
      <c r="NE109">
        <v>-1.3220000000000001</v>
      </c>
      <c r="NF109">
        <v>-1.1379999999999999</v>
      </c>
      <c r="NG109">
        <v>-0.82699999999999996</v>
      </c>
      <c r="NH109">
        <v>1.038</v>
      </c>
      <c r="NI109">
        <v>58</v>
      </c>
      <c r="NM109" t="s">
        <v>191</v>
      </c>
      <c r="NN109">
        <v>-2.0230000000000001</v>
      </c>
      <c r="NO109">
        <v>0.34</v>
      </c>
      <c r="NP109">
        <v>-2.73</v>
      </c>
      <c r="NQ109">
        <v>-2.254</v>
      </c>
      <c r="NR109">
        <v>-1.998</v>
      </c>
      <c r="NS109">
        <v>-1.784</v>
      </c>
      <c r="NT109">
        <v>-1.413</v>
      </c>
      <c r="NU109">
        <v>1.0469999999999999</v>
      </c>
      <c r="NV109">
        <v>48</v>
      </c>
      <c r="NY109" t="s">
        <v>191</v>
      </c>
      <c r="NZ109">
        <v>-2.665</v>
      </c>
      <c r="OA109">
        <v>0.497</v>
      </c>
      <c r="OB109">
        <v>-3.722</v>
      </c>
      <c r="OC109">
        <v>-2.9630000000000001</v>
      </c>
      <c r="OD109">
        <v>-2.637</v>
      </c>
      <c r="OE109">
        <v>-2.343</v>
      </c>
      <c r="OF109">
        <v>-1.728</v>
      </c>
      <c r="OG109">
        <v>1.1870000000000001</v>
      </c>
      <c r="OH109">
        <v>15</v>
      </c>
      <c r="OP109" t="s">
        <v>191</v>
      </c>
      <c r="OQ109">
        <v>-2.4980000000000002</v>
      </c>
      <c r="OR109">
        <v>0.24</v>
      </c>
      <c r="OS109">
        <v>-3.0230000000000001</v>
      </c>
      <c r="OT109">
        <v>-2.6480000000000001</v>
      </c>
      <c r="OU109">
        <v>-2.48</v>
      </c>
      <c r="OV109">
        <v>-2.3330000000000002</v>
      </c>
      <c r="OW109">
        <v>-2.0830000000000002</v>
      </c>
      <c r="OX109">
        <v>1.0309999999999999</v>
      </c>
      <c r="OY109">
        <v>110</v>
      </c>
      <c r="OZ109" t="s">
        <v>198</v>
      </c>
      <c r="PB109" t="s">
        <v>191</v>
      </c>
      <c r="PC109">
        <v>-0.94499999999999995</v>
      </c>
      <c r="PD109">
        <v>0.12</v>
      </c>
      <c r="PE109">
        <v>-1.1870000000000001</v>
      </c>
      <c r="PF109">
        <v>-1.0249999999999999</v>
      </c>
      <c r="PG109">
        <v>-0.94199999999999995</v>
      </c>
      <c r="PH109">
        <v>-0.86399999999999999</v>
      </c>
      <c r="PI109">
        <v>-0.71</v>
      </c>
      <c r="PJ109">
        <v>1.01</v>
      </c>
      <c r="PK109">
        <v>210</v>
      </c>
      <c r="PN109" t="s">
        <v>129</v>
      </c>
      <c r="PO109">
        <v>-0.85</v>
      </c>
      <c r="PP109">
        <v>0.14399999999999999</v>
      </c>
      <c r="PQ109">
        <v>-1.157</v>
      </c>
      <c r="PR109">
        <v>-0.94099999999999995</v>
      </c>
      <c r="PS109">
        <v>-0.84099999999999997</v>
      </c>
      <c r="PT109">
        <v>-0.751</v>
      </c>
      <c r="PU109">
        <v>-0.57999999999999996</v>
      </c>
      <c r="PV109">
        <v>1.002</v>
      </c>
      <c r="PW109">
        <v>2700</v>
      </c>
      <c r="PX109" s="3">
        <f t="shared" si="5"/>
        <v>-5.9027777777777777</v>
      </c>
      <c r="QA109" t="s">
        <v>129</v>
      </c>
      <c r="QB109">
        <v>-2.8340000000000001</v>
      </c>
      <c r="QC109">
        <v>0.27500000000000002</v>
      </c>
      <c r="QD109">
        <v>-3.379</v>
      </c>
      <c r="QE109">
        <v>-3.0169999999999999</v>
      </c>
      <c r="QF109">
        <v>-2.8380000000000001</v>
      </c>
      <c r="QG109">
        <v>-2.6629999999999998</v>
      </c>
      <c r="QH109">
        <v>-2.2799999999999998</v>
      </c>
      <c r="QI109">
        <v>1.111</v>
      </c>
      <c r="QJ109">
        <v>27</v>
      </c>
      <c r="QK109" s="3">
        <f t="shared" si="6"/>
        <v>-10.305454545454545</v>
      </c>
      <c r="QL109">
        <f t="shared" si="4"/>
        <v>1.984</v>
      </c>
    </row>
    <row r="110" spans="1:456">
      <c r="A110" t="s">
        <v>126</v>
      </c>
      <c r="B110">
        <v>0.83299999999999996</v>
      </c>
      <c r="C110">
        <v>0.42299999999999999</v>
      </c>
      <c r="D110">
        <v>0.14899999999999999</v>
      </c>
      <c r="E110">
        <v>0.52700000000000002</v>
      </c>
      <c r="F110">
        <v>0.80600000000000005</v>
      </c>
      <c r="G110">
        <v>1.1100000000000001</v>
      </c>
      <c r="H110">
        <v>1.752</v>
      </c>
      <c r="I110">
        <v>1.345</v>
      </c>
      <c r="J110">
        <v>12</v>
      </c>
      <c r="O110" t="s">
        <v>126</v>
      </c>
      <c r="P110">
        <v>0.52</v>
      </c>
      <c r="Q110">
        <v>0.33300000000000002</v>
      </c>
      <c r="R110">
        <v>0.2</v>
      </c>
      <c r="S110">
        <v>0.28499999999999998</v>
      </c>
      <c r="T110">
        <v>0.39300000000000002</v>
      </c>
      <c r="U110">
        <v>0.65300000000000002</v>
      </c>
      <c r="V110">
        <v>1.411</v>
      </c>
      <c r="W110">
        <v>1.052</v>
      </c>
      <c r="X110">
        <v>120</v>
      </c>
      <c r="AC110" t="s">
        <v>126</v>
      </c>
      <c r="AD110">
        <v>0.85399999999999998</v>
      </c>
      <c r="AE110">
        <v>0.58399999999999996</v>
      </c>
      <c r="AF110">
        <v>0.218</v>
      </c>
      <c r="AG110">
        <v>0.36699999999999999</v>
      </c>
      <c r="AH110">
        <v>0.68400000000000005</v>
      </c>
      <c r="AI110">
        <v>1.2110000000000001</v>
      </c>
      <c r="AJ110">
        <v>2.2669999999999999</v>
      </c>
      <c r="AK110">
        <v>1.0129999999999999</v>
      </c>
      <c r="AL110">
        <v>470</v>
      </c>
      <c r="AQ110" t="s">
        <v>126</v>
      </c>
      <c r="AR110">
        <v>0.83699999999999997</v>
      </c>
      <c r="AS110">
        <v>0.57199999999999995</v>
      </c>
      <c r="AT110">
        <v>0.21199999999999999</v>
      </c>
      <c r="AU110">
        <v>0.36599999999999999</v>
      </c>
      <c r="AV110">
        <v>0.72499999999999998</v>
      </c>
      <c r="AW110">
        <v>1.1379999999999999</v>
      </c>
      <c r="AX110">
        <v>2.2320000000000002</v>
      </c>
      <c r="AY110">
        <v>1.1830000000000001</v>
      </c>
      <c r="AZ110">
        <v>15</v>
      </c>
      <c r="BE110" t="s">
        <v>126</v>
      </c>
      <c r="BF110">
        <v>2.2389999999999999</v>
      </c>
      <c r="BG110">
        <v>0.66100000000000003</v>
      </c>
      <c r="BH110">
        <v>1.0669999999999999</v>
      </c>
      <c r="BI110">
        <v>1.7270000000000001</v>
      </c>
      <c r="BJ110">
        <v>2.2400000000000002</v>
      </c>
      <c r="BK110">
        <v>2.7069999999999999</v>
      </c>
      <c r="BL110">
        <v>3.5369999999999999</v>
      </c>
      <c r="BM110">
        <v>1.036</v>
      </c>
      <c r="BN110">
        <v>67</v>
      </c>
      <c r="BS110" t="s">
        <v>126</v>
      </c>
      <c r="BT110">
        <v>0.45700000000000002</v>
      </c>
      <c r="BU110">
        <v>0.29799999999999999</v>
      </c>
      <c r="BV110">
        <v>0.14699999999999999</v>
      </c>
      <c r="BW110">
        <v>0.251</v>
      </c>
      <c r="BX110">
        <v>0.36199999999999999</v>
      </c>
      <c r="BY110">
        <v>0.55400000000000005</v>
      </c>
      <c r="BZ110">
        <v>1.2090000000000001</v>
      </c>
      <c r="CA110">
        <v>1.0429999999999999</v>
      </c>
      <c r="CB110">
        <v>70</v>
      </c>
      <c r="CG110" t="s">
        <v>126</v>
      </c>
      <c r="CH110">
        <v>2.1709999999999998</v>
      </c>
      <c r="CI110">
        <v>0.69599999999999995</v>
      </c>
      <c r="CJ110">
        <v>0.95599999999999996</v>
      </c>
      <c r="CK110">
        <v>1.6679999999999999</v>
      </c>
      <c r="CL110">
        <v>2.113</v>
      </c>
      <c r="CM110">
        <v>2.6539999999999999</v>
      </c>
      <c r="CN110">
        <v>3.5289999999999999</v>
      </c>
      <c r="CO110">
        <v>1.282</v>
      </c>
      <c r="CP110">
        <v>12</v>
      </c>
      <c r="CU110" t="s">
        <v>126</v>
      </c>
      <c r="CV110">
        <v>1.6919999999999999</v>
      </c>
      <c r="CW110">
        <v>0.67300000000000004</v>
      </c>
      <c r="CX110">
        <v>0.56999999999999995</v>
      </c>
      <c r="CY110">
        <v>1.1890000000000001</v>
      </c>
      <c r="CZ110">
        <v>1.655</v>
      </c>
      <c r="DA110">
        <v>2.0939999999999999</v>
      </c>
      <c r="DB110">
        <v>3.1669999999999998</v>
      </c>
      <c r="DC110">
        <v>1.0780000000000001</v>
      </c>
      <c r="DD110">
        <v>31</v>
      </c>
      <c r="DI110" t="s">
        <v>126</v>
      </c>
      <c r="DJ110">
        <v>0.77200000000000002</v>
      </c>
      <c r="DK110">
        <v>0.56200000000000006</v>
      </c>
      <c r="DL110">
        <v>0.217</v>
      </c>
      <c r="DM110">
        <v>0.34100000000000003</v>
      </c>
      <c r="DN110">
        <v>0.54500000000000004</v>
      </c>
      <c r="DO110">
        <v>1.089</v>
      </c>
      <c r="DP110">
        <v>2.1320000000000001</v>
      </c>
      <c r="DQ110">
        <v>1.075</v>
      </c>
      <c r="DR110">
        <v>35</v>
      </c>
      <c r="DY110" t="s">
        <v>126</v>
      </c>
      <c r="DZ110">
        <v>1.3149999999999999</v>
      </c>
      <c r="EA110">
        <v>0.88900000000000001</v>
      </c>
      <c r="EB110">
        <v>0.24299999999999999</v>
      </c>
      <c r="EC110">
        <v>0.503</v>
      </c>
      <c r="ED110">
        <v>1.1910000000000001</v>
      </c>
      <c r="EE110">
        <v>1.94</v>
      </c>
      <c r="EF110">
        <v>3.3220000000000001</v>
      </c>
      <c r="EG110">
        <v>1.0169999999999999</v>
      </c>
      <c r="EH110">
        <v>200</v>
      </c>
      <c r="EK110" t="s">
        <v>126</v>
      </c>
      <c r="EL110">
        <v>0.50700000000000001</v>
      </c>
      <c r="EM110">
        <v>0.38300000000000001</v>
      </c>
      <c r="EN110">
        <v>0.18099999999999999</v>
      </c>
      <c r="EO110">
        <v>0.27200000000000002</v>
      </c>
      <c r="EP110">
        <v>0.36599999999999999</v>
      </c>
      <c r="EQ110">
        <v>0.60399999999999998</v>
      </c>
      <c r="ER110">
        <v>1.6559999999999999</v>
      </c>
      <c r="ES110">
        <v>1.119</v>
      </c>
      <c r="ET110">
        <v>27</v>
      </c>
      <c r="EY110" t="s">
        <v>126</v>
      </c>
      <c r="EZ110">
        <v>0.81</v>
      </c>
      <c r="FA110">
        <v>0.69199999999999995</v>
      </c>
      <c r="FB110">
        <v>0.216</v>
      </c>
      <c r="FC110">
        <v>0.311</v>
      </c>
      <c r="FD110">
        <v>0.46899999999999997</v>
      </c>
      <c r="FE110">
        <v>1.167</v>
      </c>
      <c r="FF110">
        <v>2.605</v>
      </c>
      <c r="FG110">
        <v>1.0529999999999999</v>
      </c>
      <c r="FH110">
        <v>49</v>
      </c>
      <c r="GA110" t="s">
        <v>126</v>
      </c>
      <c r="GB110">
        <v>2.5790000000000002</v>
      </c>
      <c r="GC110">
        <v>0.81399999999999995</v>
      </c>
      <c r="GD110">
        <v>1.2689999999999999</v>
      </c>
      <c r="GE110">
        <v>1.96</v>
      </c>
      <c r="GF110">
        <v>2.5129999999999999</v>
      </c>
      <c r="GG110">
        <v>3.077</v>
      </c>
      <c r="GH110">
        <v>4.4640000000000004</v>
      </c>
      <c r="GI110">
        <v>1.0089999999999999</v>
      </c>
      <c r="GJ110">
        <v>480</v>
      </c>
      <c r="GO110" t="s">
        <v>126</v>
      </c>
      <c r="GP110">
        <v>0.74299999999999999</v>
      </c>
      <c r="GQ110">
        <v>0.59</v>
      </c>
      <c r="GR110">
        <v>0.224</v>
      </c>
      <c r="GS110">
        <v>0.32</v>
      </c>
      <c r="GT110">
        <v>0.47099999999999997</v>
      </c>
      <c r="GU110">
        <v>1.0089999999999999</v>
      </c>
      <c r="GV110">
        <v>2.2789999999999999</v>
      </c>
      <c r="GW110">
        <v>1.036</v>
      </c>
      <c r="GX110">
        <v>82</v>
      </c>
      <c r="HC110" t="s">
        <v>126</v>
      </c>
      <c r="HD110">
        <v>0.66800000000000004</v>
      </c>
      <c r="HE110">
        <v>0.46</v>
      </c>
      <c r="HF110">
        <v>0.24199999999999999</v>
      </c>
      <c r="HG110">
        <v>0.33800000000000002</v>
      </c>
      <c r="HH110">
        <v>0.495</v>
      </c>
      <c r="HI110">
        <v>0.86899999999999999</v>
      </c>
      <c r="HJ110">
        <v>1.8759999999999999</v>
      </c>
      <c r="HK110">
        <v>1.0149999999999999</v>
      </c>
      <c r="HL110">
        <v>200</v>
      </c>
      <c r="HP110" s="7"/>
      <c r="HQ110" s="7" t="s">
        <v>126</v>
      </c>
      <c r="HR110" s="7">
        <v>1.198</v>
      </c>
      <c r="HS110" s="7">
        <v>0.75</v>
      </c>
      <c r="HT110" s="7">
        <v>0.20499999999999999</v>
      </c>
      <c r="HU110" s="7">
        <v>0.55600000000000005</v>
      </c>
      <c r="HV110" s="7">
        <v>1.0780000000000001</v>
      </c>
      <c r="HW110" s="7">
        <v>1.742</v>
      </c>
      <c r="HX110" s="7">
        <v>2.859</v>
      </c>
      <c r="HY110" s="7">
        <v>1.014</v>
      </c>
      <c r="HZ110" s="7">
        <v>170</v>
      </c>
      <c r="IA110" s="7"/>
      <c r="IE110" t="s">
        <v>126</v>
      </c>
      <c r="IF110">
        <v>1.8939999999999999</v>
      </c>
      <c r="IG110">
        <v>0.73699999999999999</v>
      </c>
      <c r="IH110">
        <v>0.56399999999999995</v>
      </c>
      <c r="II110">
        <v>1.3740000000000001</v>
      </c>
      <c r="IJ110">
        <v>1.8660000000000001</v>
      </c>
      <c r="IK110">
        <v>2.3690000000000002</v>
      </c>
      <c r="IL110">
        <v>3.4540000000000002</v>
      </c>
      <c r="IM110">
        <v>1.1399999999999999</v>
      </c>
      <c r="IN110">
        <v>26</v>
      </c>
      <c r="IS110" t="s">
        <v>192</v>
      </c>
      <c r="IT110">
        <v>0.42399999999999999</v>
      </c>
      <c r="IU110">
        <v>0.38</v>
      </c>
      <c r="IV110">
        <v>-0.25</v>
      </c>
      <c r="IW110">
        <v>0.16400000000000001</v>
      </c>
      <c r="IX110">
        <v>0.39400000000000002</v>
      </c>
      <c r="IY110">
        <v>0.64800000000000002</v>
      </c>
      <c r="IZ110">
        <v>1.2789999999999999</v>
      </c>
      <c r="JA110">
        <v>1.006</v>
      </c>
      <c r="JB110">
        <v>430</v>
      </c>
      <c r="JF110" t="s">
        <v>192</v>
      </c>
      <c r="JG110">
        <v>0.52600000000000002</v>
      </c>
      <c r="JH110">
        <v>0.47199999999999998</v>
      </c>
      <c r="JI110">
        <v>-0.314</v>
      </c>
      <c r="JJ110">
        <v>0.20799999999999999</v>
      </c>
      <c r="JK110">
        <v>0.48799999999999999</v>
      </c>
      <c r="JL110">
        <v>0.81499999999999995</v>
      </c>
      <c r="JM110">
        <v>1.522</v>
      </c>
      <c r="JN110">
        <v>1.0009999999999999</v>
      </c>
      <c r="JO110">
        <v>3000</v>
      </c>
      <c r="JT110" t="s">
        <v>192</v>
      </c>
      <c r="JU110">
        <v>0.52400000000000002</v>
      </c>
      <c r="JV110">
        <v>0.47599999999999998</v>
      </c>
      <c r="JW110">
        <v>-0.34399999999999997</v>
      </c>
      <c r="JX110">
        <v>0.20399999999999999</v>
      </c>
      <c r="JY110">
        <v>0.495</v>
      </c>
      <c r="JZ110">
        <v>0.81</v>
      </c>
      <c r="KA110">
        <v>1.5760000000000001</v>
      </c>
      <c r="KB110">
        <v>1.0029999999999999</v>
      </c>
      <c r="KC110">
        <v>980</v>
      </c>
      <c r="KH110" t="s">
        <v>192</v>
      </c>
      <c r="KI110">
        <v>0.54800000000000004</v>
      </c>
      <c r="KJ110">
        <v>0.52400000000000002</v>
      </c>
      <c r="KK110">
        <v>-0.41599999999999998</v>
      </c>
      <c r="KL110">
        <v>0.19500000000000001</v>
      </c>
      <c r="KM110">
        <v>0.53</v>
      </c>
      <c r="KN110">
        <v>0.877</v>
      </c>
      <c r="KO110">
        <v>1.6339999999999999</v>
      </c>
      <c r="KP110">
        <v>1.0009999999999999</v>
      </c>
      <c r="KQ110">
        <v>3000</v>
      </c>
      <c r="KV110" t="s">
        <v>192</v>
      </c>
      <c r="KW110">
        <v>0.51500000000000001</v>
      </c>
      <c r="KX110">
        <v>0.28399999999999997</v>
      </c>
      <c r="KY110">
        <v>-2.3E-2</v>
      </c>
      <c r="KZ110">
        <v>0.32500000000000001</v>
      </c>
      <c r="LA110">
        <v>0.505</v>
      </c>
      <c r="LB110">
        <v>0.69399999999999995</v>
      </c>
      <c r="LC110">
        <v>1.0900000000000001</v>
      </c>
      <c r="LD110">
        <v>1.002</v>
      </c>
      <c r="LE110">
        <v>1400</v>
      </c>
      <c r="ML110" t="s">
        <v>192</v>
      </c>
      <c r="MM110">
        <v>0.45200000000000001</v>
      </c>
      <c r="MN110">
        <v>0.249</v>
      </c>
      <c r="MO110">
        <v>-3.5000000000000003E-2</v>
      </c>
      <c r="MP110">
        <v>0.28599999999999998</v>
      </c>
      <c r="MQ110">
        <v>0.44900000000000001</v>
      </c>
      <c r="MR110">
        <v>0.61499999999999999</v>
      </c>
      <c r="MS110">
        <v>0.95</v>
      </c>
      <c r="MT110">
        <v>1.002</v>
      </c>
      <c r="MU110">
        <v>3600</v>
      </c>
      <c r="MZ110" t="s">
        <v>192</v>
      </c>
      <c r="NA110">
        <v>0.45300000000000001</v>
      </c>
      <c r="NB110">
        <v>0.247</v>
      </c>
      <c r="NC110">
        <v>-2.1999999999999999E-2</v>
      </c>
      <c r="ND110">
        <v>0.29199999999999998</v>
      </c>
      <c r="NE110">
        <v>0.45500000000000002</v>
      </c>
      <c r="NF110">
        <v>0.61699999999999999</v>
      </c>
      <c r="NG110">
        <v>0.93400000000000005</v>
      </c>
      <c r="NH110">
        <v>1.004</v>
      </c>
      <c r="NI110">
        <v>660</v>
      </c>
      <c r="NM110" t="s">
        <v>192</v>
      </c>
      <c r="NN110">
        <v>0.314</v>
      </c>
      <c r="NO110">
        <v>8.3000000000000004E-2</v>
      </c>
      <c r="NP110">
        <v>0.151</v>
      </c>
      <c r="NQ110">
        <v>0.25800000000000001</v>
      </c>
      <c r="NR110">
        <v>0.313</v>
      </c>
      <c r="NS110">
        <v>0.36899999999999999</v>
      </c>
      <c r="NT110">
        <v>0.47899999999999998</v>
      </c>
      <c r="NU110">
        <v>1.004</v>
      </c>
      <c r="NV110">
        <v>3200</v>
      </c>
      <c r="NY110" t="s">
        <v>192</v>
      </c>
      <c r="NZ110">
        <v>9.4E-2</v>
      </c>
      <c r="OA110">
        <v>0.111</v>
      </c>
      <c r="OB110">
        <v>-0.13400000000000001</v>
      </c>
      <c r="OC110">
        <v>2.3E-2</v>
      </c>
      <c r="OD110">
        <v>9.8000000000000004E-2</v>
      </c>
      <c r="OE110">
        <v>0.16900000000000001</v>
      </c>
      <c r="OF110">
        <v>0.30299999999999999</v>
      </c>
      <c r="OG110">
        <v>1.002</v>
      </c>
      <c r="OH110">
        <v>2000</v>
      </c>
      <c r="OP110" t="s">
        <v>192</v>
      </c>
      <c r="OQ110">
        <v>8.1000000000000003E-2</v>
      </c>
      <c r="OR110">
        <v>0.121</v>
      </c>
      <c r="OS110">
        <v>-0.185</v>
      </c>
      <c r="OT110">
        <v>6.0000000000000001E-3</v>
      </c>
      <c r="OU110">
        <v>8.6999999999999994E-2</v>
      </c>
      <c r="OV110">
        <v>0.16200000000000001</v>
      </c>
      <c r="OW110">
        <v>0.30399999999999999</v>
      </c>
      <c r="OX110">
        <v>1.0069999999999999</v>
      </c>
      <c r="OY110">
        <v>380</v>
      </c>
      <c r="PB110" t="s">
        <v>192</v>
      </c>
      <c r="PC110">
        <v>0.34200000000000003</v>
      </c>
      <c r="PD110">
        <v>0.13300000000000001</v>
      </c>
      <c r="PE110">
        <v>0.111</v>
      </c>
      <c r="PF110">
        <v>0.249</v>
      </c>
      <c r="PG110">
        <v>0.33300000000000002</v>
      </c>
      <c r="PH110">
        <v>0.42699999999999999</v>
      </c>
      <c r="PI110">
        <v>0.628</v>
      </c>
      <c r="PJ110">
        <v>1.0009999999999999</v>
      </c>
      <c r="PK110">
        <v>3000</v>
      </c>
      <c r="PN110" t="s">
        <v>130</v>
      </c>
      <c r="PO110">
        <v>0.27400000000000002</v>
      </c>
      <c r="PP110">
        <v>0.14499999999999999</v>
      </c>
      <c r="PQ110">
        <v>2.5999999999999999E-2</v>
      </c>
      <c r="PR110">
        <v>0.182</v>
      </c>
      <c r="PS110">
        <v>0.26200000000000001</v>
      </c>
      <c r="PT110">
        <v>0.35599999999999998</v>
      </c>
      <c r="PU110">
        <v>0.59099999999999997</v>
      </c>
      <c r="PV110">
        <v>1.0049999999999999</v>
      </c>
      <c r="PW110">
        <v>3000</v>
      </c>
      <c r="PX110">
        <f t="shared" si="5"/>
        <v>1.8896551724137933</v>
      </c>
      <c r="QK110" t="e">
        <f t="shared" si="6"/>
        <v>#DIV/0!</v>
      </c>
      <c r="QL110">
        <f t="shared" si="4"/>
        <v>0.27400000000000002</v>
      </c>
    </row>
    <row r="111" spans="1:456">
      <c r="A111" t="s">
        <v>189</v>
      </c>
      <c r="B111">
        <v>3.5000000000000003E-2</v>
      </c>
      <c r="C111">
        <v>0.29699999999999999</v>
      </c>
      <c r="D111">
        <v>-0.52700000000000002</v>
      </c>
      <c r="E111">
        <v>-0.17100000000000001</v>
      </c>
      <c r="F111">
        <v>2.4E-2</v>
      </c>
      <c r="G111">
        <v>0.23599999999999999</v>
      </c>
      <c r="H111">
        <v>0.625</v>
      </c>
      <c r="I111">
        <v>1.022</v>
      </c>
      <c r="J111">
        <v>97</v>
      </c>
      <c r="O111" t="s">
        <v>189</v>
      </c>
      <c r="P111">
        <v>0.57399999999999995</v>
      </c>
      <c r="Q111">
        <v>2.4540000000000002</v>
      </c>
      <c r="R111">
        <v>-3.9009999999999998</v>
      </c>
      <c r="S111">
        <v>-0.52200000000000002</v>
      </c>
      <c r="T111">
        <v>0.30499999999999999</v>
      </c>
      <c r="U111">
        <v>1.302</v>
      </c>
      <c r="V111">
        <v>7.016</v>
      </c>
      <c r="W111">
        <v>1.0069999999999999</v>
      </c>
      <c r="X111">
        <v>420</v>
      </c>
      <c r="AC111" t="s">
        <v>189</v>
      </c>
      <c r="AD111">
        <v>-0.19600000000000001</v>
      </c>
      <c r="AE111">
        <v>0.48499999999999999</v>
      </c>
      <c r="AF111">
        <v>-1.133</v>
      </c>
      <c r="AG111">
        <v>-0.52100000000000002</v>
      </c>
      <c r="AH111">
        <v>-0.19500000000000001</v>
      </c>
      <c r="AI111">
        <v>0.114</v>
      </c>
      <c r="AJ111">
        <v>0.77600000000000002</v>
      </c>
      <c r="AK111">
        <v>1.002</v>
      </c>
      <c r="AL111">
        <v>1200</v>
      </c>
      <c r="AQ111" t="s">
        <v>189</v>
      </c>
      <c r="AR111">
        <v>-0.28699999999999998</v>
      </c>
      <c r="AS111">
        <v>0.46600000000000003</v>
      </c>
      <c r="AT111">
        <v>-1.234</v>
      </c>
      <c r="AU111">
        <v>-0.6</v>
      </c>
      <c r="AV111">
        <v>-0.28799999999999998</v>
      </c>
      <c r="AW111">
        <v>3.0000000000000001E-3</v>
      </c>
      <c r="AX111">
        <v>0.64400000000000002</v>
      </c>
      <c r="AY111">
        <v>1.0009999999999999</v>
      </c>
      <c r="AZ111">
        <v>3000</v>
      </c>
      <c r="BE111" t="s">
        <v>189</v>
      </c>
      <c r="BF111">
        <v>-0.501</v>
      </c>
      <c r="BG111">
        <v>0.376</v>
      </c>
      <c r="BH111">
        <v>-1.2609999999999999</v>
      </c>
      <c r="BI111">
        <v>-0.73499999999999999</v>
      </c>
      <c r="BJ111">
        <v>-0.49199999999999999</v>
      </c>
      <c r="BK111">
        <v>-0.26900000000000002</v>
      </c>
      <c r="BL111">
        <v>0.24099999999999999</v>
      </c>
      <c r="BM111">
        <v>1.0069999999999999</v>
      </c>
      <c r="BN111">
        <v>320</v>
      </c>
      <c r="BS111" t="s">
        <v>189</v>
      </c>
      <c r="BT111">
        <v>-0.189</v>
      </c>
      <c r="BU111">
        <v>0.5</v>
      </c>
      <c r="BV111">
        <v>-1.1779999999999999</v>
      </c>
      <c r="BW111">
        <v>-0.52200000000000002</v>
      </c>
      <c r="BX111">
        <v>-0.20100000000000001</v>
      </c>
      <c r="BY111">
        <v>0.13700000000000001</v>
      </c>
      <c r="BZ111">
        <v>0.81200000000000006</v>
      </c>
      <c r="CA111">
        <v>1.002</v>
      </c>
      <c r="CB111">
        <v>1100</v>
      </c>
      <c r="CG111" t="s">
        <v>189</v>
      </c>
      <c r="CH111">
        <v>-0.44500000000000001</v>
      </c>
      <c r="CI111">
        <v>0.38100000000000001</v>
      </c>
      <c r="CJ111">
        <v>-1.1859999999999999</v>
      </c>
      <c r="CK111">
        <v>-0.69699999999999995</v>
      </c>
      <c r="CL111">
        <v>-0.433</v>
      </c>
      <c r="CM111">
        <v>-0.19600000000000001</v>
      </c>
      <c r="CN111">
        <v>0.28699999999999998</v>
      </c>
      <c r="CO111">
        <v>1.0029999999999999</v>
      </c>
      <c r="CP111">
        <v>930</v>
      </c>
      <c r="CU111" t="s">
        <v>189</v>
      </c>
      <c r="CV111">
        <v>-0.22600000000000001</v>
      </c>
      <c r="CW111">
        <v>0.45800000000000002</v>
      </c>
      <c r="CX111">
        <v>-1.127</v>
      </c>
      <c r="CY111">
        <v>-0.51400000000000001</v>
      </c>
      <c r="CZ111">
        <v>-0.23899999999999999</v>
      </c>
      <c r="DA111">
        <v>5.6000000000000001E-2</v>
      </c>
      <c r="DB111">
        <v>0.71899999999999997</v>
      </c>
      <c r="DC111">
        <v>1.004</v>
      </c>
      <c r="DD111">
        <v>890</v>
      </c>
      <c r="DI111" t="s">
        <v>189</v>
      </c>
      <c r="DJ111">
        <v>-0.16500000000000001</v>
      </c>
      <c r="DK111">
        <v>0.49099999999999999</v>
      </c>
      <c r="DL111">
        <v>-1.147</v>
      </c>
      <c r="DM111">
        <v>-0.48799999999999999</v>
      </c>
      <c r="DN111">
        <v>-0.16700000000000001</v>
      </c>
      <c r="DO111">
        <v>0.16700000000000001</v>
      </c>
      <c r="DP111">
        <v>0.78100000000000003</v>
      </c>
      <c r="DQ111">
        <v>1.0029999999999999</v>
      </c>
      <c r="DR111">
        <v>840</v>
      </c>
      <c r="DY111" t="s">
        <v>189</v>
      </c>
      <c r="DZ111">
        <v>-0.25</v>
      </c>
      <c r="EA111">
        <v>0.46800000000000003</v>
      </c>
      <c r="EB111">
        <v>-1.1499999999999999</v>
      </c>
      <c r="EC111">
        <v>-0.56100000000000005</v>
      </c>
      <c r="ED111">
        <v>-0.26300000000000001</v>
      </c>
      <c r="EE111">
        <v>4.2999999999999997E-2</v>
      </c>
      <c r="EF111">
        <v>0.71499999999999997</v>
      </c>
      <c r="EG111">
        <v>1.002</v>
      </c>
      <c r="EH111">
        <v>1500</v>
      </c>
      <c r="EK111" t="s">
        <v>189</v>
      </c>
      <c r="EL111">
        <v>-3.9E-2</v>
      </c>
      <c r="EM111">
        <v>0.48699999999999999</v>
      </c>
      <c r="EN111">
        <v>-0.999</v>
      </c>
      <c r="EO111">
        <v>-0.35</v>
      </c>
      <c r="EP111">
        <v>-4.4999999999999998E-2</v>
      </c>
      <c r="EQ111">
        <v>0.27300000000000002</v>
      </c>
      <c r="ER111">
        <v>0.91</v>
      </c>
      <c r="ES111">
        <v>1.004</v>
      </c>
      <c r="ET111">
        <v>510</v>
      </c>
      <c r="EY111" t="s">
        <v>189</v>
      </c>
      <c r="EZ111">
        <v>-8.1000000000000003E-2</v>
      </c>
      <c r="FA111">
        <v>0.47799999999999998</v>
      </c>
      <c r="FB111">
        <v>-1.018</v>
      </c>
      <c r="FC111">
        <v>-0.39200000000000002</v>
      </c>
      <c r="FD111">
        <v>-8.5000000000000006E-2</v>
      </c>
      <c r="FE111">
        <v>0.21099999999999999</v>
      </c>
      <c r="FF111">
        <v>0.89</v>
      </c>
      <c r="FG111">
        <v>1.002</v>
      </c>
      <c r="FH111">
        <v>2700</v>
      </c>
      <c r="GA111" t="s">
        <v>189</v>
      </c>
      <c r="GB111">
        <v>-8.8999999999999996E-2</v>
      </c>
      <c r="GC111">
        <v>10.105</v>
      </c>
      <c r="GD111">
        <v>-19.452000000000002</v>
      </c>
      <c r="GE111">
        <v>-7.133</v>
      </c>
      <c r="GF111">
        <v>-0.32</v>
      </c>
      <c r="GG111">
        <v>6.7480000000000002</v>
      </c>
      <c r="GH111">
        <v>19.977</v>
      </c>
      <c r="GI111">
        <v>1.002</v>
      </c>
      <c r="GJ111">
        <v>1400</v>
      </c>
      <c r="GO111" t="s">
        <v>189</v>
      </c>
      <c r="GP111">
        <v>-7.0999999999999994E-2</v>
      </c>
      <c r="GQ111">
        <v>0.49</v>
      </c>
      <c r="GR111">
        <v>-1.026</v>
      </c>
      <c r="GS111">
        <v>-0.38500000000000001</v>
      </c>
      <c r="GT111">
        <v>-7.9000000000000001E-2</v>
      </c>
      <c r="GU111">
        <v>0.24099999999999999</v>
      </c>
      <c r="GV111">
        <v>0.91300000000000003</v>
      </c>
      <c r="GW111">
        <v>1.0049999999999999</v>
      </c>
      <c r="GX111">
        <v>460</v>
      </c>
      <c r="HC111" t="s">
        <v>189</v>
      </c>
      <c r="HD111">
        <v>-7.6999999999999999E-2</v>
      </c>
      <c r="HE111">
        <v>0.45300000000000001</v>
      </c>
      <c r="HF111">
        <v>-0.96699999999999997</v>
      </c>
      <c r="HG111">
        <v>-0.36499999999999999</v>
      </c>
      <c r="HH111">
        <v>-9.1999999999999998E-2</v>
      </c>
      <c r="HI111">
        <v>0.20200000000000001</v>
      </c>
      <c r="HJ111">
        <v>0.82699999999999996</v>
      </c>
      <c r="HK111">
        <v>1.0009999999999999</v>
      </c>
      <c r="HL111">
        <v>2300</v>
      </c>
      <c r="HP111" s="7"/>
      <c r="HQ111" s="7" t="s">
        <v>189</v>
      </c>
      <c r="HR111" s="7">
        <v>-0.14899999999999999</v>
      </c>
      <c r="HS111" s="7">
        <v>0.39500000000000002</v>
      </c>
      <c r="HT111" s="7">
        <v>-0.93400000000000005</v>
      </c>
      <c r="HU111" s="7">
        <v>-0.39800000000000002</v>
      </c>
      <c r="HV111" s="7">
        <v>-0.14799999999999999</v>
      </c>
      <c r="HW111" s="7">
        <v>9.2999999999999999E-2</v>
      </c>
      <c r="HX111" s="7">
        <v>0.627</v>
      </c>
      <c r="HY111" s="7">
        <v>1.0009999999999999</v>
      </c>
      <c r="HZ111" s="7">
        <v>2200</v>
      </c>
      <c r="IA111" s="7"/>
      <c r="IE111" t="s">
        <v>189</v>
      </c>
      <c r="IF111">
        <v>-4.2999999999999997E-2</v>
      </c>
      <c r="IG111">
        <v>0.378</v>
      </c>
      <c r="IH111">
        <v>-0.76900000000000002</v>
      </c>
      <c r="II111">
        <v>-0.29499999999999998</v>
      </c>
      <c r="IJ111">
        <v>-4.3999999999999997E-2</v>
      </c>
      <c r="IK111">
        <v>0.21299999999999999</v>
      </c>
      <c r="IL111">
        <v>0.68899999999999995</v>
      </c>
      <c r="IM111">
        <v>1.0009999999999999</v>
      </c>
      <c r="IN111">
        <v>3000</v>
      </c>
      <c r="IS111" t="s">
        <v>131</v>
      </c>
      <c r="IT111">
        <v>0.96599999999999997</v>
      </c>
      <c r="IU111">
        <v>3.3000000000000002E-2</v>
      </c>
      <c r="IV111">
        <v>0.874</v>
      </c>
      <c r="IW111">
        <v>0.95399999999999996</v>
      </c>
      <c r="IX111">
        <v>0.97599999999999998</v>
      </c>
      <c r="IY111">
        <v>0.99</v>
      </c>
      <c r="IZ111">
        <v>0.999</v>
      </c>
      <c r="JA111">
        <v>1.0009999999999999</v>
      </c>
      <c r="JB111">
        <v>3000</v>
      </c>
      <c r="JF111" t="s">
        <v>131</v>
      </c>
      <c r="JG111">
        <v>0.96399999999999997</v>
      </c>
      <c r="JH111">
        <v>3.4000000000000002E-2</v>
      </c>
      <c r="JI111">
        <v>0.874</v>
      </c>
      <c r="JJ111">
        <v>0.95</v>
      </c>
      <c r="JK111">
        <v>0.97299999999999998</v>
      </c>
      <c r="JL111">
        <v>0.98899999999999999</v>
      </c>
      <c r="JM111">
        <v>0.999</v>
      </c>
      <c r="JN111">
        <v>1.0029999999999999</v>
      </c>
      <c r="JO111">
        <v>1600</v>
      </c>
      <c r="JT111" t="s">
        <v>131</v>
      </c>
      <c r="JU111">
        <v>0.96199999999999997</v>
      </c>
      <c r="JV111">
        <v>3.5000000000000003E-2</v>
      </c>
      <c r="JW111">
        <v>0.86599999999999999</v>
      </c>
      <c r="JX111">
        <v>0.94799999999999995</v>
      </c>
      <c r="JY111">
        <v>0.97299999999999998</v>
      </c>
      <c r="JZ111">
        <v>0.98799999999999999</v>
      </c>
      <c r="KA111">
        <v>0.999</v>
      </c>
      <c r="KB111">
        <v>1.0009999999999999</v>
      </c>
      <c r="KC111">
        <v>3000</v>
      </c>
      <c r="KH111" t="s">
        <v>131</v>
      </c>
      <c r="KI111">
        <v>0.96299999999999997</v>
      </c>
      <c r="KJ111">
        <v>3.4000000000000002E-2</v>
      </c>
      <c r="KK111">
        <v>0.872</v>
      </c>
      <c r="KL111">
        <v>0.94799999999999995</v>
      </c>
      <c r="KM111">
        <v>0.97399999999999998</v>
      </c>
      <c r="KN111">
        <v>0.98899999999999999</v>
      </c>
      <c r="KO111">
        <v>0.999</v>
      </c>
      <c r="KP111">
        <v>1.0009999999999999</v>
      </c>
      <c r="KQ111">
        <v>3000</v>
      </c>
      <c r="KV111" t="s">
        <v>131</v>
      </c>
      <c r="KW111">
        <v>0.96099999999999997</v>
      </c>
      <c r="KX111">
        <v>3.5999999999999997E-2</v>
      </c>
      <c r="KY111">
        <v>0.86599999999999999</v>
      </c>
      <c r="KZ111">
        <v>0.94399999999999995</v>
      </c>
      <c r="LA111">
        <v>0.97</v>
      </c>
      <c r="LB111">
        <v>0.98799999999999999</v>
      </c>
      <c r="LC111">
        <v>0.999</v>
      </c>
      <c r="LD111">
        <v>1.0069999999999999</v>
      </c>
      <c r="LE111">
        <v>480</v>
      </c>
      <c r="ML111" t="s">
        <v>131</v>
      </c>
      <c r="MM111">
        <v>5.1470000000000002</v>
      </c>
      <c r="MN111">
        <v>2.8889999999999998</v>
      </c>
      <c r="MO111">
        <v>0.32500000000000001</v>
      </c>
      <c r="MP111">
        <v>3.0470000000000002</v>
      </c>
      <c r="MQ111">
        <v>4.8659999999999997</v>
      </c>
      <c r="MR111">
        <v>6.9569999999999999</v>
      </c>
      <c r="MS111">
        <v>11.506</v>
      </c>
      <c r="MT111">
        <v>1.0009999999999999</v>
      </c>
      <c r="MU111">
        <v>29000</v>
      </c>
      <c r="MZ111" t="s">
        <v>131</v>
      </c>
      <c r="NA111">
        <v>5.1230000000000002</v>
      </c>
      <c r="NB111">
        <v>2.9329999999999998</v>
      </c>
      <c r="NC111">
        <v>0.219</v>
      </c>
      <c r="ND111">
        <v>2.976</v>
      </c>
      <c r="NE111">
        <v>4.8579999999999997</v>
      </c>
      <c r="NF111">
        <v>6.98</v>
      </c>
      <c r="NG111">
        <v>11.417</v>
      </c>
      <c r="NH111">
        <v>1.0009999999999999</v>
      </c>
      <c r="NI111">
        <v>3000</v>
      </c>
      <c r="NM111" t="s">
        <v>131</v>
      </c>
      <c r="NN111">
        <v>4.2190000000000003</v>
      </c>
      <c r="NO111">
        <v>2.7120000000000002</v>
      </c>
      <c r="NP111">
        <v>0.104</v>
      </c>
      <c r="NQ111">
        <v>2.2130000000000001</v>
      </c>
      <c r="NR111">
        <v>3.8079999999999998</v>
      </c>
      <c r="NS111">
        <v>5.8360000000000003</v>
      </c>
      <c r="NT111">
        <v>10.489000000000001</v>
      </c>
      <c r="NU111">
        <v>1.0009999999999999</v>
      </c>
      <c r="NV111">
        <v>7100</v>
      </c>
      <c r="NY111" t="s">
        <v>131</v>
      </c>
      <c r="NZ111">
        <v>5.0149999999999997</v>
      </c>
      <c r="OA111">
        <v>2.5910000000000002</v>
      </c>
      <c r="OB111">
        <v>1.0589999999999999</v>
      </c>
      <c r="OC111">
        <v>3.097</v>
      </c>
      <c r="OD111">
        <v>4.6500000000000004</v>
      </c>
      <c r="OE111">
        <v>6.53</v>
      </c>
      <c r="OF111">
        <v>11.023999999999999</v>
      </c>
      <c r="OG111">
        <v>1.0009999999999999</v>
      </c>
      <c r="OH111">
        <v>19000</v>
      </c>
      <c r="OP111" t="s">
        <v>131</v>
      </c>
      <c r="OQ111">
        <v>4.2850000000000001</v>
      </c>
      <c r="OR111">
        <v>2.4319999999999999</v>
      </c>
      <c r="OS111">
        <v>0.64300000000000002</v>
      </c>
      <c r="OT111">
        <v>2.5529999999999999</v>
      </c>
      <c r="OU111">
        <v>3.8149999999999999</v>
      </c>
      <c r="OV111">
        <v>5.61</v>
      </c>
      <c r="OW111">
        <v>10.098000000000001</v>
      </c>
      <c r="OX111">
        <v>1.0009999999999999</v>
      </c>
      <c r="OY111">
        <v>3000</v>
      </c>
      <c r="QA111" t="s">
        <v>131</v>
      </c>
      <c r="QB111">
        <v>5.9409999999999998</v>
      </c>
      <c r="QC111">
        <v>2.7109999999999999</v>
      </c>
      <c r="QD111">
        <v>1.778</v>
      </c>
      <c r="QE111">
        <v>3.9279999999999999</v>
      </c>
      <c r="QF111">
        <v>5.5570000000000004</v>
      </c>
      <c r="QG111">
        <v>7.56</v>
      </c>
      <c r="QH111">
        <v>12.271000000000001</v>
      </c>
      <c r="QI111">
        <v>1.006</v>
      </c>
      <c r="QJ111">
        <v>400</v>
      </c>
      <c r="QK111">
        <f>QB111/QC111</f>
        <v>2.1914422722242715</v>
      </c>
      <c r="QL111">
        <f t="shared" si="4"/>
        <v>-5.9409999999999998</v>
      </c>
      <c r="QN111" t="s">
        <v>196</v>
      </c>
    </row>
    <row r="112" spans="1:456">
      <c r="A112" t="s">
        <v>190</v>
      </c>
      <c r="B112">
        <v>0.108</v>
      </c>
      <c r="C112">
        <v>0.40799999999999997</v>
      </c>
      <c r="D112">
        <v>-0.71699999999999997</v>
      </c>
      <c r="E112">
        <v>-0.153</v>
      </c>
      <c r="F112">
        <v>0.121</v>
      </c>
      <c r="G112">
        <v>0.39300000000000002</v>
      </c>
      <c r="H112">
        <v>0.873</v>
      </c>
      <c r="I112">
        <v>1.0209999999999999</v>
      </c>
      <c r="J112">
        <v>100</v>
      </c>
      <c r="O112" t="s">
        <v>190</v>
      </c>
      <c r="P112">
        <v>8.6549999999999994</v>
      </c>
      <c r="Q112">
        <v>6.468</v>
      </c>
      <c r="R112">
        <v>-0.14299999999999999</v>
      </c>
      <c r="S112">
        <v>3.21</v>
      </c>
      <c r="T112">
        <v>7.6779999999999999</v>
      </c>
      <c r="U112">
        <v>13.055999999999999</v>
      </c>
      <c r="V112">
        <v>23.209</v>
      </c>
      <c r="W112">
        <v>1.016</v>
      </c>
      <c r="X112">
        <v>130</v>
      </c>
      <c r="AC112" t="s">
        <v>190</v>
      </c>
      <c r="AD112">
        <v>1.3220000000000001</v>
      </c>
      <c r="AE112">
        <v>0.628</v>
      </c>
      <c r="AF112">
        <v>0.125</v>
      </c>
      <c r="AG112">
        <v>0.89700000000000002</v>
      </c>
      <c r="AH112">
        <v>1.321</v>
      </c>
      <c r="AI112">
        <v>1.724</v>
      </c>
      <c r="AJ112">
        <v>2.621</v>
      </c>
      <c r="AK112">
        <v>1.0009999999999999</v>
      </c>
      <c r="AL112">
        <v>3000</v>
      </c>
      <c r="AQ112" t="s">
        <v>190</v>
      </c>
      <c r="AR112">
        <v>1.3220000000000001</v>
      </c>
      <c r="AS112">
        <v>0.57199999999999995</v>
      </c>
      <c r="AT112">
        <v>0.191</v>
      </c>
      <c r="AU112">
        <v>0.94499999999999995</v>
      </c>
      <c r="AV112">
        <v>1.3169999999999999</v>
      </c>
      <c r="AW112">
        <v>1.702</v>
      </c>
      <c r="AX112">
        <v>2.431</v>
      </c>
      <c r="AY112">
        <v>1.0009999999999999</v>
      </c>
      <c r="AZ112">
        <v>3000</v>
      </c>
      <c r="BE112" t="s">
        <v>190</v>
      </c>
      <c r="BF112">
        <v>1.4039999999999999</v>
      </c>
      <c r="BG112">
        <v>0.46600000000000003</v>
      </c>
      <c r="BH112">
        <v>0.56499999999999995</v>
      </c>
      <c r="BI112">
        <v>1.093</v>
      </c>
      <c r="BJ112">
        <v>1.3779999999999999</v>
      </c>
      <c r="BK112">
        <v>1.6970000000000001</v>
      </c>
      <c r="BL112">
        <v>2.39</v>
      </c>
      <c r="BM112">
        <v>1.0089999999999999</v>
      </c>
      <c r="BN112">
        <v>230</v>
      </c>
      <c r="BS112" t="s">
        <v>190</v>
      </c>
      <c r="BT112">
        <v>1.724</v>
      </c>
      <c r="BU112">
        <v>0.59699999999999998</v>
      </c>
      <c r="BV112">
        <v>0.60599999999999998</v>
      </c>
      <c r="BW112">
        <v>1.3160000000000001</v>
      </c>
      <c r="BX112">
        <v>1.7070000000000001</v>
      </c>
      <c r="BY112">
        <v>2.1219999999999999</v>
      </c>
      <c r="BZ112">
        <v>2.9119999999999999</v>
      </c>
      <c r="CA112">
        <v>1.0009999999999999</v>
      </c>
      <c r="CB112">
        <v>3000</v>
      </c>
      <c r="CG112" t="s">
        <v>190</v>
      </c>
      <c r="CH112">
        <v>1.421</v>
      </c>
      <c r="CI112">
        <v>0.46200000000000002</v>
      </c>
      <c r="CJ112">
        <v>0.56499999999999995</v>
      </c>
      <c r="CK112">
        <v>1.1040000000000001</v>
      </c>
      <c r="CL112">
        <v>1.399</v>
      </c>
      <c r="CM112">
        <v>1.7150000000000001</v>
      </c>
      <c r="CN112">
        <v>2.35</v>
      </c>
      <c r="CO112">
        <v>1.0009999999999999</v>
      </c>
      <c r="CP112">
        <v>3000</v>
      </c>
      <c r="CU112" t="s">
        <v>190</v>
      </c>
      <c r="CV112">
        <v>1.4330000000000001</v>
      </c>
      <c r="CW112">
        <v>0.56599999999999995</v>
      </c>
      <c r="CX112">
        <v>0.39200000000000002</v>
      </c>
      <c r="CY112">
        <v>1.03</v>
      </c>
      <c r="CZ112">
        <v>1.42</v>
      </c>
      <c r="DA112">
        <v>1.8089999999999999</v>
      </c>
      <c r="DB112">
        <v>2.5630000000000002</v>
      </c>
      <c r="DC112">
        <v>1.0169999999999999</v>
      </c>
      <c r="DD112">
        <v>120</v>
      </c>
      <c r="DI112" t="s">
        <v>190</v>
      </c>
      <c r="DJ112">
        <v>1.2749999999999999</v>
      </c>
      <c r="DK112">
        <v>0.64600000000000002</v>
      </c>
      <c r="DL112">
        <v>2.1000000000000001E-2</v>
      </c>
      <c r="DM112">
        <v>0.85499999999999998</v>
      </c>
      <c r="DN112">
        <v>1.258</v>
      </c>
      <c r="DO112">
        <v>1.7050000000000001</v>
      </c>
      <c r="DP112">
        <v>2.5619999999999998</v>
      </c>
      <c r="DQ112">
        <v>1.0089999999999999</v>
      </c>
      <c r="DR112">
        <v>240</v>
      </c>
      <c r="DY112" t="s">
        <v>190</v>
      </c>
      <c r="DZ112">
        <v>1.173</v>
      </c>
      <c r="EA112">
        <v>0.58899999999999997</v>
      </c>
      <c r="EB112">
        <v>0.03</v>
      </c>
      <c r="EC112">
        <v>0.77700000000000002</v>
      </c>
      <c r="ED112">
        <v>1.1599999999999999</v>
      </c>
      <c r="EE112">
        <v>1.575</v>
      </c>
      <c r="EF112">
        <v>2.3380000000000001</v>
      </c>
      <c r="EG112">
        <v>1.0029999999999999</v>
      </c>
      <c r="EH112">
        <v>800</v>
      </c>
      <c r="EK112" t="s">
        <v>190</v>
      </c>
      <c r="EL112">
        <v>1.081</v>
      </c>
      <c r="EM112">
        <v>0.66200000000000003</v>
      </c>
      <c r="EN112">
        <v>-0.123</v>
      </c>
      <c r="EO112">
        <v>0.621</v>
      </c>
      <c r="EP112">
        <v>1.048</v>
      </c>
      <c r="EQ112">
        <v>1.5209999999999999</v>
      </c>
      <c r="ER112">
        <v>2.4359999999999999</v>
      </c>
      <c r="ES112">
        <v>1.0009999999999999</v>
      </c>
      <c r="ET112">
        <v>1400</v>
      </c>
      <c r="EY112" t="s">
        <v>190</v>
      </c>
      <c r="EZ112">
        <v>1.65</v>
      </c>
      <c r="FA112">
        <v>0.64800000000000002</v>
      </c>
      <c r="FB112">
        <v>0.42399999999999999</v>
      </c>
      <c r="FC112">
        <v>1.216</v>
      </c>
      <c r="FD112">
        <v>1.625</v>
      </c>
      <c r="FE112">
        <v>2.0710000000000002</v>
      </c>
      <c r="FF112">
        <v>2.99</v>
      </c>
      <c r="FG112">
        <v>1.0009999999999999</v>
      </c>
      <c r="FH112">
        <v>3000</v>
      </c>
      <c r="GA112" t="s">
        <v>190</v>
      </c>
      <c r="GB112">
        <v>9.4E-2</v>
      </c>
      <c r="GC112">
        <v>10.106999999999999</v>
      </c>
      <c r="GD112">
        <v>-19.359000000000002</v>
      </c>
      <c r="GE112">
        <v>-6.7539999999999996</v>
      </c>
      <c r="GF112">
        <v>-4.2000000000000003E-2</v>
      </c>
      <c r="GG112">
        <v>6.6369999999999996</v>
      </c>
      <c r="GH112">
        <v>20.163</v>
      </c>
      <c r="GI112">
        <v>1.002</v>
      </c>
      <c r="GJ112">
        <v>1400</v>
      </c>
      <c r="GO112" t="s">
        <v>190</v>
      </c>
      <c r="GP112">
        <v>1.65</v>
      </c>
      <c r="GQ112">
        <v>0.63500000000000001</v>
      </c>
      <c r="GR112">
        <v>0.44700000000000001</v>
      </c>
      <c r="GS112">
        <v>1.2170000000000001</v>
      </c>
      <c r="GT112">
        <v>1.6379999999999999</v>
      </c>
      <c r="GU112">
        <v>2.0590000000000002</v>
      </c>
      <c r="GV112">
        <v>2.9129999999999998</v>
      </c>
      <c r="GW112">
        <v>1.0009999999999999</v>
      </c>
      <c r="GX112">
        <v>3000</v>
      </c>
      <c r="HC112" t="s">
        <v>190</v>
      </c>
      <c r="HD112">
        <v>1.6040000000000001</v>
      </c>
      <c r="HE112">
        <v>0.60199999999999998</v>
      </c>
      <c r="HF112">
        <v>0.40300000000000002</v>
      </c>
      <c r="HG112">
        <v>1.1910000000000001</v>
      </c>
      <c r="HH112">
        <v>1.591</v>
      </c>
      <c r="HI112">
        <v>2.0030000000000001</v>
      </c>
      <c r="HJ112">
        <v>2.8420000000000001</v>
      </c>
      <c r="HK112">
        <v>1.0009999999999999</v>
      </c>
      <c r="HL112">
        <v>3000</v>
      </c>
      <c r="HP112" s="7"/>
      <c r="HQ112" s="7" t="s">
        <v>190</v>
      </c>
      <c r="HR112" s="7">
        <v>1.556</v>
      </c>
      <c r="HS112" s="7">
        <v>0.55700000000000005</v>
      </c>
      <c r="HT112" s="7">
        <v>0.46600000000000003</v>
      </c>
      <c r="HU112" s="7">
        <v>1.1890000000000001</v>
      </c>
      <c r="HV112" s="7">
        <v>1.5489999999999999</v>
      </c>
      <c r="HW112" s="7">
        <v>1.917</v>
      </c>
      <c r="HX112" s="7">
        <v>2.673</v>
      </c>
      <c r="HY112" s="7">
        <v>1.0029999999999999</v>
      </c>
      <c r="HZ112" s="7">
        <v>850</v>
      </c>
      <c r="IA112" s="7"/>
      <c r="IE112" t="s">
        <v>190</v>
      </c>
      <c r="IF112">
        <v>1.212</v>
      </c>
      <c r="IG112">
        <v>0.46600000000000003</v>
      </c>
      <c r="IH112">
        <v>0.29799999999999999</v>
      </c>
      <c r="II112">
        <v>0.90500000000000003</v>
      </c>
      <c r="IJ112">
        <v>1.218</v>
      </c>
      <c r="IK112">
        <v>1.522</v>
      </c>
      <c r="IL112">
        <v>2.1349999999999998</v>
      </c>
      <c r="IM112">
        <v>1.008</v>
      </c>
      <c r="IN112">
        <v>270</v>
      </c>
      <c r="IS112" t="s">
        <v>132</v>
      </c>
      <c r="IT112">
        <v>0.97499999999999998</v>
      </c>
      <c r="IU112">
        <v>2.4E-2</v>
      </c>
      <c r="IV112">
        <v>0.91</v>
      </c>
      <c r="IW112">
        <v>0.96499999999999997</v>
      </c>
      <c r="IX112">
        <v>0.98299999999999998</v>
      </c>
      <c r="IY112">
        <v>0.99299999999999999</v>
      </c>
      <c r="IZ112">
        <v>0.999</v>
      </c>
      <c r="JA112">
        <v>1.0009999999999999</v>
      </c>
      <c r="JB112">
        <v>3000</v>
      </c>
      <c r="JF112" t="s">
        <v>132</v>
      </c>
      <c r="JG112">
        <v>0.97399999999999998</v>
      </c>
      <c r="JH112">
        <v>2.5000000000000001E-2</v>
      </c>
      <c r="JI112">
        <v>0.90400000000000003</v>
      </c>
      <c r="JJ112">
        <v>0.96199999999999997</v>
      </c>
      <c r="JK112">
        <v>0.98099999999999998</v>
      </c>
      <c r="JL112">
        <v>0.99199999999999999</v>
      </c>
      <c r="JM112">
        <v>0.999</v>
      </c>
      <c r="JN112">
        <v>1.0009999999999999</v>
      </c>
      <c r="JO112">
        <v>3000</v>
      </c>
      <c r="JT112" t="s">
        <v>132</v>
      </c>
      <c r="JU112">
        <v>0.97299999999999998</v>
      </c>
      <c r="JV112">
        <v>2.7E-2</v>
      </c>
      <c r="JW112">
        <v>0.9</v>
      </c>
      <c r="JX112">
        <v>0.96199999999999997</v>
      </c>
      <c r="JY112">
        <v>0.98099999999999998</v>
      </c>
      <c r="JZ112">
        <v>0.99199999999999999</v>
      </c>
      <c r="KA112">
        <v>0.999</v>
      </c>
      <c r="KB112">
        <v>1.0009999999999999</v>
      </c>
      <c r="KC112">
        <v>3000</v>
      </c>
      <c r="KH112" t="s">
        <v>132</v>
      </c>
      <c r="KI112">
        <v>0.97399999999999998</v>
      </c>
      <c r="KJ112">
        <v>2.5000000000000001E-2</v>
      </c>
      <c r="KK112">
        <v>0.91300000000000003</v>
      </c>
      <c r="KL112">
        <v>0.96399999999999997</v>
      </c>
      <c r="KM112">
        <v>0.98199999999999998</v>
      </c>
      <c r="KN112">
        <v>0.99299999999999999</v>
      </c>
      <c r="KO112">
        <v>0.999</v>
      </c>
      <c r="KP112">
        <v>1.0009999999999999</v>
      </c>
      <c r="KQ112">
        <v>3000</v>
      </c>
      <c r="KV112" t="s">
        <v>132</v>
      </c>
      <c r="KW112">
        <v>0.97299999999999998</v>
      </c>
      <c r="KX112">
        <v>2.5999999999999999E-2</v>
      </c>
      <c r="KY112">
        <v>0.90300000000000002</v>
      </c>
      <c r="KZ112">
        <v>0.96299999999999997</v>
      </c>
      <c r="LA112">
        <v>0.98099999999999998</v>
      </c>
      <c r="LB112">
        <v>0.99199999999999999</v>
      </c>
      <c r="LC112">
        <v>0.999</v>
      </c>
      <c r="LD112">
        <v>1.0009999999999999</v>
      </c>
      <c r="LE112">
        <v>3000</v>
      </c>
      <c r="ML112" t="s">
        <v>132</v>
      </c>
      <c r="MM112">
        <v>4.7480000000000002</v>
      </c>
      <c r="MN112">
        <v>3.0619999999999998</v>
      </c>
      <c r="MO112">
        <v>-0.42299999999999999</v>
      </c>
      <c r="MP112">
        <v>2.5209999999999999</v>
      </c>
      <c r="MQ112">
        <v>4.476</v>
      </c>
      <c r="MR112">
        <v>6.6970000000000001</v>
      </c>
      <c r="MS112">
        <v>11.414</v>
      </c>
      <c r="MT112">
        <v>1.0009999999999999</v>
      </c>
      <c r="MU112">
        <v>9100</v>
      </c>
      <c r="MZ112" t="s">
        <v>132</v>
      </c>
      <c r="NA112">
        <v>4.6109999999999998</v>
      </c>
      <c r="NB112">
        <v>3.1859999999999999</v>
      </c>
      <c r="NC112">
        <v>-0.621</v>
      </c>
      <c r="ND112">
        <v>2.3210000000000002</v>
      </c>
      <c r="NE112">
        <v>4.1959999999999997</v>
      </c>
      <c r="NF112">
        <v>6.6079999999999997</v>
      </c>
      <c r="NG112">
        <v>11.611000000000001</v>
      </c>
      <c r="NH112">
        <v>1.006</v>
      </c>
      <c r="NI112">
        <v>380</v>
      </c>
      <c r="NM112" t="s">
        <v>132</v>
      </c>
      <c r="NN112">
        <v>3.1040000000000001</v>
      </c>
      <c r="NO112">
        <v>2.8279999999999998</v>
      </c>
      <c r="NP112">
        <v>-0.99399999999999999</v>
      </c>
      <c r="NQ112">
        <v>0.95899999999999996</v>
      </c>
      <c r="NR112">
        <v>2.6419999999999999</v>
      </c>
      <c r="NS112">
        <v>4.766</v>
      </c>
      <c r="NT112">
        <v>9.7059999999999995</v>
      </c>
      <c r="NU112">
        <v>1.0009999999999999</v>
      </c>
      <c r="NV112">
        <v>5900</v>
      </c>
      <c r="NY112" t="s">
        <v>132</v>
      </c>
      <c r="NZ112">
        <v>3.8359999999999999</v>
      </c>
      <c r="OA112">
        <v>2.6949999999999998</v>
      </c>
      <c r="OB112">
        <v>-6.0000000000000001E-3</v>
      </c>
      <c r="OC112">
        <v>1.798</v>
      </c>
      <c r="OD112">
        <v>3.3580000000000001</v>
      </c>
      <c r="OE112">
        <v>5.4080000000000004</v>
      </c>
      <c r="OF112">
        <v>10.186</v>
      </c>
      <c r="OG112">
        <v>1.0009999999999999</v>
      </c>
      <c r="OH112">
        <v>20000</v>
      </c>
      <c r="OP112" t="s">
        <v>132</v>
      </c>
      <c r="OQ112">
        <v>3.883</v>
      </c>
      <c r="OR112">
        <v>2.8119999999999998</v>
      </c>
      <c r="OS112">
        <v>-0.122</v>
      </c>
      <c r="OT112">
        <v>1.7090000000000001</v>
      </c>
      <c r="OU112">
        <v>3.351</v>
      </c>
      <c r="OV112">
        <v>5.5540000000000003</v>
      </c>
      <c r="OW112">
        <v>10.545999999999999</v>
      </c>
      <c r="OX112">
        <v>1.002</v>
      </c>
      <c r="OY112">
        <v>1000</v>
      </c>
      <c r="QA112" t="s">
        <v>132</v>
      </c>
      <c r="QB112">
        <v>4.4669999999999996</v>
      </c>
      <c r="QC112">
        <v>2.7240000000000002</v>
      </c>
      <c r="QD112">
        <v>0.52700000000000002</v>
      </c>
      <c r="QE112">
        <v>2.4089999999999998</v>
      </c>
      <c r="QF112">
        <v>4.0049999999999999</v>
      </c>
      <c r="QG112">
        <v>6.032</v>
      </c>
      <c r="QH112">
        <v>10.946</v>
      </c>
      <c r="QI112">
        <v>1.0009999999999999</v>
      </c>
      <c r="QJ112">
        <v>7800</v>
      </c>
      <c r="QK112">
        <f t="shared" si="6"/>
        <v>1.6398678414096914</v>
      </c>
      <c r="QL112">
        <f t="shared" si="4"/>
        <v>-4.4669999999999996</v>
      </c>
      <c r="QN112" t="s">
        <v>199</v>
      </c>
    </row>
    <row r="113" spans="1:456">
      <c r="A113" t="s">
        <v>191</v>
      </c>
      <c r="B113">
        <v>-1.4259999999999999</v>
      </c>
      <c r="C113">
        <v>0.36499999999999999</v>
      </c>
      <c r="D113">
        <v>-2.1779999999999999</v>
      </c>
      <c r="E113">
        <v>-1.659</v>
      </c>
      <c r="F113">
        <v>-1.4239999999999999</v>
      </c>
      <c r="G113">
        <v>-1.1830000000000001</v>
      </c>
      <c r="H113">
        <v>-0.73599999999999999</v>
      </c>
      <c r="I113">
        <v>1.03</v>
      </c>
      <c r="J113">
        <v>110</v>
      </c>
      <c r="O113" t="s">
        <v>191</v>
      </c>
      <c r="P113">
        <v>-6.806</v>
      </c>
      <c r="Q113">
        <v>5.1449999999999996</v>
      </c>
      <c r="R113">
        <v>-19.925999999999998</v>
      </c>
      <c r="S113">
        <v>-9.6440000000000001</v>
      </c>
      <c r="T113">
        <v>-5.1100000000000003</v>
      </c>
      <c r="U113">
        <v>-2.8370000000000002</v>
      </c>
      <c r="V113">
        <v>-1.3089999999999999</v>
      </c>
      <c r="W113">
        <v>1.004</v>
      </c>
      <c r="X113">
        <v>750</v>
      </c>
      <c r="AC113" t="s">
        <v>191</v>
      </c>
      <c r="AD113">
        <v>-1.6180000000000001</v>
      </c>
      <c r="AE113">
        <v>0.46500000000000002</v>
      </c>
      <c r="AF113">
        <v>-2.6560000000000001</v>
      </c>
      <c r="AG113">
        <v>-1.885</v>
      </c>
      <c r="AH113">
        <v>-1.581</v>
      </c>
      <c r="AI113">
        <v>-1.2969999999999999</v>
      </c>
      <c r="AJ113">
        <v>-0.83699999999999997</v>
      </c>
      <c r="AK113">
        <v>1.004</v>
      </c>
      <c r="AL113">
        <v>750</v>
      </c>
      <c r="AQ113" t="s">
        <v>191</v>
      </c>
      <c r="AR113">
        <v>-1.585</v>
      </c>
      <c r="AS113">
        <v>0.441</v>
      </c>
      <c r="AT113">
        <v>-2.5609999999999999</v>
      </c>
      <c r="AU113">
        <v>-1.847</v>
      </c>
      <c r="AV113">
        <v>-1.5580000000000001</v>
      </c>
      <c r="AW113">
        <v>-1.276</v>
      </c>
      <c r="AX113">
        <v>-0.81200000000000006</v>
      </c>
      <c r="AY113">
        <v>1.0009999999999999</v>
      </c>
      <c r="AZ113">
        <v>3000</v>
      </c>
      <c r="BE113" t="s">
        <v>191</v>
      </c>
      <c r="BF113">
        <v>-1.6419999999999999</v>
      </c>
      <c r="BG113">
        <v>0.42399999999999999</v>
      </c>
      <c r="BH113">
        <v>-2.5419999999999998</v>
      </c>
      <c r="BI113">
        <v>-1.9139999999999999</v>
      </c>
      <c r="BJ113">
        <v>-1.621</v>
      </c>
      <c r="BK113">
        <v>-1.349</v>
      </c>
      <c r="BL113">
        <v>-0.86499999999999999</v>
      </c>
      <c r="BM113">
        <v>1.008</v>
      </c>
      <c r="BN113">
        <v>600</v>
      </c>
      <c r="BS113" t="s">
        <v>191</v>
      </c>
      <c r="BT113">
        <v>-1.62</v>
      </c>
      <c r="BU113">
        <v>0.47799999999999998</v>
      </c>
      <c r="BV113">
        <v>-2.649</v>
      </c>
      <c r="BW113">
        <v>-1.901</v>
      </c>
      <c r="BX113">
        <v>-1.5860000000000001</v>
      </c>
      <c r="BY113">
        <v>-1.292</v>
      </c>
      <c r="BZ113">
        <v>-0.80900000000000005</v>
      </c>
      <c r="CA113">
        <v>1.01</v>
      </c>
      <c r="CB113">
        <v>250</v>
      </c>
      <c r="CG113" t="s">
        <v>191</v>
      </c>
      <c r="CH113">
        <v>-1.655</v>
      </c>
      <c r="CI113">
        <v>0.44500000000000001</v>
      </c>
      <c r="CJ113">
        <v>-2.5920000000000001</v>
      </c>
      <c r="CK113">
        <v>-1.9259999999999999</v>
      </c>
      <c r="CL113">
        <v>-1.643</v>
      </c>
      <c r="CM113">
        <v>-1.347</v>
      </c>
      <c r="CN113">
        <v>-0.83899999999999997</v>
      </c>
      <c r="CO113">
        <v>1.0109999999999999</v>
      </c>
      <c r="CP113">
        <v>200</v>
      </c>
      <c r="CU113" t="s">
        <v>191</v>
      </c>
      <c r="CV113">
        <v>-1.8180000000000001</v>
      </c>
      <c r="CW113">
        <v>0.47399999999999998</v>
      </c>
      <c r="CX113">
        <v>-2.8679999999999999</v>
      </c>
      <c r="CY113">
        <v>-2.0950000000000002</v>
      </c>
      <c r="CZ113">
        <v>-1.784</v>
      </c>
      <c r="DA113">
        <v>-1.498</v>
      </c>
      <c r="DB113">
        <v>-0.95799999999999996</v>
      </c>
      <c r="DC113">
        <v>1.006</v>
      </c>
      <c r="DD113">
        <v>390</v>
      </c>
      <c r="DI113" t="s">
        <v>191</v>
      </c>
      <c r="DJ113">
        <v>-1.6020000000000001</v>
      </c>
      <c r="DK113">
        <v>0.45200000000000001</v>
      </c>
      <c r="DL113">
        <v>-2.605</v>
      </c>
      <c r="DM113">
        <v>-1.8819999999999999</v>
      </c>
      <c r="DN113">
        <v>-1.5649999999999999</v>
      </c>
      <c r="DO113">
        <v>-1.2949999999999999</v>
      </c>
      <c r="DP113">
        <v>-0.80500000000000005</v>
      </c>
      <c r="DQ113">
        <v>1.0009999999999999</v>
      </c>
      <c r="DR113">
        <v>2900</v>
      </c>
      <c r="DY113" t="s">
        <v>191</v>
      </c>
      <c r="DZ113">
        <v>-1.601</v>
      </c>
      <c r="EA113">
        <v>0.433</v>
      </c>
      <c r="EB113">
        <v>-2.5529999999999999</v>
      </c>
      <c r="EC113">
        <v>-1.8680000000000001</v>
      </c>
      <c r="ED113">
        <v>-1.58</v>
      </c>
      <c r="EE113">
        <v>-1.296</v>
      </c>
      <c r="EF113">
        <v>-0.85199999999999998</v>
      </c>
      <c r="EG113">
        <v>1.0009999999999999</v>
      </c>
      <c r="EH113">
        <v>3000</v>
      </c>
      <c r="EK113" t="s">
        <v>191</v>
      </c>
      <c r="EL113">
        <v>-1.992</v>
      </c>
      <c r="EM113">
        <v>0.67300000000000004</v>
      </c>
      <c r="EN113">
        <v>-3.5760000000000001</v>
      </c>
      <c r="EO113">
        <v>-2.3519999999999999</v>
      </c>
      <c r="EP113">
        <v>-1.8919999999999999</v>
      </c>
      <c r="EQ113">
        <v>-1.526</v>
      </c>
      <c r="ER113">
        <v>-0.94799999999999995</v>
      </c>
      <c r="ES113">
        <v>1.002</v>
      </c>
      <c r="ET113">
        <v>810</v>
      </c>
      <c r="EY113" t="s">
        <v>191</v>
      </c>
      <c r="EZ113">
        <v>-1.9870000000000001</v>
      </c>
      <c r="FA113">
        <v>0.65400000000000003</v>
      </c>
      <c r="FB113">
        <v>-3.5369999999999999</v>
      </c>
      <c r="FC113">
        <v>-2.3319999999999999</v>
      </c>
      <c r="FD113">
        <v>-1.893</v>
      </c>
      <c r="FE113">
        <v>-1.53</v>
      </c>
      <c r="FF113">
        <v>-0.98899999999999999</v>
      </c>
      <c r="FG113">
        <v>1.0029999999999999</v>
      </c>
      <c r="FH113">
        <v>890</v>
      </c>
      <c r="GA113" t="s">
        <v>191</v>
      </c>
      <c r="GB113">
        <v>8.9999999999999993E-3</v>
      </c>
      <c r="GC113">
        <v>10.013</v>
      </c>
      <c r="GD113">
        <v>-19.678000000000001</v>
      </c>
      <c r="GE113">
        <v>-6.8179999999999996</v>
      </c>
      <c r="GF113">
        <v>0.13500000000000001</v>
      </c>
      <c r="GG113">
        <v>6.7789999999999999</v>
      </c>
      <c r="GH113">
        <v>18.716000000000001</v>
      </c>
      <c r="GI113">
        <v>1.0009999999999999</v>
      </c>
      <c r="GJ113">
        <v>3000</v>
      </c>
      <c r="GO113" t="s">
        <v>191</v>
      </c>
      <c r="GP113">
        <v>-1.7989999999999999</v>
      </c>
      <c r="GQ113">
        <v>0.58799999999999997</v>
      </c>
      <c r="GR113">
        <v>-3.1339999999999999</v>
      </c>
      <c r="GS113">
        <v>-2.1059999999999999</v>
      </c>
      <c r="GT113">
        <v>-1.7310000000000001</v>
      </c>
      <c r="GU113">
        <v>-1.3819999999999999</v>
      </c>
      <c r="GV113">
        <v>-0.83499999999999996</v>
      </c>
      <c r="GW113">
        <v>1.0049999999999999</v>
      </c>
      <c r="GX113">
        <v>490</v>
      </c>
      <c r="HC113" t="s">
        <v>191</v>
      </c>
      <c r="HD113">
        <v>-1.792</v>
      </c>
      <c r="HE113">
        <v>0.53700000000000003</v>
      </c>
      <c r="HF113">
        <v>-2.9950000000000001</v>
      </c>
      <c r="HG113">
        <v>-2.08</v>
      </c>
      <c r="HH113">
        <v>-1.7350000000000001</v>
      </c>
      <c r="HI113">
        <v>-1.429</v>
      </c>
      <c r="HJ113">
        <v>-0.91700000000000004</v>
      </c>
      <c r="HK113">
        <v>1.0009999999999999</v>
      </c>
      <c r="HL113">
        <v>3000</v>
      </c>
      <c r="HP113" s="7"/>
      <c r="HQ113" s="7" t="s">
        <v>191</v>
      </c>
      <c r="HR113" s="7">
        <v>-1.72</v>
      </c>
      <c r="HS113" s="7">
        <v>0.47899999999999998</v>
      </c>
      <c r="HT113" s="7">
        <v>-2.8109999999999999</v>
      </c>
      <c r="HU113" s="7">
        <v>-1.9990000000000001</v>
      </c>
      <c r="HV113" s="7">
        <v>-1.677</v>
      </c>
      <c r="HW113" s="7">
        <v>-1.383</v>
      </c>
      <c r="HX113" s="7">
        <v>-0.90200000000000002</v>
      </c>
      <c r="HY113" s="7">
        <v>1.002</v>
      </c>
      <c r="HZ113" s="7">
        <v>2000</v>
      </c>
      <c r="IA113" s="7"/>
      <c r="IE113" t="s">
        <v>191</v>
      </c>
      <c r="IF113">
        <v>-1.54</v>
      </c>
      <c r="IG113">
        <v>0.39800000000000002</v>
      </c>
      <c r="IH113">
        <v>-2.4359999999999999</v>
      </c>
      <c r="II113">
        <v>-1.786</v>
      </c>
      <c r="IJ113">
        <v>-1.5009999999999999</v>
      </c>
      <c r="IK113">
        <v>-1.268</v>
      </c>
      <c r="IL113">
        <v>-0.83299999999999996</v>
      </c>
      <c r="IM113">
        <v>1.002</v>
      </c>
      <c r="IN113">
        <v>1400</v>
      </c>
      <c r="IS113" t="s">
        <v>133</v>
      </c>
      <c r="IT113">
        <v>-3.0000000000000001E-3</v>
      </c>
      <c r="IU113">
        <v>0.57399999999999995</v>
      </c>
      <c r="IV113">
        <v>-0.95399999999999996</v>
      </c>
      <c r="IW113">
        <v>-0.49</v>
      </c>
      <c r="IX113">
        <v>1E-3</v>
      </c>
      <c r="IY113">
        <v>0.48799999999999999</v>
      </c>
      <c r="IZ113">
        <v>0.94799999999999995</v>
      </c>
      <c r="JA113">
        <v>1.0009999999999999</v>
      </c>
      <c r="JB113">
        <v>3000</v>
      </c>
      <c r="JF113" t="s">
        <v>133</v>
      </c>
      <c r="JG113">
        <v>-3.5999999999999997E-2</v>
      </c>
      <c r="JH113">
        <v>0.56999999999999995</v>
      </c>
      <c r="JI113">
        <v>-0.94699999999999995</v>
      </c>
      <c r="JJ113">
        <v>-0.52700000000000002</v>
      </c>
      <c r="JK113">
        <v>-6.9000000000000006E-2</v>
      </c>
      <c r="JL113">
        <v>0.45800000000000002</v>
      </c>
      <c r="JM113">
        <v>0.94499999999999995</v>
      </c>
      <c r="JN113">
        <v>1.0009999999999999</v>
      </c>
      <c r="JO113">
        <v>3000</v>
      </c>
      <c r="KH113" t="s">
        <v>133</v>
      </c>
      <c r="KI113">
        <v>-2.1999999999999999E-2</v>
      </c>
      <c r="KJ113">
        <v>3.6999999999999998E-2</v>
      </c>
      <c r="KK113">
        <v>-9.0999999999999998E-2</v>
      </c>
      <c r="KL113">
        <v>-4.8000000000000001E-2</v>
      </c>
      <c r="KM113">
        <v>-2.3E-2</v>
      </c>
      <c r="KN113">
        <v>2E-3</v>
      </c>
      <c r="KO113">
        <v>5.1999999999999998E-2</v>
      </c>
      <c r="KP113">
        <v>1.0009999999999999</v>
      </c>
      <c r="KQ113">
        <v>3000</v>
      </c>
      <c r="KV113" t="s">
        <v>133</v>
      </c>
      <c r="KW113">
        <v>-1.4999999999999999E-2</v>
      </c>
      <c r="KX113">
        <v>0.04</v>
      </c>
      <c r="KY113">
        <v>-8.7999999999999995E-2</v>
      </c>
      <c r="KZ113">
        <v>-4.2999999999999997E-2</v>
      </c>
      <c r="LA113">
        <v>-1.6E-2</v>
      </c>
      <c r="LB113">
        <v>1.0999999999999999E-2</v>
      </c>
      <c r="LC113">
        <v>6.8000000000000005E-2</v>
      </c>
      <c r="LD113">
        <v>1.0009999999999999</v>
      </c>
      <c r="LE113">
        <v>2800</v>
      </c>
      <c r="ML113" t="s">
        <v>133</v>
      </c>
      <c r="MM113">
        <v>-0.66100000000000003</v>
      </c>
      <c r="MN113">
        <v>2.8119999999999998</v>
      </c>
      <c r="MO113">
        <v>-3.9020000000000001</v>
      </c>
      <c r="MP113">
        <v>-2.4950000000000001</v>
      </c>
      <c r="MQ113">
        <v>-1.5469999999999999</v>
      </c>
      <c r="MR113">
        <v>0.254</v>
      </c>
      <c r="MS113">
        <v>6.9720000000000004</v>
      </c>
      <c r="MT113">
        <v>1.014</v>
      </c>
      <c r="MU113">
        <v>190</v>
      </c>
      <c r="MZ113" t="s">
        <v>133</v>
      </c>
      <c r="NA113">
        <v>0.48099999999999998</v>
      </c>
      <c r="NB113">
        <v>3.43</v>
      </c>
      <c r="NC113">
        <v>-3.7120000000000002</v>
      </c>
      <c r="ND113">
        <v>-2.1419999999999999</v>
      </c>
      <c r="NE113">
        <v>-0.72</v>
      </c>
      <c r="NF113">
        <v>2.7629999999999999</v>
      </c>
      <c r="NG113">
        <v>8.5190000000000001</v>
      </c>
      <c r="NH113">
        <v>1.617</v>
      </c>
      <c r="NI113">
        <v>7</v>
      </c>
      <c r="NM113" t="s">
        <v>133</v>
      </c>
      <c r="NN113">
        <v>-4.4050000000000002</v>
      </c>
      <c r="NO113">
        <v>0.83599999999999997</v>
      </c>
      <c r="NP113">
        <v>-6.2640000000000002</v>
      </c>
      <c r="NQ113">
        <v>-4.851</v>
      </c>
      <c r="NR113">
        <v>-4.3049999999999997</v>
      </c>
      <c r="NS113">
        <v>-3.8479999999999999</v>
      </c>
      <c r="NT113">
        <v>-3.0489999999999999</v>
      </c>
      <c r="NU113">
        <v>1.095</v>
      </c>
      <c r="NV113">
        <v>30</v>
      </c>
      <c r="NY113" t="s">
        <v>133</v>
      </c>
      <c r="NZ113">
        <v>-5.4390000000000001</v>
      </c>
      <c r="OA113">
        <v>1.2509999999999999</v>
      </c>
      <c r="OB113">
        <v>-8.0020000000000007</v>
      </c>
      <c r="OC113">
        <v>-6.2480000000000002</v>
      </c>
      <c r="OD113">
        <v>-5.4</v>
      </c>
      <c r="OE113">
        <v>-4.6040000000000001</v>
      </c>
      <c r="OF113">
        <v>-3.0630000000000002</v>
      </c>
      <c r="OG113">
        <v>1.1870000000000001</v>
      </c>
      <c r="OH113">
        <v>15</v>
      </c>
      <c r="OP113" t="s">
        <v>133</v>
      </c>
      <c r="OQ113">
        <v>-5.3109999999999999</v>
      </c>
      <c r="OR113">
        <v>0.54400000000000004</v>
      </c>
      <c r="OS113">
        <v>-6.5220000000000002</v>
      </c>
      <c r="OT113">
        <v>-5.6420000000000003</v>
      </c>
      <c r="OU113">
        <v>-5.2619999999999996</v>
      </c>
      <c r="OV113">
        <v>-4.9359999999999999</v>
      </c>
      <c r="OW113">
        <v>-4.3529999999999998</v>
      </c>
      <c r="OX113">
        <v>1.048</v>
      </c>
      <c r="OY113">
        <v>59</v>
      </c>
      <c r="QA113" t="s">
        <v>133</v>
      </c>
      <c r="QB113">
        <v>-5.86</v>
      </c>
      <c r="QC113">
        <v>0.48199999999999998</v>
      </c>
      <c r="QD113">
        <v>-6.7859999999999996</v>
      </c>
      <c r="QE113">
        <v>-6.181</v>
      </c>
      <c r="QF113">
        <v>-5.8730000000000002</v>
      </c>
      <c r="QG113">
        <v>-5.55</v>
      </c>
      <c r="QH113">
        <v>-4.8810000000000002</v>
      </c>
      <c r="QI113">
        <v>1.097</v>
      </c>
      <c r="QJ113">
        <v>30</v>
      </c>
      <c r="QK113">
        <f t="shared" si="6"/>
        <v>-12.157676348547719</v>
      </c>
      <c r="QL113">
        <f t="shared" si="4"/>
        <v>5.86</v>
      </c>
      <c r="QN113" t="s">
        <v>210</v>
      </c>
    </row>
    <row r="114" spans="1:456">
      <c r="A114" t="s">
        <v>192</v>
      </c>
      <c r="B114">
        <v>0.38</v>
      </c>
      <c r="C114">
        <v>0.316</v>
      </c>
      <c r="D114">
        <v>-0.22900000000000001</v>
      </c>
      <c r="E114">
        <v>0.18099999999999999</v>
      </c>
      <c r="F114">
        <v>0.374</v>
      </c>
      <c r="G114">
        <v>0.57199999999999995</v>
      </c>
      <c r="H114">
        <v>1.0509999999999999</v>
      </c>
      <c r="I114">
        <v>1.0569999999999999</v>
      </c>
      <c r="J114">
        <v>43</v>
      </c>
      <c r="O114" t="s">
        <v>192</v>
      </c>
      <c r="P114">
        <v>1.4910000000000001</v>
      </c>
      <c r="Q114">
        <v>2.42</v>
      </c>
      <c r="R114">
        <v>-1.778</v>
      </c>
      <c r="S114">
        <v>0.24099999999999999</v>
      </c>
      <c r="T114">
        <v>0.86799999999999999</v>
      </c>
      <c r="U114">
        <v>2.0139999999999998</v>
      </c>
      <c r="V114">
        <v>8.4109999999999996</v>
      </c>
      <c r="W114">
        <v>1.002</v>
      </c>
      <c r="X114">
        <v>2000</v>
      </c>
      <c r="AC114" t="s">
        <v>192</v>
      </c>
      <c r="AD114">
        <v>0.55700000000000005</v>
      </c>
      <c r="AE114">
        <v>0.433</v>
      </c>
      <c r="AF114">
        <v>-0.17399999999999999</v>
      </c>
      <c r="AG114">
        <v>0.26400000000000001</v>
      </c>
      <c r="AH114">
        <v>0.499</v>
      </c>
      <c r="AI114">
        <v>0.79600000000000004</v>
      </c>
      <c r="AJ114">
        <v>1.5449999999999999</v>
      </c>
      <c r="AK114">
        <v>1.0069999999999999</v>
      </c>
      <c r="AL114">
        <v>530</v>
      </c>
      <c r="AQ114" t="s">
        <v>192</v>
      </c>
      <c r="AR114">
        <v>0.55200000000000005</v>
      </c>
      <c r="AS114">
        <v>0.435</v>
      </c>
      <c r="AT114">
        <v>-0.17899999999999999</v>
      </c>
      <c r="AU114">
        <v>0.25600000000000001</v>
      </c>
      <c r="AV114">
        <v>0.498</v>
      </c>
      <c r="AW114">
        <v>0.79500000000000004</v>
      </c>
      <c r="AX114">
        <v>1.5289999999999999</v>
      </c>
      <c r="AY114">
        <v>1.01</v>
      </c>
      <c r="AZ114">
        <v>240</v>
      </c>
      <c r="BE114" t="s">
        <v>192</v>
      </c>
      <c r="BF114">
        <v>0.36699999999999999</v>
      </c>
      <c r="BG114">
        <v>0.38300000000000001</v>
      </c>
      <c r="BH114">
        <v>-0.32700000000000001</v>
      </c>
      <c r="BI114">
        <v>0.104</v>
      </c>
      <c r="BJ114">
        <v>0.35499999999999998</v>
      </c>
      <c r="BK114">
        <v>0.60199999999999998</v>
      </c>
      <c r="BL114">
        <v>1.175</v>
      </c>
      <c r="BM114">
        <v>1.006</v>
      </c>
      <c r="BN114">
        <v>340</v>
      </c>
      <c r="BS114" t="s">
        <v>192</v>
      </c>
      <c r="BT114">
        <v>0.53300000000000003</v>
      </c>
      <c r="BU114">
        <v>0.43</v>
      </c>
      <c r="BV114">
        <v>-0.18</v>
      </c>
      <c r="BW114">
        <v>0.254</v>
      </c>
      <c r="BX114">
        <v>0.48499999999999999</v>
      </c>
      <c r="BY114">
        <v>0.76100000000000001</v>
      </c>
      <c r="BZ114">
        <v>1.508</v>
      </c>
      <c r="CA114">
        <v>1.008</v>
      </c>
      <c r="CB114">
        <v>360</v>
      </c>
      <c r="CG114" t="s">
        <v>192</v>
      </c>
      <c r="CH114">
        <v>0.41099999999999998</v>
      </c>
      <c r="CI114">
        <v>0.39600000000000002</v>
      </c>
      <c r="CJ114">
        <v>-0.28799999999999998</v>
      </c>
      <c r="CK114">
        <v>0.14599999999999999</v>
      </c>
      <c r="CL114">
        <v>0.377</v>
      </c>
      <c r="CM114">
        <v>0.64100000000000001</v>
      </c>
      <c r="CN114">
        <v>1.306</v>
      </c>
      <c r="CO114">
        <v>1.004</v>
      </c>
      <c r="CP114">
        <v>710</v>
      </c>
      <c r="CU114" t="s">
        <v>192</v>
      </c>
      <c r="CV114">
        <v>0.81100000000000005</v>
      </c>
      <c r="CW114">
        <v>0.53200000000000003</v>
      </c>
      <c r="CX114">
        <v>-6.7000000000000004E-2</v>
      </c>
      <c r="CY114">
        <v>0.42299999999999999</v>
      </c>
      <c r="CZ114">
        <v>0.752</v>
      </c>
      <c r="DA114">
        <v>1.1499999999999999</v>
      </c>
      <c r="DB114">
        <v>1.9259999999999999</v>
      </c>
      <c r="DC114">
        <v>1.01</v>
      </c>
      <c r="DD114">
        <v>330</v>
      </c>
      <c r="DI114" t="s">
        <v>192</v>
      </c>
      <c r="DJ114">
        <v>0.57699999999999996</v>
      </c>
      <c r="DK114">
        <v>0.433</v>
      </c>
      <c r="DL114">
        <v>-0.15</v>
      </c>
      <c r="DM114">
        <v>0.28100000000000003</v>
      </c>
      <c r="DN114">
        <v>0.52300000000000002</v>
      </c>
      <c r="DO114">
        <v>0.81699999999999995</v>
      </c>
      <c r="DP114">
        <v>1.591</v>
      </c>
      <c r="DQ114">
        <v>1.0009999999999999</v>
      </c>
      <c r="DR114">
        <v>3000</v>
      </c>
      <c r="DY114" t="s">
        <v>192</v>
      </c>
      <c r="DZ114">
        <v>0.53200000000000003</v>
      </c>
      <c r="EA114">
        <v>0.43</v>
      </c>
      <c r="EB114">
        <v>-0.22900000000000001</v>
      </c>
      <c r="EC114">
        <v>0.23200000000000001</v>
      </c>
      <c r="ED114">
        <v>0.496</v>
      </c>
      <c r="EE114">
        <v>0.79</v>
      </c>
      <c r="EF114">
        <v>1.482</v>
      </c>
      <c r="EG114">
        <v>1.0009999999999999</v>
      </c>
      <c r="EH114">
        <v>3000</v>
      </c>
      <c r="EK114" t="s">
        <v>192</v>
      </c>
      <c r="EL114">
        <v>0.56100000000000005</v>
      </c>
      <c r="EM114">
        <v>0.6</v>
      </c>
      <c r="EN114">
        <v>-0.55400000000000005</v>
      </c>
      <c r="EO114">
        <v>0.16800000000000001</v>
      </c>
      <c r="EP114">
        <v>0.52200000000000002</v>
      </c>
      <c r="EQ114">
        <v>0.93600000000000005</v>
      </c>
      <c r="ER114">
        <v>1.8240000000000001</v>
      </c>
      <c r="ES114">
        <v>1.01</v>
      </c>
      <c r="ET114">
        <v>210</v>
      </c>
      <c r="EY114" t="s">
        <v>192</v>
      </c>
      <c r="EZ114">
        <v>0.64700000000000002</v>
      </c>
      <c r="FA114">
        <v>0.56499999999999995</v>
      </c>
      <c r="FB114">
        <v>-0.33600000000000002</v>
      </c>
      <c r="FC114">
        <v>0.25900000000000001</v>
      </c>
      <c r="FD114">
        <v>0.59899999999999998</v>
      </c>
      <c r="FE114">
        <v>0.98799999999999999</v>
      </c>
      <c r="FF114">
        <v>1.9</v>
      </c>
      <c r="FG114">
        <v>1.0009999999999999</v>
      </c>
      <c r="FH114">
        <v>3000</v>
      </c>
      <c r="GA114" t="s">
        <v>192</v>
      </c>
      <c r="GB114">
        <v>-1.4E-2</v>
      </c>
      <c r="GC114">
        <v>9.9890000000000008</v>
      </c>
      <c r="GD114">
        <v>-19.529</v>
      </c>
      <c r="GE114">
        <v>-6.5410000000000004</v>
      </c>
      <c r="GF114">
        <v>-0.06</v>
      </c>
      <c r="GG114">
        <v>6.6829999999999998</v>
      </c>
      <c r="GH114">
        <v>19.983000000000001</v>
      </c>
      <c r="GI114">
        <v>1.002</v>
      </c>
      <c r="GJ114">
        <v>1500</v>
      </c>
      <c r="GO114" t="s">
        <v>192</v>
      </c>
      <c r="GP114">
        <v>0.627</v>
      </c>
      <c r="GQ114">
        <v>0.55100000000000005</v>
      </c>
      <c r="GR114">
        <v>-0.36699999999999999</v>
      </c>
      <c r="GS114">
        <v>0.25800000000000001</v>
      </c>
      <c r="GT114">
        <v>0.57499999999999996</v>
      </c>
      <c r="GU114">
        <v>0.95899999999999996</v>
      </c>
      <c r="GV114">
        <v>1.8089999999999999</v>
      </c>
      <c r="GW114">
        <v>1.002</v>
      </c>
      <c r="GX114">
        <v>1600</v>
      </c>
      <c r="HC114" t="s">
        <v>192</v>
      </c>
      <c r="HD114">
        <v>0.59</v>
      </c>
      <c r="HE114">
        <v>0.55900000000000005</v>
      </c>
      <c r="HF114">
        <v>-0.434</v>
      </c>
      <c r="HG114">
        <v>0.20899999999999999</v>
      </c>
      <c r="HH114">
        <v>0.55800000000000005</v>
      </c>
      <c r="HI114">
        <v>0.94099999999999995</v>
      </c>
      <c r="HJ114">
        <v>1.782</v>
      </c>
      <c r="HK114">
        <v>1.0029999999999999</v>
      </c>
      <c r="HL114">
        <v>760</v>
      </c>
      <c r="HP114" s="7"/>
      <c r="HQ114" s="7" t="s">
        <v>192</v>
      </c>
      <c r="HR114" s="7">
        <v>0.69099999999999995</v>
      </c>
      <c r="HS114" s="7">
        <v>0.49199999999999999</v>
      </c>
      <c r="HT114" s="7">
        <v>-0.192</v>
      </c>
      <c r="HU114" s="7">
        <v>0.35799999999999998</v>
      </c>
      <c r="HV114" s="7">
        <v>0.66300000000000003</v>
      </c>
      <c r="HW114" s="7">
        <v>1.016</v>
      </c>
      <c r="HX114" s="7">
        <v>1.6879999999999999</v>
      </c>
      <c r="HY114" s="7">
        <v>1.0049999999999999</v>
      </c>
      <c r="HZ114" s="7">
        <v>500</v>
      </c>
      <c r="IA114" s="7"/>
      <c r="IE114" t="s">
        <v>192</v>
      </c>
      <c r="IF114">
        <v>0.436</v>
      </c>
      <c r="IG114">
        <v>0.39700000000000002</v>
      </c>
      <c r="IH114">
        <v>-0.25800000000000001</v>
      </c>
      <c r="II114">
        <v>0.16700000000000001</v>
      </c>
      <c r="IJ114">
        <v>0.40200000000000002</v>
      </c>
      <c r="IK114">
        <v>0.66500000000000004</v>
      </c>
      <c r="IL114">
        <v>1.3080000000000001</v>
      </c>
      <c r="IM114">
        <v>1.0029999999999999</v>
      </c>
      <c r="IN114">
        <v>3000</v>
      </c>
      <c r="IS114" t="s">
        <v>134</v>
      </c>
      <c r="IT114">
        <v>8.0000000000000002E-3</v>
      </c>
      <c r="IU114">
        <v>0.56899999999999995</v>
      </c>
      <c r="IV114">
        <v>-0.93899999999999995</v>
      </c>
      <c r="IW114">
        <v>-0.48</v>
      </c>
      <c r="IX114">
        <v>7.0000000000000001E-3</v>
      </c>
      <c r="IY114">
        <v>0.499</v>
      </c>
      <c r="IZ114">
        <v>0.94199999999999995</v>
      </c>
      <c r="JA114">
        <v>1.0009999999999999</v>
      </c>
      <c r="JB114">
        <v>3000</v>
      </c>
      <c r="JF114" t="s">
        <v>134</v>
      </c>
      <c r="JG114">
        <v>-0.02</v>
      </c>
      <c r="JH114">
        <v>0.57699999999999996</v>
      </c>
      <c r="JI114">
        <v>-0.96</v>
      </c>
      <c r="JJ114">
        <v>-0.51200000000000001</v>
      </c>
      <c r="JK114">
        <v>-1.9E-2</v>
      </c>
      <c r="JL114">
        <v>0.47399999999999998</v>
      </c>
      <c r="JM114">
        <v>0.94099999999999995</v>
      </c>
      <c r="JN114">
        <v>1.0009999999999999</v>
      </c>
      <c r="JO114">
        <v>3000</v>
      </c>
      <c r="KH114" t="s">
        <v>134</v>
      </c>
      <c r="KI114">
        <v>-0.115</v>
      </c>
      <c r="KJ114">
        <v>8.6999999999999994E-2</v>
      </c>
      <c r="KK114">
        <v>-0.28000000000000003</v>
      </c>
      <c r="KL114">
        <v>-0.17599999999999999</v>
      </c>
      <c r="KM114">
        <v>-0.11600000000000001</v>
      </c>
      <c r="KN114">
        <v>-5.6000000000000001E-2</v>
      </c>
      <c r="KO114">
        <v>5.8999999999999997E-2</v>
      </c>
      <c r="KP114">
        <v>1.016</v>
      </c>
      <c r="KQ114">
        <v>140</v>
      </c>
      <c r="KV114" t="s">
        <v>134</v>
      </c>
      <c r="KW114">
        <v>-7.4999999999999997E-2</v>
      </c>
      <c r="KX114">
        <v>8.7999999999999995E-2</v>
      </c>
      <c r="KY114">
        <v>-0.23899999999999999</v>
      </c>
      <c r="KZ114">
        <v>-0.13700000000000001</v>
      </c>
      <c r="LA114">
        <v>-7.6999999999999999E-2</v>
      </c>
      <c r="LB114">
        <v>-1.7000000000000001E-2</v>
      </c>
      <c r="LC114">
        <v>0.108</v>
      </c>
      <c r="LD114">
        <v>1.0049999999999999</v>
      </c>
      <c r="LE114">
        <v>470</v>
      </c>
      <c r="ML114" t="s">
        <v>134</v>
      </c>
      <c r="MM114">
        <v>-4.2850000000000001</v>
      </c>
      <c r="MN114">
        <v>1.3420000000000001</v>
      </c>
      <c r="MO114">
        <v>-6.5229999999999997</v>
      </c>
      <c r="MP114">
        <v>-5.0549999999999997</v>
      </c>
      <c r="MQ114">
        <v>-4.3449999999999998</v>
      </c>
      <c r="MR114">
        <v>-3.6309999999999998</v>
      </c>
      <c r="MS114">
        <v>-1.8779999999999999</v>
      </c>
      <c r="MT114">
        <v>1.024</v>
      </c>
      <c r="MU114">
        <v>260</v>
      </c>
      <c r="MZ114" t="s">
        <v>134</v>
      </c>
      <c r="NA114">
        <v>-4.4790000000000001</v>
      </c>
      <c r="NB114">
        <v>1.018</v>
      </c>
      <c r="NC114">
        <v>-6.5149999999999997</v>
      </c>
      <c r="ND114">
        <v>-5.1630000000000003</v>
      </c>
      <c r="NE114">
        <v>-4.4669999999999996</v>
      </c>
      <c r="NF114">
        <v>-3.8090000000000002</v>
      </c>
      <c r="NG114">
        <v>-2.4860000000000002</v>
      </c>
      <c r="NH114">
        <v>1.0089999999999999</v>
      </c>
      <c r="NI114">
        <v>260</v>
      </c>
      <c r="NM114" t="s">
        <v>134</v>
      </c>
      <c r="NN114">
        <v>-4.1219999999999999</v>
      </c>
      <c r="NO114">
        <v>0.49299999999999999</v>
      </c>
      <c r="NP114">
        <v>-5.282</v>
      </c>
      <c r="NQ114">
        <v>-4.3949999999999996</v>
      </c>
      <c r="NR114">
        <v>-4.0590000000000002</v>
      </c>
      <c r="NS114">
        <v>-3.7810000000000001</v>
      </c>
      <c r="NT114">
        <v>-3.3220000000000001</v>
      </c>
      <c r="NU114">
        <v>1.05</v>
      </c>
      <c r="NV114">
        <v>65</v>
      </c>
      <c r="NY114" t="s">
        <v>134</v>
      </c>
      <c r="NZ114">
        <v>-3.028</v>
      </c>
      <c r="OA114">
        <v>0.30399999999999999</v>
      </c>
      <c r="OB114">
        <v>-3.6539999999999999</v>
      </c>
      <c r="OC114">
        <v>-3.2290000000000001</v>
      </c>
      <c r="OD114">
        <v>-3.0190000000000001</v>
      </c>
      <c r="OE114">
        <v>-2.823</v>
      </c>
      <c r="OF114">
        <v>-2.4470000000000001</v>
      </c>
      <c r="OG114">
        <v>1.006</v>
      </c>
      <c r="OH114">
        <v>400</v>
      </c>
      <c r="OP114" t="s">
        <v>134</v>
      </c>
      <c r="OQ114">
        <v>-3.1190000000000002</v>
      </c>
      <c r="OR114">
        <v>0.28799999999999998</v>
      </c>
      <c r="OS114">
        <v>-3.7240000000000002</v>
      </c>
      <c r="OT114">
        <v>-3.3029999999999999</v>
      </c>
      <c r="OU114">
        <v>-3.105</v>
      </c>
      <c r="OV114">
        <v>-2.9220000000000002</v>
      </c>
      <c r="OW114">
        <v>-2.6059999999999999</v>
      </c>
      <c r="OX114">
        <v>1.02</v>
      </c>
      <c r="OY114">
        <v>130</v>
      </c>
    </row>
    <row r="115" spans="1:456">
      <c r="A115" t="s">
        <v>131</v>
      </c>
      <c r="B115">
        <v>-0.52100000000000002</v>
      </c>
      <c r="C115">
        <v>0.10199999999999999</v>
      </c>
      <c r="D115">
        <v>-0.70299999999999996</v>
      </c>
      <c r="E115">
        <v>-0.58799999999999997</v>
      </c>
      <c r="F115">
        <v>-0.52700000000000002</v>
      </c>
      <c r="G115">
        <v>-0.46100000000000002</v>
      </c>
      <c r="H115">
        <v>-0.309</v>
      </c>
      <c r="I115">
        <v>1.0029999999999999</v>
      </c>
      <c r="J115">
        <v>790</v>
      </c>
      <c r="O115" t="s">
        <v>131</v>
      </c>
      <c r="P115">
        <v>-0.40400000000000003</v>
      </c>
      <c r="Q115">
        <v>9.6000000000000002E-2</v>
      </c>
      <c r="R115">
        <v>-0.57299999999999995</v>
      </c>
      <c r="S115">
        <v>-0.47099999999999997</v>
      </c>
      <c r="T115">
        <v>-0.41</v>
      </c>
      <c r="U115">
        <v>-0.34399999999999997</v>
      </c>
      <c r="V115">
        <v>-0.19500000000000001</v>
      </c>
      <c r="W115">
        <v>1.008</v>
      </c>
      <c r="X115">
        <v>260</v>
      </c>
      <c r="AC115" t="s">
        <v>131</v>
      </c>
      <c r="AD115">
        <v>-0.379</v>
      </c>
      <c r="AE115">
        <v>0.10299999999999999</v>
      </c>
      <c r="AF115">
        <v>-0.55100000000000005</v>
      </c>
      <c r="AG115">
        <v>-0.44900000000000001</v>
      </c>
      <c r="AH115">
        <v>-0.38600000000000001</v>
      </c>
      <c r="AI115">
        <v>-0.316</v>
      </c>
      <c r="AJ115">
        <v>-0.14799999999999999</v>
      </c>
      <c r="AK115">
        <v>1.0009999999999999</v>
      </c>
      <c r="AL115">
        <v>3000</v>
      </c>
      <c r="AQ115" t="s">
        <v>131</v>
      </c>
      <c r="AR115">
        <v>-0.35099999999999998</v>
      </c>
      <c r="AS115">
        <v>0.105</v>
      </c>
      <c r="AT115">
        <v>-0.54</v>
      </c>
      <c r="AU115">
        <v>-0.41899999999999998</v>
      </c>
      <c r="AV115">
        <v>-0.35899999999999999</v>
      </c>
      <c r="AW115">
        <v>-0.29199999999999998</v>
      </c>
      <c r="AX115">
        <v>-0.124</v>
      </c>
      <c r="AY115">
        <v>1.0009999999999999</v>
      </c>
      <c r="AZ115">
        <v>2700</v>
      </c>
      <c r="BE115" t="s">
        <v>131</v>
      </c>
      <c r="BF115">
        <v>-0.32600000000000001</v>
      </c>
      <c r="BG115">
        <v>0.106</v>
      </c>
      <c r="BH115">
        <v>-0.51600000000000001</v>
      </c>
      <c r="BI115">
        <v>-0.39800000000000002</v>
      </c>
      <c r="BJ115">
        <v>-0.33300000000000002</v>
      </c>
      <c r="BK115">
        <v>-0.26200000000000001</v>
      </c>
      <c r="BL115">
        <v>-9.9000000000000005E-2</v>
      </c>
      <c r="BM115">
        <v>1.0149999999999999</v>
      </c>
      <c r="BN115">
        <v>730</v>
      </c>
      <c r="BS115" t="s">
        <v>131</v>
      </c>
      <c r="BT115">
        <v>-0.38900000000000001</v>
      </c>
      <c r="BU115">
        <v>9.6000000000000002E-2</v>
      </c>
      <c r="BV115">
        <v>-0.56000000000000005</v>
      </c>
      <c r="BW115">
        <v>-0.45500000000000002</v>
      </c>
      <c r="BX115">
        <v>-0.39600000000000002</v>
      </c>
      <c r="BY115">
        <v>-0.32900000000000001</v>
      </c>
      <c r="BZ115">
        <v>-0.184</v>
      </c>
      <c r="CA115">
        <v>1.0029999999999999</v>
      </c>
      <c r="CB115">
        <v>690</v>
      </c>
      <c r="CG115" t="s">
        <v>131</v>
      </c>
      <c r="CH115">
        <v>-0.36799999999999999</v>
      </c>
      <c r="CI115">
        <v>9.5000000000000001E-2</v>
      </c>
      <c r="CJ115">
        <v>-0.53700000000000003</v>
      </c>
      <c r="CK115">
        <v>-0.434</v>
      </c>
      <c r="CL115">
        <v>-0.372</v>
      </c>
      <c r="CM115">
        <v>-0.309</v>
      </c>
      <c r="CN115">
        <v>-0.16600000000000001</v>
      </c>
      <c r="CO115">
        <v>1.0029999999999999</v>
      </c>
      <c r="CP115">
        <v>3000</v>
      </c>
      <c r="CU115" t="s">
        <v>131</v>
      </c>
      <c r="CV115">
        <v>-0.39500000000000002</v>
      </c>
      <c r="CW115">
        <v>0.10299999999999999</v>
      </c>
      <c r="CX115">
        <v>-0.57499999999999996</v>
      </c>
      <c r="CY115">
        <v>-0.46400000000000002</v>
      </c>
      <c r="CZ115">
        <v>-0.40200000000000002</v>
      </c>
      <c r="DA115">
        <v>-0.33500000000000002</v>
      </c>
      <c r="DB115">
        <v>-0.17199999999999999</v>
      </c>
      <c r="DC115">
        <v>1.0009999999999999</v>
      </c>
      <c r="DD115">
        <v>3000</v>
      </c>
      <c r="DI115" t="s">
        <v>131</v>
      </c>
      <c r="DJ115">
        <v>0.39500000000000002</v>
      </c>
      <c r="DK115">
        <v>0.10199999999999999</v>
      </c>
      <c r="DL115">
        <v>0.17599999999999999</v>
      </c>
      <c r="DM115">
        <v>0.33700000000000002</v>
      </c>
      <c r="DN115">
        <v>0.40200000000000002</v>
      </c>
      <c r="DO115">
        <v>0.46300000000000002</v>
      </c>
      <c r="DP115">
        <v>0.57499999999999996</v>
      </c>
      <c r="DQ115">
        <v>1.0029999999999999</v>
      </c>
      <c r="DR115">
        <v>3000</v>
      </c>
      <c r="DY115" t="s">
        <v>131</v>
      </c>
      <c r="DZ115">
        <v>-4.3310000000000004</v>
      </c>
      <c r="EA115">
        <v>1.9870000000000001</v>
      </c>
      <c r="EB115">
        <v>-8.4990000000000006</v>
      </c>
      <c r="EC115">
        <v>-5.577</v>
      </c>
      <c r="ED115">
        <v>-4.2290000000000001</v>
      </c>
      <c r="EE115">
        <v>-2.996</v>
      </c>
      <c r="EF115">
        <v>-0.83499999999999996</v>
      </c>
      <c r="EG115">
        <v>1.0009999999999999</v>
      </c>
      <c r="EH115">
        <v>2500</v>
      </c>
      <c r="EK115" t="s">
        <v>131</v>
      </c>
      <c r="EL115">
        <v>6.2539999999999996</v>
      </c>
      <c r="EM115">
        <v>2.226</v>
      </c>
      <c r="EN115">
        <v>2.694</v>
      </c>
      <c r="EO115">
        <v>4.6459999999999999</v>
      </c>
      <c r="EP115">
        <v>5.99</v>
      </c>
      <c r="EQ115">
        <v>7.59</v>
      </c>
      <c r="ER115">
        <v>11.387</v>
      </c>
      <c r="ES115">
        <v>1.0009999999999999</v>
      </c>
      <c r="ET115">
        <v>1500</v>
      </c>
      <c r="EY115" t="s">
        <v>131</v>
      </c>
      <c r="EZ115">
        <v>0.99099999999999999</v>
      </c>
      <c r="FA115">
        <v>0.01</v>
      </c>
      <c r="FB115">
        <v>0.96399999999999997</v>
      </c>
      <c r="FC115">
        <v>0.98699999999999999</v>
      </c>
      <c r="FD115">
        <v>0.99399999999999999</v>
      </c>
      <c r="FE115">
        <v>0.997</v>
      </c>
      <c r="FF115">
        <v>1</v>
      </c>
      <c r="FG115">
        <v>1.0009999999999999</v>
      </c>
      <c r="FH115">
        <v>3000</v>
      </c>
      <c r="GA115" t="s">
        <v>131</v>
      </c>
      <c r="GB115">
        <v>1.6E-2</v>
      </c>
      <c r="GC115">
        <v>0.56899999999999995</v>
      </c>
      <c r="GD115">
        <v>-0.93799999999999994</v>
      </c>
      <c r="GE115">
        <v>-0.47199999999999998</v>
      </c>
      <c r="GF115">
        <v>2.1000000000000001E-2</v>
      </c>
      <c r="GG115">
        <v>0.51</v>
      </c>
      <c r="GH115">
        <v>0.94599999999999995</v>
      </c>
      <c r="GI115">
        <v>1.002</v>
      </c>
      <c r="GJ115">
        <v>1600</v>
      </c>
      <c r="GO115" t="s">
        <v>131</v>
      </c>
      <c r="GP115">
        <v>0.99</v>
      </c>
      <c r="GQ115">
        <v>0.01</v>
      </c>
      <c r="GR115">
        <v>0.96399999999999997</v>
      </c>
      <c r="GS115">
        <v>0.98699999999999999</v>
      </c>
      <c r="GT115">
        <v>0.99299999999999999</v>
      </c>
      <c r="GU115">
        <v>0.997</v>
      </c>
      <c r="GV115">
        <v>1</v>
      </c>
      <c r="GW115">
        <v>1.0009999999999999</v>
      </c>
      <c r="GX115">
        <v>3000</v>
      </c>
      <c r="HC115" t="s">
        <v>131</v>
      </c>
      <c r="HD115">
        <v>0.99</v>
      </c>
      <c r="HE115">
        <v>0.01</v>
      </c>
      <c r="HF115">
        <v>0.96399999999999997</v>
      </c>
      <c r="HG115">
        <v>0.98699999999999999</v>
      </c>
      <c r="HH115">
        <v>0.99299999999999999</v>
      </c>
      <c r="HI115">
        <v>0.997</v>
      </c>
      <c r="HJ115">
        <v>1</v>
      </c>
      <c r="HK115">
        <v>1.0029999999999999</v>
      </c>
      <c r="HL115">
        <v>2600</v>
      </c>
      <c r="HP115" s="7"/>
      <c r="HQ115" s="7" t="s">
        <v>131</v>
      </c>
      <c r="HR115" s="7">
        <v>0.96299999999999997</v>
      </c>
      <c r="HS115" s="7">
        <v>3.3000000000000002E-2</v>
      </c>
      <c r="HT115" s="7">
        <v>0.877</v>
      </c>
      <c r="HU115" s="7">
        <v>0.94699999999999995</v>
      </c>
      <c r="HV115" s="7">
        <v>0.97299999999999998</v>
      </c>
      <c r="HW115" s="7">
        <v>0.98799999999999999</v>
      </c>
      <c r="HX115" s="7">
        <v>0.999</v>
      </c>
      <c r="HY115" s="7">
        <v>1.002</v>
      </c>
      <c r="HZ115" s="7">
        <v>1800</v>
      </c>
      <c r="IA115" s="7"/>
      <c r="IE115" t="s">
        <v>131</v>
      </c>
      <c r="IF115">
        <v>0.97</v>
      </c>
      <c r="IG115">
        <v>2.8000000000000001E-2</v>
      </c>
      <c r="IH115">
        <v>0.89500000000000002</v>
      </c>
      <c r="II115">
        <v>0.95899999999999996</v>
      </c>
      <c r="IJ115">
        <v>0.97799999999999998</v>
      </c>
      <c r="IK115">
        <v>0.99099999999999999</v>
      </c>
      <c r="IL115">
        <v>0.999</v>
      </c>
      <c r="IM115">
        <v>1.0009999999999999</v>
      </c>
      <c r="IN115">
        <v>3000</v>
      </c>
      <c r="IS115" t="s">
        <v>237</v>
      </c>
      <c r="IT115">
        <v>1.0820000000000001</v>
      </c>
      <c r="IU115">
        <v>7.9000000000000001E-2</v>
      </c>
      <c r="IV115">
        <v>0.94299999999999995</v>
      </c>
      <c r="IW115">
        <v>1.0269999999999999</v>
      </c>
      <c r="IX115">
        <v>1.077</v>
      </c>
      <c r="IY115">
        <v>1.1299999999999999</v>
      </c>
      <c r="IZ115">
        <v>1.25</v>
      </c>
      <c r="JA115">
        <v>1.006</v>
      </c>
      <c r="JB115">
        <v>410</v>
      </c>
      <c r="JF115" t="s">
        <v>139</v>
      </c>
      <c r="JG115">
        <v>4.5529999999999999</v>
      </c>
      <c r="JH115">
        <v>2.194</v>
      </c>
      <c r="JI115">
        <v>1.7729999999999999</v>
      </c>
      <c r="JJ115">
        <v>2.944</v>
      </c>
      <c r="JK115">
        <v>4.0199999999999996</v>
      </c>
      <c r="JL115">
        <v>5.6059999999999999</v>
      </c>
      <c r="JM115">
        <v>10.037000000000001</v>
      </c>
      <c r="JN115">
        <v>1.01</v>
      </c>
      <c r="JO115">
        <v>220</v>
      </c>
      <c r="JT115" t="s">
        <v>135</v>
      </c>
      <c r="JU115">
        <v>2.7090000000000001</v>
      </c>
      <c r="JV115">
        <v>2.855</v>
      </c>
      <c r="JW115">
        <v>-1.431</v>
      </c>
      <c r="JX115">
        <v>0.52200000000000002</v>
      </c>
      <c r="JY115">
        <v>2.254</v>
      </c>
      <c r="JZ115">
        <v>4.4119999999999999</v>
      </c>
      <c r="KA115">
        <v>9.2919999999999998</v>
      </c>
      <c r="KB115">
        <v>1.006</v>
      </c>
      <c r="KC115">
        <v>350</v>
      </c>
      <c r="KH115" t="s">
        <v>135</v>
      </c>
      <c r="KI115">
        <v>2.4630000000000001</v>
      </c>
      <c r="KJ115">
        <v>2.8620000000000001</v>
      </c>
      <c r="KK115">
        <v>-1.7190000000000001</v>
      </c>
      <c r="KL115">
        <v>0.29299999999999998</v>
      </c>
      <c r="KM115">
        <v>2.0099999999999998</v>
      </c>
      <c r="KN115">
        <v>4.1260000000000003</v>
      </c>
      <c r="KO115">
        <v>9.202</v>
      </c>
      <c r="KP115">
        <v>1.0129999999999999</v>
      </c>
      <c r="KQ115">
        <v>180</v>
      </c>
      <c r="KV115" t="s">
        <v>135</v>
      </c>
      <c r="KW115">
        <v>1.7889999999999999</v>
      </c>
      <c r="KX115">
        <v>3.0329999999999999</v>
      </c>
      <c r="KY115">
        <v>-2.573</v>
      </c>
      <c r="KZ115">
        <v>-0.46</v>
      </c>
      <c r="LA115">
        <v>1.1970000000000001</v>
      </c>
      <c r="LB115">
        <v>3.5379999999999998</v>
      </c>
      <c r="LC115">
        <v>9.1349999999999998</v>
      </c>
      <c r="LD115">
        <v>1.014</v>
      </c>
      <c r="LE115">
        <v>150</v>
      </c>
      <c r="ML115" t="s">
        <v>135</v>
      </c>
      <c r="MM115">
        <v>2.69</v>
      </c>
      <c r="MN115">
        <v>3.17</v>
      </c>
      <c r="MO115">
        <v>-1.98</v>
      </c>
      <c r="MP115">
        <v>0.21099999999999999</v>
      </c>
      <c r="MQ115">
        <v>2.23</v>
      </c>
      <c r="MR115">
        <v>4.7030000000000003</v>
      </c>
      <c r="MS115">
        <v>9.8469999999999995</v>
      </c>
      <c r="MT115">
        <v>1.0009999999999999</v>
      </c>
      <c r="MU115">
        <v>8700</v>
      </c>
      <c r="OP115" t="s">
        <v>135</v>
      </c>
      <c r="OQ115">
        <v>-1.2390000000000001</v>
      </c>
      <c r="OR115">
        <v>1.5509999999999999</v>
      </c>
      <c r="OS115">
        <v>-2.399</v>
      </c>
      <c r="OT115">
        <v>-1.9550000000000001</v>
      </c>
      <c r="OU115">
        <v>-1.633</v>
      </c>
      <c r="OV115">
        <v>-1.2250000000000001</v>
      </c>
      <c r="OW115">
        <v>4.1379999999999999</v>
      </c>
      <c r="OX115">
        <v>1.024</v>
      </c>
      <c r="OY115">
        <v>900</v>
      </c>
      <c r="PB115" t="s">
        <v>135</v>
      </c>
      <c r="PC115">
        <v>-1.486</v>
      </c>
      <c r="PD115">
        <v>1.347</v>
      </c>
      <c r="PE115">
        <v>-2.4689999999999999</v>
      </c>
      <c r="PF115">
        <v>-2.0659999999999998</v>
      </c>
      <c r="PG115">
        <v>-1.8140000000000001</v>
      </c>
      <c r="PH115">
        <v>-1.4750000000000001</v>
      </c>
      <c r="PI115">
        <v>3.2789999999999999</v>
      </c>
      <c r="PJ115">
        <v>1.1120000000000001</v>
      </c>
      <c r="PK115">
        <v>89</v>
      </c>
      <c r="PN115" t="s">
        <v>135</v>
      </c>
      <c r="PO115">
        <v>-1.6060000000000001</v>
      </c>
      <c r="PP115">
        <v>0.623</v>
      </c>
      <c r="PQ115">
        <v>-2.431</v>
      </c>
      <c r="PR115">
        <v>-1.9750000000000001</v>
      </c>
      <c r="PS115">
        <v>-1.714</v>
      </c>
      <c r="PT115">
        <v>-1.389</v>
      </c>
      <c r="PU115">
        <v>2E-3</v>
      </c>
      <c r="PV115">
        <v>1.008</v>
      </c>
      <c r="PW115">
        <v>380</v>
      </c>
      <c r="PX115">
        <f t="shared" si="5"/>
        <v>-2.57784911717496</v>
      </c>
      <c r="QA115" t="s">
        <v>135</v>
      </c>
      <c r="QB115">
        <v>1.367</v>
      </c>
      <c r="QC115">
        <v>2.855</v>
      </c>
      <c r="QD115">
        <v>-1.462</v>
      </c>
      <c r="QE115">
        <v>-0.80800000000000005</v>
      </c>
      <c r="QF115">
        <v>0.29099999999999998</v>
      </c>
      <c r="QG115">
        <v>2.8359999999999999</v>
      </c>
      <c r="QH115">
        <v>8.7349999999999994</v>
      </c>
      <c r="QI115">
        <v>1.006</v>
      </c>
      <c r="QJ115">
        <v>390</v>
      </c>
      <c r="QK115">
        <f t="shared" si="6"/>
        <v>0.47880910683012257</v>
      </c>
      <c r="QL115">
        <f t="shared" si="4"/>
        <v>-2.9729999999999999</v>
      </c>
      <c r="QN115" t="s">
        <v>194</v>
      </c>
    </row>
    <row r="116" spans="1:456">
      <c r="A116" t="s">
        <v>132</v>
      </c>
      <c r="B116">
        <v>0.193</v>
      </c>
      <c r="C116">
        <v>0.11899999999999999</v>
      </c>
      <c r="D116">
        <v>-0.02</v>
      </c>
      <c r="E116">
        <v>0.111</v>
      </c>
      <c r="F116">
        <v>0.188</v>
      </c>
      <c r="G116">
        <v>0.26600000000000001</v>
      </c>
      <c r="H116">
        <v>0.442</v>
      </c>
      <c r="I116">
        <v>1.0009999999999999</v>
      </c>
      <c r="J116">
        <v>3000</v>
      </c>
      <c r="O116" t="s">
        <v>132</v>
      </c>
      <c r="P116">
        <v>0.23499999999999999</v>
      </c>
      <c r="Q116">
        <v>0.124</v>
      </c>
      <c r="R116">
        <v>1.0999999999999999E-2</v>
      </c>
      <c r="S116">
        <v>0.14899999999999999</v>
      </c>
      <c r="T116">
        <v>0.23300000000000001</v>
      </c>
      <c r="U116">
        <v>0.314</v>
      </c>
      <c r="V116">
        <v>0.505</v>
      </c>
      <c r="W116">
        <v>1.004</v>
      </c>
      <c r="X116">
        <v>550</v>
      </c>
      <c r="AC116" t="s">
        <v>132</v>
      </c>
      <c r="AD116">
        <v>0.30599999999999999</v>
      </c>
      <c r="AE116">
        <v>0.157</v>
      </c>
      <c r="AF116">
        <v>5.6000000000000001E-2</v>
      </c>
      <c r="AG116">
        <v>0.19900000000000001</v>
      </c>
      <c r="AH116">
        <v>0.29199999999999998</v>
      </c>
      <c r="AI116">
        <v>0.38800000000000001</v>
      </c>
      <c r="AJ116">
        <v>0.65700000000000003</v>
      </c>
      <c r="AK116">
        <v>1.002</v>
      </c>
      <c r="AL116">
        <v>1400</v>
      </c>
      <c r="AQ116" t="s">
        <v>132</v>
      </c>
      <c r="AR116">
        <v>0.30599999999999999</v>
      </c>
      <c r="AS116">
        <v>0.13900000000000001</v>
      </c>
      <c r="AT116">
        <v>5.8999999999999997E-2</v>
      </c>
      <c r="AU116">
        <v>0.215</v>
      </c>
      <c r="AV116">
        <v>0.29299999999999998</v>
      </c>
      <c r="AW116">
        <v>0.38500000000000001</v>
      </c>
      <c r="AX116">
        <v>0.61</v>
      </c>
      <c r="AY116">
        <v>1.0009999999999999</v>
      </c>
      <c r="AZ116">
        <v>3000</v>
      </c>
      <c r="BE116" t="s">
        <v>132</v>
      </c>
      <c r="BF116">
        <v>0.316</v>
      </c>
      <c r="BG116">
        <v>0.14000000000000001</v>
      </c>
      <c r="BH116">
        <v>6.5000000000000002E-2</v>
      </c>
      <c r="BI116">
        <v>0.222</v>
      </c>
      <c r="BJ116">
        <v>0.30399999999999999</v>
      </c>
      <c r="BK116">
        <v>0.39800000000000002</v>
      </c>
      <c r="BL116">
        <v>0.61199999999999999</v>
      </c>
      <c r="BM116">
        <v>1.004</v>
      </c>
      <c r="BN116">
        <v>860</v>
      </c>
      <c r="BS116" t="s">
        <v>132</v>
      </c>
      <c r="BT116">
        <v>0.29899999999999999</v>
      </c>
      <c r="BU116">
        <v>0.13400000000000001</v>
      </c>
      <c r="BV116">
        <v>6.9000000000000006E-2</v>
      </c>
      <c r="BW116">
        <v>0.21</v>
      </c>
      <c r="BX116">
        <v>0.28899999999999998</v>
      </c>
      <c r="BY116">
        <v>0.377</v>
      </c>
      <c r="BZ116">
        <v>0.59299999999999997</v>
      </c>
      <c r="CA116">
        <v>1.0009999999999999</v>
      </c>
      <c r="CB116">
        <v>3000</v>
      </c>
      <c r="CG116" t="s">
        <v>132</v>
      </c>
      <c r="CH116">
        <v>0.28100000000000003</v>
      </c>
      <c r="CI116">
        <v>0.13700000000000001</v>
      </c>
      <c r="CJ116">
        <v>4.4999999999999998E-2</v>
      </c>
      <c r="CK116">
        <v>0.186</v>
      </c>
      <c r="CL116">
        <v>0.27100000000000002</v>
      </c>
      <c r="CM116">
        <v>0.35799999999999998</v>
      </c>
      <c r="CN116">
        <v>0.59</v>
      </c>
      <c r="CO116">
        <v>1.004</v>
      </c>
      <c r="CP116">
        <v>620</v>
      </c>
      <c r="CU116" t="s">
        <v>132</v>
      </c>
      <c r="CV116">
        <v>0.28199999999999997</v>
      </c>
      <c r="CW116">
        <v>0.14399999999999999</v>
      </c>
      <c r="CX116">
        <v>4.2999999999999997E-2</v>
      </c>
      <c r="CY116">
        <v>0.189</v>
      </c>
      <c r="CZ116">
        <v>0.27300000000000002</v>
      </c>
      <c r="DA116">
        <v>0.35799999999999998</v>
      </c>
      <c r="DB116">
        <v>0.58499999999999996</v>
      </c>
      <c r="DC116">
        <v>1.0169999999999999</v>
      </c>
      <c r="DD116">
        <v>350</v>
      </c>
      <c r="DI116" t="s">
        <v>132</v>
      </c>
      <c r="DJ116">
        <v>-0.313</v>
      </c>
      <c r="DK116">
        <v>0.193</v>
      </c>
      <c r="DL116">
        <v>-0.72</v>
      </c>
      <c r="DM116">
        <v>-0.38700000000000001</v>
      </c>
      <c r="DN116">
        <v>-0.28799999999999998</v>
      </c>
      <c r="DO116">
        <v>-0.19800000000000001</v>
      </c>
      <c r="DP116">
        <v>-5.3999999999999999E-2</v>
      </c>
      <c r="DQ116">
        <v>1.081</v>
      </c>
      <c r="DR116">
        <v>110</v>
      </c>
      <c r="DY116" t="s">
        <v>132</v>
      </c>
      <c r="DZ116">
        <v>1.6240000000000001</v>
      </c>
      <c r="EA116">
        <v>4.0049999999999999</v>
      </c>
      <c r="EB116">
        <v>-5.9020000000000001</v>
      </c>
      <c r="EC116">
        <v>-0.999</v>
      </c>
      <c r="ED116">
        <v>1.5629999999999999</v>
      </c>
      <c r="EE116">
        <v>4.2439999999999998</v>
      </c>
      <c r="EF116">
        <v>9.7880000000000003</v>
      </c>
      <c r="EG116">
        <v>1.0029999999999999</v>
      </c>
      <c r="EH116">
        <v>1300</v>
      </c>
      <c r="EK116" t="s">
        <v>132</v>
      </c>
      <c r="EL116">
        <v>6.6849999999999996</v>
      </c>
      <c r="EM116">
        <v>2.7010000000000001</v>
      </c>
      <c r="EN116">
        <v>1.879</v>
      </c>
      <c r="EO116">
        <v>4.7619999999999996</v>
      </c>
      <c r="EP116">
        <v>6.4020000000000001</v>
      </c>
      <c r="EQ116">
        <v>8.3859999999999992</v>
      </c>
      <c r="ER116">
        <v>12.65</v>
      </c>
      <c r="ES116">
        <v>1.0009999999999999</v>
      </c>
      <c r="ET116">
        <v>1500</v>
      </c>
      <c r="EY116" t="s">
        <v>132</v>
      </c>
      <c r="EZ116">
        <v>0.99</v>
      </c>
      <c r="FA116">
        <v>0.01</v>
      </c>
      <c r="FB116">
        <v>0.96399999999999997</v>
      </c>
      <c r="FC116">
        <v>0.98699999999999999</v>
      </c>
      <c r="FD116">
        <v>0.99299999999999999</v>
      </c>
      <c r="FE116">
        <v>0.997</v>
      </c>
      <c r="FF116">
        <v>1</v>
      </c>
      <c r="FG116">
        <v>1.0009999999999999</v>
      </c>
      <c r="FH116">
        <v>3000</v>
      </c>
      <c r="GA116" t="s">
        <v>132</v>
      </c>
      <c r="GB116">
        <v>-1.2E-2</v>
      </c>
      <c r="GC116">
        <v>0.57599999999999996</v>
      </c>
      <c r="GD116">
        <v>-0.95199999999999996</v>
      </c>
      <c r="GE116">
        <v>-0.52700000000000002</v>
      </c>
      <c r="GF116">
        <v>-8.9999999999999993E-3</v>
      </c>
      <c r="GG116">
        <v>0.47599999999999998</v>
      </c>
      <c r="GH116">
        <v>0.94799999999999995</v>
      </c>
      <c r="GI116">
        <v>1.0009999999999999</v>
      </c>
      <c r="GJ116">
        <v>3000</v>
      </c>
      <c r="GO116" t="s">
        <v>132</v>
      </c>
      <c r="GP116">
        <v>0.99</v>
      </c>
      <c r="GQ116">
        <v>0.01</v>
      </c>
      <c r="GR116">
        <v>0.96299999999999997</v>
      </c>
      <c r="GS116">
        <v>0.98599999999999999</v>
      </c>
      <c r="GT116">
        <v>0.99299999999999999</v>
      </c>
      <c r="GU116">
        <v>0.997</v>
      </c>
      <c r="GV116">
        <v>1</v>
      </c>
      <c r="GW116">
        <v>1.0009999999999999</v>
      </c>
      <c r="GX116">
        <v>3000</v>
      </c>
      <c r="HC116" t="s">
        <v>132</v>
      </c>
      <c r="HD116">
        <v>0.99</v>
      </c>
      <c r="HE116">
        <v>0.01</v>
      </c>
      <c r="HF116">
        <v>0.96499999999999997</v>
      </c>
      <c r="HG116">
        <v>0.98599999999999999</v>
      </c>
      <c r="HH116">
        <v>0.99299999999999999</v>
      </c>
      <c r="HI116">
        <v>0.997</v>
      </c>
      <c r="HJ116">
        <v>1</v>
      </c>
      <c r="HK116">
        <v>1.002</v>
      </c>
      <c r="HL116">
        <v>3000</v>
      </c>
      <c r="HP116" s="7"/>
      <c r="HQ116" s="7" t="s">
        <v>132</v>
      </c>
      <c r="HR116" s="7">
        <v>0.97299999999999998</v>
      </c>
      <c r="HS116" s="7">
        <v>2.5000000000000001E-2</v>
      </c>
      <c r="HT116" s="7">
        <v>0.90700000000000003</v>
      </c>
      <c r="HU116" s="7">
        <v>0.96299999999999997</v>
      </c>
      <c r="HV116" s="7">
        <v>0.98099999999999998</v>
      </c>
      <c r="HW116" s="7">
        <v>0.99199999999999999</v>
      </c>
      <c r="HX116" s="7">
        <v>0.999</v>
      </c>
      <c r="HY116" s="7">
        <v>1.0009999999999999</v>
      </c>
      <c r="HZ116" s="7">
        <v>3000</v>
      </c>
      <c r="IA116" s="7"/>
      <c r="IE116" t="s">
        <v>132</v>
      </c>
      <c r="IF116">
        <v>0.97499999999999998</v>
      </c>
      <c r="IG116">
        <v>2.4E-2</v>
      </c>
      <c r="IH116">
        <v>0.91100000000000003</v>
      </c>
      <c r="II116">
        <v>0.96399999999999997</v>
      </c>
      <c r="IJ116">
        <v>0.98199999999999998</v>
      </c>
      <c r="IK116">
        <v>0.99299999999999999</v>
      </c>
      <c r="IL116">
        <v>0.999</v>
      </c>
      <c r="IM116">
        <v>1.0009999999999999</v>
      </c>
      <c r="IN116">
        <v>3000</v>
      </c>
      <c r="IS116" t="s">
        <v>238</v>
      </c>
      <c r="IT116">
        <v>0.94099999999999995</v>
      </c>
      <c r="IU116">
        <v>0.17599999999999999</v>
      </c>
      <c r="IV116">
        <v>0.63600000000000001</v>
      </c>
      <c r="IW116">
        <v>0.83299999999999996</v>
      </c>
      <c r="IX116">
        <v>0.93300000000000005</v>
      </c>
      <c r="IY116">
        <v>1.048</v>
      </c>
      <c r="IZ116">
        <v>1.2929999999999999</v>
      </c>
      <c r="JA116">
        <v>1.0780000000000001</v>
      </c>
      <c r="JB116">
        <v>430</v>
      </c>
      <c r="JF116" t="s">
        <v>140</v>
      </c>
      <c r="JG116">
        <v>3.3010000000000002</v>
      </c>
      <c r="JH116">
        <v>1.9610000000000001</v>
      </c>
      <c r="JI116">
        <v>1.024</v>
      </c>
      <c r="JJ116">
        <v>1.9550000000000001</v>
      </c>
      <c r="JK116">
        <v>2.7429999999999999</v>
      </c>
      <c r="JL116">
        <v>4.0419999999999998</v>
      </c>
      <c r="JM116">
        <v>8.625</v>
      </c>
      <c r="JN116">
        <v>1.0009999999999999</v>
      </c>
      <c r="JO116">
        <v>2000</v>
      </c>
      <c r="JT116" t="s">
        <v>136</v>
      </c>
      <c r="JU116">
        <v>3.8879999999999999</v>
      </c>
      <c r="JV116">
        <v>2.98</v>
      </c>
      <c r="JW116">
        <v>-0.73099999999999998</v>
      </c>
      <c r="JX116">
        <v>1.6719999999999999</v>
      </c>
      <c r="JY116">
        <v>3.456</v>
      </c>
      <c r="JZ116">
        <v>5.694</v>
      </c>
      <c r="KA116">
        <v>10.949</v>
      </c>
      <c r="KB116">
        <v>1.002</v>
      </c>
      <c r="KC116">
        <v>1100</v>
      </c>
      <c r="KH116" t="s">
        <v>136</v>
      </c>
      <c r="KI116">
        <v>3.4870000000000001</v>
      </c>
      <c r="KJ116">
        <v>2.9620000000000002</v>
      </c>
      <c r="KK116">
        <v>-1.177</v>
      </c>
      <c r="KL116">
        <v>1.2649999999999999</v>
      </c>
      <c r="KM116">
        <v>3.1720000000000002</v>
      </c>
      <c r="KN116">
        <v>5.3239999999999998</v>
      </c>
      <c r="KO116">
        <v>10.003</v>
      </c>
      <c r="KP116">
        <v>1.0049999999999999</v>
      </c>
      <c r="KQ116">
        <v>460</v>
      </c>
      <c r="KV116" t="s">
        <v>136</v>
      </c>
      <c r="KW116">
        <v>3.29</v>
      </c>
      <c r="KX116">
        <v>3.12</v>
      </c>
      <c r="KY116">
        <v>-1.75</v>
      </c>
      <c r="KZ116">
        <v>0.998</v>
      </c>
      <c r="LA116">
        <v>2.927</v>
      </c>
      <c r="LB116">
        <v>5.24</v>
      </c>
      <c r="LC116">
        <v>10.314</v>
      </c>
      <c r="LD116">
        <v>1.0029999999999999</v>
      </c>
      <c r="LE116">
        <v>920</v>
      </c>
      <c r="ML116" t="s">
        <v>136</v>
      </c>
      <c r="MM116">
        <v>2.706</v>
      </c>
      <c r="MN116">
        <v>3.145</v>
      </c>
      <c r="MO116">
        <v>-2.1640000000000001</v>
      </c>
      <c r="MP116">
        <v>0.318</v>
      </c>
      <c r="MQ116">
        <v>2.3260000000000001</v>
      </c>
      <c r="MR116">
        <v>4.6929999999999996</v>
      </c>
      <c r="MS116">
        <v>9.7210000000000001</v>
      </c>
      <c r="MT116">
        <v>1.0009999999999999</v>
      </c>
      <c r="MU116">
        <v>7100</v>
      </c>
      <c r="OP116" t="s">
        <v>136</v>
      </c>
      <c r="OQ116">
        <v>1.4870000000000001</v>
      </c>
      <c r="OR116">
        <v>2.867</v>
      </c>
      <c r="OS116">
        <v>-1.6870000000000001</v>
      </c>
      <c r="OT116">
        <v>-0.77300000000000002</v>
      </c>
      <c r="OU116">
        <v>0.55100000000000005</v>
      </c>
      <c r="OV116">
        <v>3.1709999999999998</v>
      </c>
      <c r="OW116">
        <v>8.4529999999999994</v>
      </c>
      <c r="OX116">
        <v>1.002</v>
      </c>
      <c r="OY116">
        <v>1900</v>
      </c>
      <c r="PB116" t="s">
        <v>136</v>
      </c>
      <c r="PC116">
        <v>1.323</v>
      </c>
      <c r="PD116">
        <v>2.835</v>
      </c>
      <c r="PE116">
        <v>-1.671</v>
      </c>
      <c r="PF116">
        <v>-0.83699999999999997</v>
      </c>
      <c r="PG116">
        <v>0.316</v>
      </c>
      <c r="PH116">
        <v>2.7730000000000001</v>
      </c>
      <c r="PI116">
        <v>8.1980000000000004</v>
      </c>
      <c r="PJ116">
        <v>1.002</v>
      </c>
      <c r="PK116">
        <v>1300</v>
      </c>
      <c r="PN116" t="s">
        <v>136</v>
      </c>
      <c r="PO116">
        <v>1.355</v>
      </c>
      <c r="PP116">
        <v>2.899</v>
      </c>
      <c r="PQ116">
        <v>-1.6890000000000001</v>
      </c>
      <c r="PR116">
        <v>-0.86</v>
      </c>
      <c r="PS116">
        <v>0.32400000000000001</v>
      </c>
      <c r="PT116">
        <v>2.8330000000000002</v>
      </c>
      <c r="PU116">
        <v>8.6449999999999996</v>
      </c>
      <c r="PV116">
        <v>1.0069999999999999</v>
      </c>
      <c r="PW116">
        <v>320</v>
      </c>
      <c r="PX116">
        <f t="shared" si="5"/>
        <v>0.46740255260434632</v>
      </c>
      <c r="QA116" t="s">
        <v>136</v>
      </c>
      <c r="QB116">
        <v>1.744</v>
      </c>
      <c r="QC116">
        <v>2.859</v>
      </c>
      <c r="QD116">
        <v>-1.381</v>
      </c>
      <c r="QE116">
        <v>-0.46300000000000002</v>
      </c>
      <c r="QF116">
        <v>0.8</v>
      </c>
      <c r="QG116">
        <v>3.2829999999999999</v>
      </c>
      <c r="QH116">
        <v>9.0030000000000001</v>
      </c>
      <c r="QI116">
        <v>1.002</v>
      </c>
      <c r="QJ116">
        <v>1300</v>
      </c>
      <c r="QK116">
        <f t="shared" si="6"/>
        <v>0.61000349772647777</v>
      </c>
      <c r="QL116">
        <f t="shared" si="4"/>
        <v>-0.38900000000000001</v>
      </c>
      <c r="QN116" t="s">
        <v>197</v>
      </c>
    </row>
    <row r="117" spans="1:456">
      <c r="A117" t="s">
        <v>133</v>
      </c>
      <c r="B117">
        <v>-4.0000000000000001E-3</v>
      </c>
      <c r="C117">
        <v>4.2999999999999997E-2</v>
      </c>
      <c r="D117">
        <v>-8.4000000000000005E-2</v>
      </c>
      <c r="E117">
        <v>-3.3000000000000002E-2</v>
      </c>
      <c r="F117">
        <v>-5.0000000000000001E-3</v>
      </c>
      <c r="G117">
        <v>2.1000000000000001E-2</v>
      </c>
      <c r="H117">
        <v>8.5999999999999993E-2</v>
      </c>
      <c r="I117">
        <v>1.0009999999999999</v>
      </c>
      <c r="J117">
        <v>2800</v>
      </c>
      <c r="O117" t="s">
        <v>133</v>
      </c>
      <c r="P117">
        <v>0.01</v>
      </c>
      <c r="Q117">
        <v>4.2000000000000003E-2</v>
      </c>
      <c r="R117">
        <v>-6.7000000000000004E-2</v>
      </c>
      <c r="S117">
        <v>-1.7999999999999999E-2</v>
      </c>
      <c r="T117">
        <v>8.9999999999999993E-3</v>
      </c>
      <c r="U117">
        <v>3.7999999999999999E-2</v>
      </c>
      <c r="V117">
        <v>9.9000000000000005E-2</v>
      </c>
      <c r="W117">
        <v>1.002</v>
      </c>
      <c r="X117">
        <v>1400</v>
      </c>
      <c r="AC117" t="s">
        <v>133</v>
      </c>
      <c r="AD117">
        <v>2.7E-2</v>
      </c>
      <c r="AE117">
        <v>4.8000000000000001E-2</v>
      </c>
      <c r="AF117">
        <v>-5.3999999999999999E-2</v>
      </c>
      <c r="AG117">
        <v>-6.0000000000000001E-3</v>
      </c>
      <c r="AH117">
        <v>2.4E-2</v>
      </c>
      <c r="AI117">
        <v>5.6000000000000001E-2</v>
      </c>
      <c r="AJ117">
        <v>0.128</v>
      </c>
      <c r="AK117">
        <v>1.0009999999999999</v>
      </c>
      <c r="AL117">
        <v>3000</v>
      </c>
      <c r="AQ117" t="s">
        <v>133</v>
      </c>
      <c r="AR117">
        <v>2.7E-2</v>
      </c>
      <c r="AS117">
        <v>4.4999999999999998E-2</v>
      </c>
      <c r="AT117">
        <v>-5.3999999999999999E-2</v>
      </c>
      <c r="AU117">
        <v>-4.0000000000000001E-3</v>
      </c>
      <c r="AV117">
        <v>2.4E-2</v>
      </c>
      <c r="AW117">
        <v>5.7000000000000002E-2</v>
      </c>
      <c r="AX117">
        <v>0.12</v>
      </c>
      <c r="AY117">
        <v>1.0009999999999999</v>
      </c>
      <c r="AZ117">
        <v>2300</v>
      </c>
      <c r="BE117" t="s">
        <v>133</v>
      </c>
      <c r="BF117">
        <v>7.0000000000000001E-3</v>
      </c>
      <c r="BG117">
        <v>4.2999999999999997E-2</v>
      </c>
      <c r="BH117">
        <v>-7.4999999999999997E-2</v>
      </c>
      <c r="BI117">
        <v>-2.1000000000000001E-2</v>
      </c>
      <c r="BJ117">
        <v>6.0000000000000001E-3</v>
      </c>
      <c r="BK117">
        <v>3.4000000000000002E-2</v>
      </c>
      <c r="BL117">
        <v>9.8000000000000004E-2</v>
      </c>
      <c r="BM117">
        <v>1.014</v>
      </c>
      <c r="BN117">
        <v>200</v>
      </c>
      <c r="BS117" t="s">
        <v>133</v>
      </c>
      <c r="BT117">
        <v>2.7E-2</v>
      </c>
      <c r="BU117">
        <v>4.5999999999999999E-2</v>
      </c>
      <c r="BV117">
        <v>-5.6000000000000001E-2</v>
      </c>
      <c r="BW117">
        <v>-5.0000000000000001E-3</v>
      </c>
      <c r="BX117">
        <v>2.5000000000000001E-2</v>
      </c>
      <c r="BY117">
        <v>5.6000000000000001E-2</v>
      </c>
      <c r="BZ117">
        <v>0.124</v>
      </c>
      <c r="CA117">
        <v>1.018</v>
      </c>
      <c r="CB117">
        <v>130</v>
      </c>
      <c r="CG117" t="s">
        <v>133</v>
      </c>
      <c r="CH117">
        <v>1.0999999999999999E-2</v>
      </c>
      <c r="CI117">
        <v>4.2000000000000003E-2</v>
      </c>
      <c r="CJ117">
        <v>-6.6000000000000003E-2</v>
      </c>
      <c r="CK117">
        <v>-1.9E-2</v>
      </c>
      <c r="CL117">
        <v>8.9999999999999993E-3</v>
      </c>
      <c r="CM117">
        <v>3.6999999999999998E-2</v>
      </c>
      <c r="CN117">
        <v>0.10100000000000001</v>
      </c>
      <c r="CO117">
        <v>1.0269999999999999</v>
      </c>
      <c r="CP117">
        <v>130</v>
      </c>
      <c r="CU117" t="s">
        <v>133</v>
      </c>
      <c r="CV117">
        <v>1.9E-2</v>
      </c>
      <c r="CW117">
        <v>4.5999999999999999E-2</v>
      </c>
      <c r="CX117">
        <v>-6.4000000000000001E-2</v>
      </c>
      <c r="CY117">
        <v>-1.2E-2</v>
      </c>
      <c r="CZ117">
        <v>1.6E-2</v>
      </c>
      <c r="DA117">
        <v>4.7E-2</v>
      </c>
      <c r="DB117">
        <v>0.121</v>
      </c>
      <c r="DC117">
        <v>1.0009999999999999</v>
      </c>
      <c r="DD117">
        <v>3000</v>
      </c>
      <c r="DI117" t="s">
        <v>133</v>
      </c>
      <c r="DJ117">
        <v>-2.4E-2</v>
      </c>
      <c r="DK117">
        <v>4.7E-2</v>
      </c>
      <c r="DL117">
        <v>-0.125</v>
      </c>
      <c r="DM117">
        <v>-5.2999999999999999E-2</v>
      </c>
      <c r="DN117">
        <v>-2.1999999999999999E-2</v>
      </c>
      <c r="DO117">
        <v>8.0000000000000002E-3</v>
      </c>
      <c r="DP117">
        <v>0.06</v>
      </c>
      <c r="DQ117">
        <v>1.002</v>
      </c>
      <c r="DR117">
        <v>2000</v>
      </c>
      <c r="DY117" t="s">
        <v>133</v>
      </c>
      <c r="DZ117">
        <v>2.2170000000000001</v>
      </c>
      <c r="EA117">
        <v>3.4220000000000002</v>
      </c>
      <c r="EB117">
        <v>-4.0490000000000004</v>
      </c>
      <c r="EC117">
        <v>-9.9000000000000005E-2</v>
      </c>
      <c r="ED117">
        <v>1.9790000000000001</v>
      </c>
      <c r="EE117">
        <v>4.3010000000000002</v>
      </c>
      <c r="EF117">
        <v>9.89</v>
      </c>
      <c r="EG117">
        <v>1.002</v>
      </c>
      <c r="EH117">
        <v>1200</v>
      </c>
      <c r="EK117" t="s">
        <v>133</v>
      </c>
      <c r="EL117">
        <v>-2.056</v>
      </c>
      <c r="EM117">
        <v>1.45</v>
      </c>
      <c r="EN117">
        <v>-4.0369999999999999</v>
      </c>
      <c r="EO117">
        <v>-2.895</v>
      </c>
      <c r="EP117">
        <v>-2.2370000000000001</v>
      </c>
      <c r="EQ117">
        <v>-1.5469999999999999</v>
      </c>
      <c r="ER117">
        <v>1.0760000000000001</v>
      </c>
      <c r="ES117">
        <v>1.1180000000000001</v>
      </c>
      <c r="ET117">
        <v>96</v>
      </c>
      <c r="EY117" t="s">
        <v>133</v>
      </c>
      <c r="EZ117">
        <v>-3.3000000000000002E-2</v>
      </c>
      <c r="FA117">
        <v>2.9000000000000001E-2</v>
      </c>
      <c r="FB117">
        <v>-8.7999999999999995E-2</v>
      </c>
      <c r="FC117">
        <v>-5.3999999999999999E-2</v>
      </c>
      <c r="FD117">
        <v>-3.4000000000000002E-2</v>
      </c>
      <c r="FE117">
        <v>-1.4E-2</v>
      </c>
      <c r="FF117">
        <v>2.5999999999999999E-2</v>
      </c>
      <c r="FG117">
        <v>1.002</v>
      </c>
      <c r="FH117">
        <v>1700</v>
      </c>
      <c r="GA117" t="s">
        <v>133</v>
      </c>
      <c r="GB117">
        <v>1E-3</v>
      </c>
      <c r="GC117">
        <v>0.57499999999999996</v>
      </c>
      <c r="GD117">
        <v>-0.95199999999999996</v>
      </c>
      <c r="GE117">
        <v>-0.48599999999999999</v>
      </c>
      <c r="GF117">
        <v>-0.01</v>
      </c>
      <c r="GG117">
        <v>0.504</v>
      </c>
      <c r="GH117">
        <v>0.95399999999999996</v>
      </c>
      <c r="GI117">
        <v>1.0009999999999999</v>
      </c>
      <c r="GJ117">
        <v>3000</v>
      </c>
      <c r="GO117" t="s">
        <v>133</v>
      </c>
      <c r="GP117">
        <v>2E-3</v>
      </c>
      <c r="GQ117">
        <v>0.56799999999999995</v>
      </c>
      <c r="GR117">
        <v>-0.94899999999999995</v>
      </c>
      <c r="GS117">
        <v>-0.46600000000000003</v>
      </c>
      <c r="GT117">
        <v>-4.0000000000000001E-3</v>
      </c>
      <c r="GU117">
        <v>0.48199999999999998</v>
      </c>
      <c r="GV117">
        <v>0.95</v>
      </c>
      <c r="GW117">
        <v>1.0009999999999999</v>
      </c>
      <c r="GX117">
        <v>3000</v>
      </c>
      <c r="HC117" t="s">
        <v>133</v>
      </c>
      <c r="HD117">
        <v>1E-3</v>
      </c>
      <c r="HE117">
        <v>0.57399999999999995</v>
      </c>
      <c r="HF117">
        <v>-0.93799999999999994</v>
      </c>
      <c r="HG117">
        <v>-0.495</v>
      </c>
      <c r="HH117">
        <v>7.0000000000000001E-3</v>
      </c>
      <c r="HI117">
        <v>0.498</v>
      </c>
      <c r="HJ117">
        <v>0.94299999999999995</v>
      </c>
      <c r="HK117">
        <v>1.0009999999999999</v>
      </c>
      <c r="HL117">
        <v>3000</v>
      </c>
      <c r="HP117" s="7"/>
      <c r="HQ117" s="7" t="s">
        <v>133</v>
      </c>
      <c r="HR117" s="7">
        <v>-0.02</v>
      </c>
      <c r="HS117" s="7">
        <v>0.57299999999999995</v>
      </c>
      <c r="HT117" s="7">
        <v>-0.94699999999999995</v>
      </c>
      <c r="HU117" s="7">
        <v>-0.51700000000000002</v>
      </c>
      <c r="HV117" s="7">
        <v>-2.9000000000000001E-2</v>
      </c>
      <c r="HW117" s="7">
        <v>0.46100000000000002</v>
      </c>
      <c r="HX117" s="7">
        <v>0.94199999999999995</v>
      </c>
      <c r="HY117" s="7">
        <v>1.0009999999999999</v>
      </c>
      <c r="HZ117" s="7">
        <v>3000</v>
      </c>
      <c r="IA117" s="7"/>
      <c r="IE117" t="s">
        <v>133</v>
      </c>
      <c r="IF117">
        <v>-4.0000000000000001E-3</v>
      </c>
      <c r="IG117">
        <v>0.57899999999999996</v>
      </c>
      <c r="IH117">
        <v>-0.95099999999999996</v>
      </c>
      <c r="II117">
        <v>-0.51100000000000001</v>
      </c>
      <c r="IJ117">
        <v>-1.2999999999999999E-2</v>
      </c>
      <c r="IK117">
        <v>0.497</v>
      </c>
      <c r="IL117">
        <v>0.94899999999999995</v>
      </c>
      <c r="IM117">
        <v>1.0009999999999999</v>
      </c>
      <c r="IN117">
        <v>3000</v>
      </c>
      <c r="IS117" t="s">
        <v>143</v>
      </c>
      <c r="IT117">
        <v>1672.816</v>
      </c>
      <c r="IU117">
        <v>28.068000000000001</v>
      </c>
      <c r="IV117">
        <v>1621.1369999999999</v>
      </c>
      <c r="IW117">
        <v>1652.95</v>
      </c>
      <c r="IX117">
        <v>1671.184</v>
      </c>
      <c r="IY117">
        <v>1691.769</v>
      </c>
      <c r="IZ117">
        <v>1730.328</v>
      </c>
      <c r="JA117">
        <v>1.0009999999999999</v>
      </c>
      <c r="JB117">
        <v>3000</v>
      </c>
      <c r="JF117" t="s">
        <v>141</v>
      </c>
      <c r="JG117">
        <v>-0.29699999999999999</v>
      </c>
      <c r="JH117">
        <v>0.42599999999999999</v>
      </c>
      <c r="JI117">
        <v>-1.119</v>
      </c>
      <c r="JJ117">
        <v>-0.57999999999999996</v>
      </c>
      <c r="JK117">
        <v>-0.31</v>
      </c>
      <c r="JL117">
        <v>-2.1000000000000001E-2</v>
      </c>
      <c r="JM117">
        <v>0.57199999999999995</v>
      </c>
      <c r="JN117">
        <v>1.002</v>
      </c>
      <c r="JO117">
        <v>1400</v>
      </c>
      <c r="JT117" t="s">
        <v>137</v>
      </c>
      <c r="JU117">
        <v>2.5070000000000001</v>
      </c>
      <c r="JV117">
        <v>3.0449999999999999</v>
      </c>
      <c r="JW117">
        <v>-1.827</v>
      </c>
      <c r="JX117">
        <v>7.2999999999999995E-2</v>
      </c>
      <c r="JY117">
        <v>1.9470000000000001</v>
      </c>
      <c r="JZ117">
        <v>4.4589999999999996</v>
      </c>
      <c r="KA117">
        <v>9.44</v>
      </c>
      <c r="KB117">
        <v>1.0049999999999999</v>
      </c>
      <c r="KC117">
        <v>460</v>
      </c>
      <c r="KH117" t="s">
        <v>137</v>
      </c>
      <c r="KI117">
        <v>2.3460000000000001</v>
      </c>
      <c r="KJ117">
        <v>3.11</v>
      </c>
      <c r="KK117">
        <v>-1.96</v>
      </c>
      <c r="KL117">
        <v>-4.3999999999999997E-2</v>
      </c>
      <c r="KM117">
        <v>1.788</v>
      </c>
      <c r="KN117">
        <v>4.117</v>
      </c>
      <c r="KO117">
        <v>9.7050000000000001</v>
      </c>
      <c r="KP117">
        <v>1.006</v>
      </c>
      <c r="KQ117">
        <v>370</v>
      </c>
      <c r="KV117" t="s">
        <v>137</v>
      </c>
      <c r="KW117">
        <v>2.3820000000000001</v>
      </c>
      <c r="KX117">
        <v>3.286</v>
      </c>
      <c r="KY117">
        <v>-2.4729999999999999</v>
      </c>
      <c r="KZ117">
        <v>-0.155</v>
      </c>
      <c r="LA117">
        <v>1.9139999999999999</v>
      </c>
      <c r="LB117">
        <v>4.5430000000000001</v>
      </c>
      <c r="LC117">
        <v>9.6869999999999994</v>
      </c>
      <c r="LD117">
        <v>1.0009999999999999</v>
      </c>
      <c r="LE117">
        <v>2600</v>
      </c>
      <c r="ML117" t="s">
        <v>137</v>
      </c>
      <c r="MM117">
        <v>1.411</v>
      </c>
      <c r="MN117">
        <v>3.2789999999999999</v>
      </c>
      <c r="MO117">
        <v>-3.0110000000000001</v>
      </c>
      <c r="MP117">
        <v>-1.2330000000000001</v>
      </c>
      <c r="MQ117">
        <v>0.76500000000000001</v>
      </c>
      <c r="MR117">
        <v>3.476</v>
      </c>
      <c r="MS117">
        <v>8.9960000000000004</v>
      </c>
      <c r="MT117">
        <v>1.004</v>
      </c>
      <c r="MU117">
        <v>710</v>
      </c>
      <c r="OP117" t="s">
        <v>137</v>
      </c>
      <c r="OQ117">
        <v>-5.1950000000000003</v>
      </c>
      <c r="OR117">
        <v>0.38500000000000001</v>
      </c>
      <c r="OS117">
        <v>-5.9820000000000002</v>
      </c>
      <c r="OT117">
        <v>-5.4390000000000001</v>
      </c>
      <c r="OU117">
        <v>-5.1890000000000001</v>
      </c>
      <c r="OV117">
        <v>-4.9489999999999998</v>
      </c>
      <c r="OW117">
        <v>-4.4390000000000001</v>
      </c>
      <c r="OX117">
        <v>1.0149999999999999</v>
      </c>
      <c r="OY117">
        <v>150</v>
      </c>
      <c r="PB117" t="s">
        <v>137</v>
      </c>
      <c r="PC117">
        <v>2.919</v>
      </c>
      <c r="PD117">
        <v>2.9009999999999998</v>
      </c>
      <c r="PE117">
        <v>-1.107</v>
      </c>
      <c r="PF117">
        <v>0.64400000000000002</v>
      </c>
      <c r="PG117">
        <v>2.3460000000000001</v>
      </c>
      <c r="PH117">
        <v>4.7030000000000003</v>
      </c>
      <c r="PI117">
        <v>9.6389999999999993</v>
      </c>
      <c r="PJ117">
        <v>1.0009999999999999</v>
      </c>
      <c r="PK117">
        <v>3000</v>
      </c>
      <c r="PN117" t="s">
        <v>137</v>
      </c>
      <c r="PO117">
        <v>2.9159999999999999</v>
      </c>
      <c r="PP117">
        <v>2.8959999999999999</v>
      </c>
      <c r="PQ117">
        <v>-1.133</v>
      </c>
      <c r="PR117">
        <v>0.67800000000000005</v>
      </c>
      <c r="PS117">
        <v>2.3559999999999999</v>
      </c>
      <c r="PT117">
        <v>4.5970000000000004</v>
      </c>
      <c r="PU117">
        <v>9.702</v>
      </c>
      <c r="PV117">
        <v>1.0009999999999999</v>
      </c>
      <c r="PW117">
        <v>3000</v>
      </c>
      <c r="PX117">
        <f t="shared" si="5"/>
        <v>1.0069060773480663</v>
      </c>
      <c r="QA117" t="s">
        <v>137</v>
      </c>
      <c r="QB117">
        <v>2.6560000000000001</v>
      </c>
      <c r="QC117">
        <v>3.0230000000000001</v>
      </c>
      <c r="QD117">
        <v>-1.7549999999999999</v>
      </c>
      <c r="QE117">
        <v>0.32200000000000001</v>
      </c>
      <c r="QF117">
        <v>2.1779999999999999</v>
      </c>
      <c r="QG117">
        <v>4.4969999999999999</v>
      </c>
      <c r="QH117">
        <v>9.6440000000000001</v>
      </c>
      <c r="QI117">
        <v>1.002</v>
      </c>
      <c r="QJ117">
        <v>2500</v>
      </c>
      <c r="QK117">
        <f t="shared" si="6"/>
        <v>0.87859741978167383</v>
      </c>
      <c r="QL117">
        <f t="shared" si="4"/>
        <v>0.25999999999999979</v>
      </c>
    </row>
    <row r="118" spans="1:456">
      <c r="A118" t="s">
        <v>134</v>
      </c>
      <c r="B118">
        <v>0.14000000000000001</v>
      </c>
      <c r="C118">
        <v>0.06</v>
      </c>
      <c r="D118">
        <v>3.3000000000000002E-2</v>
      </c>
      <c r="E118">
        <v>0.1</v>
      </c>
      <c r="F118">
        <v>0.13700000000000001</v>
      </c>
      <c r="G118">
        <v>0.17799999999999999</v>
      </c>
      <c r="H118">
        <v>0.26500000000000001</v>
      </c>
      <c r="I118">
        <v>1.0209999999999999</v>
      </c>
      <c r="J118">
        <v>110</v>
      </c>
      <c r="O118" t="s">
        <v>134</v>
      </c>
      <c r="P118">
        <v>0.19600000000000001</v>
      </c>
      <c r="Q118">
        <v>8.3000000000000004E-2</v>
      </c>
      <c r="R118">
        <v>7.1999999999999995E-2</v>
      </c>
      <c r="S118">
        <v>0.14099999999999999</v>
      </c>
      <c r="T118">
        <v>0.184</v>
      </c>
      <c r="U118">
        <v>0.23599999999999999</v>
      </c>
      <c r="V118">
        <v>0.39200000000000002</v>
      </c>
      <c r="W118">
        <v>1.044</v>
      </c>
      <c r="X118">
        <v>140</v>
      </c>
      <c r="AC118" t="s">
        <v>134</v>
      </c>
      <c r="AD118">
        <v>0.222</v>
      </c>
      <c r="AE118">
        <v>8.7999999999999995E-2</v>
      </c>
      <c r="AF118">
        <v>8.5000000000000006E-2</v>
      </c>
      <c r="AG118">
        <v>0.16400000000000001</v>
      </c>
      <c r="AH118">
        <v>0.21099999999999999</v>
      </c>
      <c r="AI118">
        <v>0.26400000000000001</v>
      </c>
      <c r="AJ118">
        <v>0.42699999999999999</v>
      </c>
      <c r="AK118">
        <v>1.0149999999999999</v>
      </c>
      <c r="AL118">
        <v>490</v>
      </c>
      <c r="AQ118" t="s">
        <v>134</v>
      </c>
      <c r="AR118">
        <v>0.255</v>
      </c>
      <c r="AS118">
        <v>9.7000000000000003E-2</v>
      </c>
      <c r="AT118">
        <v>0.10299999999999999</v>
      </c>
      <c r="AU118">
        <v>0.189</v>
      </c>
      <c r="AV118">
        <v>0.24399999999999999</v>
      </c>
      <c r="AW118">
        <v>0.30399999999999999</v>
      </c>
      <c r="AX118">
        <v>0.48299999999999998</v>
      </c>
      <c r="AY118">
        <v>1.0089999999999999</v>
      </c>
      <c r="AZ118">
        <v>310</v>
      </c>
      <c r="BE118" t="s">
        <v>134</v>
      </c>
      <c r="BF118">
        <v>0.17899999999999999</v>
      </c>
      <c r="BG118">
        <v>6.9000000000000006E-2</v>
      </c>
      <c r="BH118">
        <v>6.0999999999999999E-2</v>
      </c>
      <c r="BI118">
        <v>0.13300000000000001</v>
      </c>
      <c r="BJ118">
        <v>0.17199999999999999</v>
      </c>
      <c r="BK118">
        <v>0.218</v>
      </c>
      <c r="BL118">
        <v>0.33800000000000002</v>
      </c>
      <c r="BM118">
        <v>1.0049999999999999</v>
      </c>
      <c r="BN118">
        <v>1100</v>
      </c>
      <c r="BS118" t="s">
        <v>134</v>
      </c>
      <c r="BT118">
        <v>0.26500000000000001</v>
      </c>
      <c r="BU118">
        <v>0.128</v>
      </c>
      <c r="BV118">
        <v>9.8000000000000004E-2</v>
      </c>
      <c r="BW118">
        <v>0.186</v>
      </c>
      <c r="BX118">
        <v>0.23799999999999999</v>
      </c>
      <c r="BY118">
        <v>0.30499999999999999</v>
      </c>
      <c r="BZ118">
        <v>0.64100000000000001</v>
      </c>
      <c r="CA118">
        <v>1.111</v>
      </c>
      <c r="CB118">
        <v>51</v>
      </c>
      <c r="CG118" t="s">
        <v>134</v>
      </c>
      <c r="CH118">
        <v>0.14199999999999999</v>
      </c>
      <c r="CI118">
        <v>5.8000000000000003E-2</v>
      </c>
      <c r="CJ118">
        <v>3.6999999999999998E-2</v>
      </c>
      <c r="CK118">
        <v>0.10299999999999999</v>
      </c>
      <c r="CL118">
        <v>0.13700000000000001</v>
      </c>
      <c r="CM118">
        <v>0.17799999999999999</v>
      </c>
      <c r="CN118">
        <v>0.27</v>
      </c>
      <c r="CO118">
        <v>1.0029999999999999</v>
      </c>
      <c r="CP118">
        <v>960</v>
      </c>
      <c r="CU118" t="s">
        <v>134</v>
      </c>
      <c r="CV118">
        <v>0.154</v>
      </c>
      <c r="CW118">
        <v>7.0999999999999994E-2</v>
      </c>
      <c r="CX118">
        <v>0.04</v>
      </c>
      <c r="CY118">
        <v>0.107</v>
      </c>
      <c r="CZ118">
        <v>0.14799999999999999</v>
      </c>
      <c r="DA118">
        <v>0.189</v>
      </c>
      <c r="DB118">
        <v>0.32600000000000001</v>
      </c>
      <c r="DC118">
        <v>1.012</v>
      </c>
      <c r="DD118">
        <v>290</v>
      </c>
      <c r="DI118" t="s">
        <v>134</v>
      </c>
      <c r="DJ118">
        <v>-0.217</v>
      </c>
      <c r="DK118">
        <v>8.7999999999999995E-2</v>
      </c>
      <c r="DL118">
        <v>-0.42899999999999999</v>
      </c>
      <c r="DM118">
        <v>-0.25800000000000001</v>
      </c>
      <c r="DN118">
        <v>-0.20399999999999999</v>
      </c>
      <c r="DO118">
        <v>-0.159</v>
      </c>
      <c r="DP118">
        <v>-8.3000000000000004E-2</v>
      </c>
      <c r="DQ118">
        <v>1.0069999999999999</v>
      </c>
      <c r="DR118">
        <v>3000</v>
      </c>
      <c r="DY118" t="s">
        <v>134</v>
      </c>
      <c r="DZ118">
        <v>2.4449999999999998</v>
      </c>
      <c r="EA118">
        <v>3.601</v>
      </c>
      <c r="EB118">
        <v>-4.4260000000000002</v>
      </c>
      <c r="EC118">
        <v>5.0000000000000001E-3</v>
      </c>
      <c r="ED118">
        <v>2.3460000000000001</v>
      </c>
      <c r="EE118">
        <v>4.835</v>
      </c>
      <c r="EF118">
        <v>9.6920000000000002</v>
      </c>
      <c r="EG118">
        <v>1.0049999999999999</v>
      </c>
      <c r="EH118">
        <v>480</v>
      </c>
      <c r="EK118" t="s">
        <v>134</v>
      </c>
      <c r="EL118">
        <v>-4.8959999999999999</v>
      </c>
      <c r="EM118">
        <v>1.097</v>
      </c>
      <c r="EN118">
        <v>-7.1909999999999998</v>
      </c>
      <c r="EO118">
        <v>-5.5949999999999998</v>
      </c>
      <c r="EP118">
        <v>-4.8479999999999999</v>
      </c>
      <c r="EQ118">
        <v>-4.1230000000000002</v>
      </c>
      <c r="ER118">
        <v>-2.9119999999999999</v>
      </c>
      <c r="ES118">
        <v>1.02</v>
      </c>
      <c r="ET118">
        <v>110</v>
      </c>
      <c r="EY118" t="s">
        <v>134</v>
      </c>
      <c r="EZ118">
        <v>-4.2000000000000003E-2</v>
      </c>
      <c r="FA118">
        <v>6.7000000000000004E-2</v>
      </c>
      <c r="FB118">
        <v>-0.16300000000000001</v>
      </c>
      <c r="FC118">
        <v>-8.8999999999999996E-2</v>
      </c>
      <c r="FD118">
        <v>-4.4999999999999998E-2</v>
      </c>
      <c r="FE118">
        <v>3.0000000000000001E-3</v>
      </c>
      <c r="FF118">
        <v>9.4E-2</v>
      </c>
      <c r="FG118">
        <v>1.0009999999999999</v>
      </c>
      <c r="FH118">
        <v>3000</v>
      </c>
      <c r="GA118" t="s">
        <v>134</v>
      </c>
      <c r="GB118">
        <v>8.0000000000000002E-3</v>
      </c>
      <c r="GC118">
        <v>0.58099999999999996</v>
      </c>
      <c r="GD118">
        <v>-0.94599999999999995</v>
      </c>
      <c r="GE118">
        <v>-0.50600000000000001</v>
      </c>
      <c r="GF118">
        <v>1.4E-2</v>
      </c>
      <c r="GG118">
        <v>0.50900000000000001</v>
      </c>
      <c r="GH118">
        <v>0.95199999999999996</v>
      </c>
      <c r="GI118">
        <v>1.0009999999999999</v>
      </c>
      <c r="GJ118">
        <v>3000</v>
      </c>
      <c r="GO118" t="s">
        <v>134</v>
      </c>
      <c r="GP118">
        <v>6.0000000000000001E-3</v>
      </c>
      <c r="GQ118">
        <v>0.57899999999999996</v>
      </c>
      <c r="GR118">
        <v>-0.94699999999999995</v>
      </c>
      <c r="GS118">
        <v>-0.5</v>
      </c>
      <c r="GT118">
        <v>1.0999999999999999E-2</v>
      </c>
      <c r="GU118">
        <v>0.50800000000000001</v>
      </c>
      <c r="GV118">
        <v>0.94699999999999995</v>
      </c>
      <c r="GW118">
        <v>1.0009999999999999</v>
      </c>
      <c r="GX118">
        <v>3000</v>
      </c>
      <c r="HC118" t="s">
        <v>134</v>
      </c>
      <c r="HD118">
        <v>1E-3</v>
      </c>
      <c r="HE118">
        <v>0.57399999999999995</v>
      </c>
      <c r="HF118">
        <v>-0.94899999999999995</v>
      </c>
      <c r="HG118">
        <v>-0.48499999999999999</v>
      </c>
      <c r="HH118">
        <v>8.0000000000000002E-3</v>
      </c>
      <c r="HI118">
        <v>0.499</v>
      </c>
      <c r="HJ118">
        <v>0.94199999999999995</v>
      </c>
      <c r="HK118">
        <v>1.0009999999999999</v>
      </c>
      <c r="HL118">
        <v>3000</v>
      </c>
      <c r="HP118" s="7"/>
      <c r="HQ118" s="7" t="s">
        <v>134</v>
      </c>
      <c r="HR118" s="7">
        <v>-1.4999999999999999E-2</v>
      </c>
      <c r="HS118" s="7">
        <v>0.57199999999999995</v>
      </c>
      <c r="HT118" s="7">
        <v>-0.94699999999999995</v>
      </c>
      <c r="HU118" s="7">
        <v>-0.51800000000000002</v>
      </c>
      <c r="HV118" s="7">
        <v>-2.9000000000000001E-2</v>
      </c>
      <c r="HW118" s="7">
        <v>0.47199999999999998</v>
      </c>
      <c r="HX118" s="7">
        <v>0.95</v>
      </c>
      <c r="HY118" s="7">
        <v>1.0009999999999999</v>
      </c>
      <c r="HZ118" s="7">
        <v>3000</v>
      </c>
      <c r="IA118" s="7"/>
      <c r="IE118" t="s">
        <v>134</v>
      </c>
      <c r="IF118">
        <v>-5.0000000000000001E-3</v>
      </c>
      <c r="IG118">
        <v>0.58399999999999996</v>
      </c>
      <c r="IH118">
        <v>-0.96099999999999997</v>
      </c>
      <c r="II118">
        <v>-0.51200000000000001</v>
      </c>
      <c r="IJ118">
        <v>-8.9999999999999993E-3</v>
      </c>
      <c r="IK118">
        <v>0.499</v>
      </c>
      <c r="IL118">
        <v>0.95299999999999996</v>
      </c>
      <c r="IM118">
        <v>1.002</v>
      </c>
      <c r="IN118">
        <v>1900</v>
      </c>
      <c r="OP118" t="s">
        <v>138</v>
      </c>
      <c r="OQ118">
        <v>1.0999999999999999E-2</v>
      </c>
      <c r="OR118">
        <v>4.4649999999999999</v>
      </c>
      <c r="OS118">
        <v>-8.8569999999999993</v>
      </c>
      <c r="OT118">
        <v>-2.9929999999999999</v>
      </c>
      <c r="OU118">
        <v>6.2E-2</v>
      </c>
      <c r="OV118">
        <v>3.0590000000000002</v>
      </c>
      <c r="OW118">
        <v>8.6940000000000008</v>
      </c>
      <c r="OX118">
        <v>1.0009999999999999</v>
      </c>
      <c r="OY118">
        <v>3000</v>
      </c>
      <c r="PB118" t="s">
        <v>138</v>
      </c>
      <c r="PC118">
        <v>0.06</v>
      </c>
      <c r="PD118">
        <v>4.4279999999999999</v>
      </c>
      <c r="PE118">
        <v>-8.4039999999999999</v>
      </c>
      <c r="PF118">
        <v>-2.9329999999999998</v>
      </c>
      <c r="PG118">
        <v>-6.9000000000000006E-2</v>
      </c>
      <c r="PH118">
        <v>3.044</v>
      </c>
      <c r="PI118">
        <v>8.734</v>
      </c>
      <c r="PJ118">
        <v>1.0009999999999999</v>
      </c>
      <c r="PK118">
        <v>3000</v>
      </c>
      <c r="PN118" t="s">
        <v>138</v>
      </c>
      <c r="PO118">
        <v>-6.8000000000000005E-2</v>
      </c>
      <c r="PP118">
        <v>4.4139999999999997</v>
      </c>
      <c r="PQ118">
        <v>-8.5950000000000006</v>
      </c>
      <c r="PR118">
        <v>-2.944</v>
      </c>
      <c r="PS118">
        <v>-7.5999999999999998E-2</v>
      </c>
      <c r="PT118">
        <v>2.7890000000000001</v>
      </c>
      <c r="PU118">
        <v>8.5969999999999995</v>
      </c>
      <c r="PV118">
        <v>1.002</v>
      </c>
      <c r="PW118">
        <v>1200</v>
      </c>
      <c r="PX118">
        <f t="shared" si="5"/>
        <v>-1.5405527865881289E-2</v>
      </c>
    </row>
    <row r="119" spans="1:456">
      <c r="A119" t="s">
        <v>135</v>
      </c>
      <c r="B119" s="4">
        <v>3.0110000000000001</v>
      </c>
      <c r="C119">
        <v>3.0249999999999999</v>
      </c>
      <c r="D119">
        <v>-1.619</v>
      </c>
      <c r="E119">
        <v>0.80800000000000005</v>
      </c>
      <c r="F119">
        <v>2.6139999999999999</v>
      </c>
      <c r="G119">
        <v>4.7889999999999997</v>
      </c>
      <c r="H119">
        <v>10.226000000000001</v>
      </c>
      <c r="I119">
        <v>1.01</v>
      </c>
      <c r="J119">
        <v>270</v>
      </c>
      <c r="O119" t="s">
        <v>135</v>
      </c>
      <c r="P119">
        <v>1.5980000000000001</v>
      </c>
      <c r="Q119">
        <v>3.847</v>
      </c>
      <c r="R119">
        <v>-5.21</v>
      </c>
      <c r="S119">
        <v>-1.1659999999999999</v>
      </c>
      <c r="T119">
        <v>1.39</v>
      </c>
      <c r="U119">
        <v>4.1669999999999998</v>
      </c>
      <c r="V119">
        <v>9.8010000000000002</v>
      </c>
      <c r="W119">
        <v>1.008</v>
      </c>
      <c r="X119">
        <v>260</v>
      </c>
      <c r="AC119" t="s">
        <v>135</v>
      </c>
      <c r="AD119" s="4">
        <v>3.0579999999999998</v>
      </c>
      <c r="AE119">
        <v>3.1459999999999999</v>
      </c>
      <c r="AF119">
        <v>-1.0960000000000001</v>
      </c>
      <c r="AG119">
        <v>0.56999999999999995</v>
      </c>
      <c r="AH119">
        <v>2.3940000000000001</v>
      </c>
      <c r="AI119">
        <v>5.0279999999999996</v>
      </c>
      <c r="AJ119">
        <v>10.643000000000001</v>
      </c>
      <c r="AK119">
        <v>1.0049999999999999</v>
      </c>
      <c r="AL119">
        <v>500</v>
      </c>
      <c r="BS119" t="s">
        <v>135</v>
      </c>
      <c r="BT119">
        <v>3.2949999999999999</v>
      </c>
      <c r="BU119">
        <v>3.089</v>
      </c>
      <c r="BV119">
        <v>-0.83099999999999996</v>
      </c>
      <c r="BW119">
        <v>0.79900000000000004</v>
      </c>
      <c r="BX119">
        <v>2.6859999999999999</v>
      </c>
      <c r="BY119">
        <v>5.26</v>
      </c>
      <c r="BZ119">
        <v>10.621</v>
      </c>
      <c r="CA119">
        <v>1.004</v>
      </c>
      <c r="CB119">
        <v>580</v>
      </c>
      <c r="CG119" t="s">
        <v>135</v>
      </c>
      <c r="CH119">
        <v>4.6420000000000003</v>
      </c>
      <c r="CI119">
        <v>2.944</v>
      </c>
      <c r="CJ119">
        <v>0.124</v>
      </c>
      <c r="CK119">
        <v>2.3769999999999998</v>
      </c>
      <c r="CL119">
        <v>4.2969999999999997</v>
      </c>
      <c r="CM119">
        <v>6.5289999999999999</v>
      </c>
      <c r="CN119">
        <v>11.162000000000001</v>
      </c>
      <c r="CO119">
        <v>1.0009999999999999</v>
      </c>
      <c r="CP119">
        <v>2700</v>
      </c>
      <c r="CU119" t="s">
        <v>135</v>
      </c>
      <c r="CV119">
        <v>3.4039999999999999</v>
      </c>
      <c r="CW119">
        <v>3.07</v>
      </c>
      <c r="CX119">
        <v>-0.76200000000000001</v>
      </c>
      <c r="CY119">
        <v>0.95699999999999996</v>
      </c>
      <c r="CZ119">
        <v>2.8180000000000001</v>
      </c>
      <c r="DA119">
        <v>5.407</v>
      </c>
      <c r="DB119">
        <v>10.335000000000001</v>
      </c>
      <c r="DC119">
        <v>1.01</v>
      </c>
      <c r="DD119">
        <v>220</v>
      </c>
      <c r="DI119" t="s">
        <v>135</v>
      </c>
      <c r="DJ119">
        <v>3.274</v>
      </c>
      <c r="DK119">
        <v>3.1269999999999998</v>
      </c>
      <c r="DL119">
        <v>-0.96599999999999997</v>
      </c>
      <c r="DM119">
        <v>0.76600000000000001</v>
      </c>
      <c r="DN119">
        <v>2.698</v>
      </c>
      <c r="DO119">
        <v>5.12</v>
      </c>
      <c r="DP119">
        <v>10.561999999999999</v>
      </c>
      <c r="DQ119">
        <v>1.0009999999999999</v>
      </c>
      <c r="DR119">
        <v>3000</v>
      </c>
      <c r="DY119" t="s">
        <v>135</v>
      </c>
      <c r="DZ119">
        <v>1.653</v>
      </c>
      <c r="EA119">
        <v>1.6040000000000001</v>
      </c>
      <c r="EB119">
        <v>-0.84899999999999998</v>
      </c>
      <c r="EC119">
        <v>0.501</v>
      </c>
      <c r="ED119">
        <v>1.448</v>
      </c>
      <c r="EE119">
        <v>2.6349999999999998</v>
      </c>
      <c r="EF119">
        <v>5.4029999999999996</v>
      </c>
      <c r="EG119">
        <v>1.002</v>
      </c>
      <c r="EH119">
        <v>1400</v>
      </c>
      <c r="EK119" t="s">
        <v>135</v>
      </c>
      <c r="EL119">
        <v>1.5269999999999999</v>
      </c>
      <c r="EM119">
        <v>2.9929999999999999</v>
      </c>
      <c r="EN119">
        <v>-1.87</v>
      </c>
      <c r="EO119">
        <v>-0.60399999999999998</v>
      </c>
      <c r="EP119">
        <v>0.443</v>
      </c>
      <c r="EQ119">
        <v>2.9510000000000001</v>
      </c>
      <c r="ER119">
        <v>9.2690000000000001</v>
      </c>
      <c r="ES119">
        <v>1.0029999999999999</v>
      </c>
      <c r="ET119">
        <v>1100</v>
      </c>
      <c r="EY119" t="s">
        <v>135</v>
      </c>
      <c r="EZ119">
        <v>1.0049999999999999</v>
      </c>
      <c r="FA119">
        <v>2.5379999999999998</v>
      </c>
      <c r="FB119">
        <v>-2.0230000000000001</v>
      </c>
      <c r="FC119">
        <v>-0.73</v>
      </c>
      <c r="FD119">
        <v>0.23</v>
      </c>
      <c r="FE119">
        <v>2.0680000000000001</v>
      </c>
      <c r="FF119">
        <v>7.9020000000000001</v>
      </c>
      <c r="FG119">
        <v>1.004</v>
      </c>
      <c r="FH119">
        <v>580</v>
      </c>
      <c r="GA119" t="s">
        <v>139</v>
      </c>
      <c r="GB119">
        <v>0.05</v>
      </c>
      <c r="GC119">
        <v>4.4859999999999998</v>
      </c>
      <c r="GD119">
        <v>-9.0670000000000002</v>
      </c>
      <c r="GE119">
        <v>-3.028</v>
      </c>
      <c r="GF119">
        <v>8.2000000000000003E-2</v>
      </c>
      <c r="GG119">
        <v>3.149</v>
      </c>
      <c r="GH119">
        <v>8.6609999999999996</v>
      </c>
      <c r="GI119">
        <v>1.0009999999999999</v>
      </c>
      <c r="GJ119">
        <v>3000</v>
      </c>
      <c r="GO119" t="s">
        <v>135</v>
      </c>
      <c r="GP119">
        <v>1.2150000000000001</v>
      </c>
      <c r="GQ119">
        <v>2.605</v>
      </c>
      <c r="GR119">
        <v>-2.008</v>
      </c>
      <c r="GS119">
        <v>-0.66</v>
      </c>
      <c r="GT119">
        <v>0.53300000000000003</v>
      </c>
      <c r="GU119">
        <v>2.375</v>
      </c>
      <c r="GV119">
        <v>7.8559999999999999</v>
      </c>
      <c r="GW119">
        <v>1.0309999999999999</v>
      </c>
      <c r="GX119">
        <v>73</v>
      </c>
      <c r="HC119" t="s">
        <v>139</v>
      </c>
      <c r="HD119">
        <v>7.04</v>
      </c>
      <c r="HE119">
        <v>2.54</v>
      </c>
      <c r="HF119">
        <v>3.04</v>
      </c>
      <c r="HG119">
        <v>5.1829999999999998</v>
      </c>
      <c r="HH119">
        <v>6.7249999999999996</v>
      </c>
      <c r="HI119">
        <v>8.5969999999999995</v>
      </c>
      <c r="HJ119">
        <v>12.936999999999999</v>
      </c>
      <c r="HK119">
        <v>1.002</v>
      </c>
      <c r="HL119">
        <v>2100</v>
      </c>
      <c r="HP119" s="7"/>
      <c r="HQ119" s="7" t="s">
        <v>139</v>
      </c>
      <c r="HR119" s="7">
        <v>5.6360000000000001</v>
      </c>
      <c r="HS119" s="7">
        <v>2.3199999999999998</v>
      </c>
      <c r="HT119" s="7">
        <v>2.0779999999999998</v>
      </c>
      <c r="HU119" s="7">
        <v>3.9390000000000001</v>
      </c>
      <c r="HV119" s="7">
        <v>5.2949999999999999</v>
      </c>
      <c r="HW119" s="7">
        <v>6.9059999999999997</v>
      </c>
      <c r="HX119" s="7">
        <v>11.180999999999999</v>
      </c>
      <c r="HY119" s="7">
        <v>1.008</v>
      </c>
      <c r="HZ119" s="7">
        <v>280</v>
      </c>
      <c r="IA119" s="7"/>
      <c r="IE119" t="s">
        <v>237</v>
      </c>
      <c r="IF119">
        <v>0.98899999999999999</v>
      </c>
      <c r="IG119">
        <v>7.5999999999999998E-2</v>
      </c>
      <c r="IH119">
        <v>0.84699999999999998</v>
      </c>
      <c r="II119">
        <v>0.93500000000000005</v>
      </c>
      <c r="IJ119">
        <v>0.98799999999999999</v>
      </c>
      <c r="IK119">
        <v>1.04</v>
      </c>
      <c r="IL119">
        <v>1.1339999999999999</v>
      </c>
      <c r="IM119">
        <v>1.0109999999999999</v>
      </c>
      <c r="IN119">
        <v>190</v>
      </c>
      <c r="IS119" t="s">
        <v>144</v>
      </c>
      <c r="IT119" t="s">
        <v>14</v>
      </c>
      <c r="IU119" t="s">
        <v>145</v>
      </c>
      <c r="IV119" t="s">
        <v>26</v>
      </c>
      <c r="IW119" t="s">
        <v>146</v>
      </c>
      <c r="IX119" t="s">
        <v>147</v>
      </c>
      <c r="IY119" t="s">
        <v>148</v>
      </c>
      <c r="IZ119" t="s">
        <v>149</v>
      </c>
      <c r="JA119" t="s">
        <v>150</v>
      </c>
      <c r="JB119" t="s">
        <v>151</v>
      </c>
      <c r="JC119" t="s">
        <v>152</v>
      </c>
      <c r="JD119" t="s">
        <v>153</v>
      </c>
      <c r="JF119" t="s">
        <v>237</v>
      </c>
      <c r="JG119">
        <v>1.2410000000000001</v>
      </c>
      <c r="JH119">
        <v>0.109</v>
      </c>
      <c r="JI119">
        <v>1.0409999999999999</v>
      </c>
      <c r="JJ119">
        <v>1.1659999999999999</v>
      </c>
      <c r="JK119">
        <v>1.236</v>
      </c>
      <c r="JL119">
        <v>1.31</v>
      </c>
      <c r="JM119">
        <v>1.4830000000000001</v>
      </c>
      <c r="JN119">
        <v>1.0029999999999999</v>
      </c>
      <c r="JO119">
        <v>750</v>
      </c>
      <c r="JT119" t="s">
        <v>139</v>
      </c>
      <c r="JU119">
        <v>4.8029999999999999</v>
      </c>
      <c r="JV119">
        <v>2.302</v>
      </c>
      <c r="JW119">
        <v>1.82</v>
      </c>
      <c r="JX119">
        <v>3.1019999999999999</v>
      </c>
      <c r="JY119">
        <v>4.2779999999999996</v>
      </c>
      <c r="JZ119">
        <v>5.9829999999999997</v>
      </c>
      <c r="KA119">
        <v>10.526</v>
      </c>
      <c r="KB119">
        <v>1.0069999999999999</v>
      </c>
      <c r="KC119">
        <v>300</v>
      </c>
      <c r="KH119" t="s">
        <v>139</v>
      </c>
      <c r="KI119">
        <v>4.9779999999999998</v>
      </c>
      <c r="KJ119">
        <v>2.2040000000000002</v>
      </c>
      <c r="KK119">
        <v>1.9990000000000001</v>
      </c>
      <c r="KL119">
        <v>3.3290000000000002</v>
      </c>
      <c r="KM119">
        <v>4.5229999999999997</v>
      </c>
      <c r="KN119">
        <v>6.1349999999999998</v>
      </c>
      <c r="KO119">
        <v>10.48</v>
      </c>
      <c r="KP119">
        <v>1.0089999999999999</v>
      </c>
      <c r="KQ119">
        <v>240</v>
      </c>
      <c r="KV119" t="s">
        <v>139</v>
      </c>
      <c r="KW119">
        <v>5.4960000000000004</v>
      </c>
      <c r="KX119">
        <v>2.0059999999999998</v>
      </c>
      <c r="KY119">
        <v>2.5449999999999999</v>
      </c>
      <c r="KZ119">
        <v>4.08</v>
      </c>
      <c r="LA119">
        <v>5.1289999999999996</v>
      </c>
      <c r="LB119">
        <v>6.5190000000000001</v>
      </c>
      <c r="LC119">
        <v>10.48</v>
      </c>
      <c r="LD119">
        <v>1.024</v>
      </c>
      <c r="LE119">
        <v>95</v>
      </c>
      <c r="ML119" t="s">
        <v>139</v>
      </c>
      <c r="MM119">
        <v>3.7730000000000001</v>
      </c>
      <c r="MN119">
        <v>1.286</v>
      </c>
      <c r="MO119">
        <v>1.879</v>
      </c>
      <c r="MP119">
        <v>2.891</v>
      </c>
      <c r="MQ119">
        <v>3.5760000000000001</v>
      </c>
      <c r="MR119">
        <v>4.4169999999999998</v>
      </c>
      <c r="MS119">
        <v>6.8339999999999996</v>
      </c>
      <c r="MT119">
        <v>1.0029999999999999</v>
      </c>
      <c r="MU119">
        <v>1200</v>
      </c>
      <c r="MZ119" t="s">
        <v>139</v>
      </c>
      <c r="NA119">
        <v>3.714</v>
      </c>
      <c r="NB119">
        <v>1.161</v>
      </c>
      <c r="NC119">
        <v>1.9259999999999999</v>
      </c>
      <c r="ND119">
        <v>2.9129999999999998</v>
      </c>
      <c r="NE119">
        <v>3.54</v>
      </c>
      <c r="NF119">
        <v>4.32</v>
      </c>
      <c r="NG119">
        <v>6.5140000000000002</v>
      </c>
      <c r="NH119">
        <v>1.008</v>
      </c>
      <c r="NI119">
        <v>270</v>
      </c>
      <c r="NM119" t="s">
        <v>139</v>
      </c>
      <c r="NN119">
        <v>0.999</v>
      </c>
      <c r="NO119">
        <v>1.571</v>
      </c>
      <c r="NP119">
        <v>-0.21199999999999999</v>
      </c>
      <c r="NQ119">
        <v>0.23300000000000001</v>
      </c>
      <c r="NR119">
        <v>0.52900000000000003</v>
      </c>
      <c r="NS119">
        <v>1</v>
      </c>
      <c r="NT119">
        <v>6.1719999999999997</v>
      </c>
      <c r="NU119">
        <v>1.004</v>
      </c>
      <c r="NV119">
        <v>3300</v>
      </c>
      <c r="NY119" t="s">
        <v>139</v>
      </c>
      <c r="NZ119">
        <v>0.74099999999999999</v>
      </c>
      <c r="OA119">
        <v>1.083</v>
      </c>
      <c r="OB119">
        <v>-0.17799999999999999</v>
      </c>
      <c r="OC119">
        <v>0.27200000000000002</v>
      </c>
      <c r="OD119">
        <v>0.52600000000000002</v>
      </c>
      <c r="OE119">
        <v>0.84199999999999997</v>
      </c>
      <c r="OF119">
        <v>3.7210000000000001</v>
      </c>
      <c r="OG119">
        <v>1.0049999999999999</v>
      </c>
      <c r="OH119">
        <v>2200</v>
      </c>
      <c r="OP119" t="s">
        <v>139</v>
      </c>
      <c r="OQ119">
        <v>0.32600000000000001</v>
      </c>
      <c r="OR119">
        <v>0.61</v>
      </c>
      <c r="OS119">
        <v>-0.24199999999999999</v>
      </c>
      <c r="OT119">
        <v>5.7000000000000002E-2</v>
      </c>
      <c r="OU119">
        <v>0.23400000000000001</v>
      </c>
      <c r="OV119">
        <v>0.436</v>
      </c>
      <c r="OW119">
        <v>1.516</v>
      </c>
      <c r="OX119">
        <v>1.161</v>
      </c>
      <c r="OY119">
        <v>100</v>
      </c>
      <c r="PB119" t="s">
        <v>139</v>
      </c>
      <c r="PC119">
        <v>0.32</v>
      </c>
      <c r="PD119">
        <v>0.86299999999999999</v>
      </c>
      <c r="PE119">
        <v>-0.26400000000000001</v>
      </c>
      <c r="PF119">
        <v>2E-3</v>
      </c>
      <c r="PG119">
        <v>0.159</v>
      </c>
      <c r="PH119">
        <v>0.34899999999999998</v>
      </c>
      <c r="PI119">
        <v>2.7429999999999999</v>
      </c>
      <c r="PJ119">
        <v>1.19</v>
      </c>
      <c r="PK119">
        <v>74</v>
      </c>
      <c r="PN119" t="s">
        <v>139</v>
      </c>
      <c r="PO119">
        <v>0.184</v>
      </c>
      <c r="PP119">
        <v>0.36099999999999999</v>
      </c>
      <c r="PQ119">
        <v>-0.27200000000000002</v>
      </c>
      <c r="PR119">
        <v>-2.3E-2</v>
      </c>
      <c r="PS119">
        <v>0.14000000000000001</v>
      </c>
      <c r="PT119">
        <v>0.32200000000000001</v>
      </c>
      <c r="PU119">
        <v>0.90300000000000002</v>
      </c>
      <c r="PV119">
        <v>1.032</v>
      </c>
      <c r="PW119">
        <v>3000</v>
      </c>
      <c r="PX119">
        <f t="shared" si="5"/>
        <v>0.50969529085872578</v>
      </c>
      <c r="QA119" t="s">
        <v>139</v>
      </c>
      <c r="QB119">
        <v>2.0110000000000001</v>
      </c>
      <c r="QC119">
        <v>2.117</v>
      </c>
      <c r="QD119">
        <v>0.41899999999999998</v>
      </c>
      <c r="QE119">
        <v>0.79800000000000004</v>
      </c>
      <c r="QF119">
        <v>1.21</v>
      </c>
      <c r="QG119">
        <v>2.2570000000000001</v>
      </c>
      <c r="QH119">
        <v>7.9710000000000001</v>
      </c>
      <c r="QI119">
        <v>1.0029999999999999</v>
      </c>
      <c r="QJ119">
        <v>3400</v>
      </c>
      <c r="QK119">
        <f t="shared" si="6"/>
        <v>0.94992914501653292</v>
      </c>
      <c r="QL119">
        <f t="shared" si="4"/>
        <v>-1.8270000000000002</v>
      </c>
      <c r="QN119" t="s">
        <v>206</v>
      </c>
    </row>
    <row r="120" spans="1:456">
      <c r="A120" t="s">
        <v>136</v>
      </c>
      <c r="B120" s="4">
        <v>1.611</v>
      </c>
      <c r="C120">
        <v>3.5579999999999998</v>
      </c>
      <c r="D120">
        <v>-4.2290000000000001</v>
      </c>
      <c r="E120">
        <v>-1.008</v>
      </c>
      <c r="F120">
        <v>1.29</v>
      </c>
      <c r="G120">
        <v>3.867</v>
      </c>
      <c r="H120">
        <v>9.3729999999999993</v>
      </c>
      <c r="I120">
        <v>1.0389999999999999</v>
      </c>
      <c r="J120">
        <v>56</v>
      </c>
      <c r="O120" t="s">
        <v>136</v>
      </c>
      <c r="P120">
        <v>1.206</v>
      </c>
      <c r="Q120">
        <v>4.0460000000000003</v>
      </c>
      <c r="R120">
        <v>-6.4130000000000003</v>
      </c>
      <c r="S120">
        <v>-1.575</v>
      </c>
      <c r="T120">
        <v>1.129</v>
      </c>
      <c r="U120">
        <v>3.9039999999999999</v>
      </c>
      <c r="V120">
        <v>9.5299999999999994</v>
      </c>
      <c r="W120">
        <v>1.002</v>
      </c>
      <c r="X120">
        <v>1900</v>
      </c>
      <c r="AC120" t="s">
        <v>136</v>
      </c>
      <c r="AD120" s="4">
        <v>2.2130000000000001</v>
      </c>
      <c r="AE120">
        <v>3.2629999999999999</v>
      </c>
      <c r="AF120">
        <v>-2.4350000000000001</v>
      </c>
      <c r="AG120">
        <v>-0.39200000000000002</v>
      </c>
      <c r="AH120">
        <v>1.7070000000000001</v>
      </c>
      <c r="AI120">
        <v>4.2960000000000003</v>
      </c>
      <c r="AJ120">
        <v>9.7210000000000001</v>
      </c>
      <c r="AK120">
        <v>1.0029999999999999</v>
      </c>
      <c r="AL120">
        <v>720</v>
      </c>
      <c r="BS120" t="s">
        <v>136</v>
      </c>
      <c r="BT120">
        <v>3.4609999999999999</v>
      </c>
      <c r="BU120">
        <v>2.9569999999999999</v>
      </c>
      <c r="BV120">
        <v>-1.3109999999999999</v>
      </c>
      <c r="BW120">
        <v>1.256</v>
      </c>
      <c r="BX120">
        <v>3.1850000000000001</v>
      </c>
      <c r="BY120">
        <v>5.3319999999999999</v>
      </c>
      <c r="BZ120">
        <v>9.9580000000000002</v>
      </c>
      <c r="CA120">
        <v>1.0089999999999999</v>
      </c>
      <c r="CB120">
        <v>240</v>
      </c>
      <c r="CG120" t="s">
        <v>136</v>
      </c>
      <c r="CH120">
        <v>3.9279999999999999</v>
      </c>
      <c r="CI120">
        <v>2.992</v>
      </c>
      <c r="CJ120">
        <v>-0.89900000000000002</v>
      </c>
      <c r="CK120">
        <v>1.669</v>
      </c>
      <c r="CL120">
        <v>3.617</v>
      </c>
      <c r="CM120">
        <v>5.8419999999999996</v>
      </c>
      <c r="CN120">
        <v>10.42</v>
      </c>
      <c r="CO120">
        <v>1.004</v>
      </c>
      <c r="CP120">
        <v>520</v>
      </c>
      <c r="CU120" t="s">
        <v>136</v>
      </c>
      <c r="CV120">
        <v>3.28</v>
      </c>
      <c r="CW120">
        <v>3.161</v>
      </c>
      <c r="CX120">
        <v>-1.681</v>
      </c>
      <c r="CY120">
        <v>0.92300000000000004</v>
      </c>
      <c r="CZ120">
        <v>2.9020000000000001</v>
      </c>
      <c r="DA120">
        <v>5.218</v>
      </c>
      <c r="DB120">
        <v>10.276999999999999</v>
      </c>
      <c r="DC120">
        <v>1.01</v>
      </c>
      <c r="DD120">
        <v>220</v>
      </c>
      <c r="DI120" t="s">
        <v>136</v>
      </c>
      <c r="DJ120">
        <v>2.1080000000000001</v>
      </c>
      <c r="DK120">
        <v>3.2810000000000001</v>
      </c>
      <c r="DL120">
        <v>-2.5979999999999999</v>
      </c>
      <c r="DM120">
        <v>-0.51200000000000001</v>
      </c>
      <c r="DN120">
        <v>1.65</v>
      </c>
      <c r="DO120">
        <v>4.2089999999999996</v>
      </c>
      <c r="DP120">
        <v>9.5990000000000002</v>
      </c>
      <c r="DQ120">
        <v>1.018</v>
      </c>
      <c r="DR120">
        <v>120</v>
      </c>
      <c r="DY120" t="s">
        <v>136</v>
      </c>
      <c r="DZ120">
        <v>3.492</v>
      </c>
      <c r="EA120">
        <v>3.2480000000000002</v>
      </c>
      <c r="EB120">
        <v>-1.7509999999999999</v>
      </c>
      <c r="EC120">
        <v>1.081</v>
      </c>
      <c r="ED120">
        <v>3.222</v>
      </c>
      <c r="EE120">
        <v>5.6319999999999997</v>
      </c>
      <c r="EF120">
        <v>10.538</v>
      </c>
      <c r="EG120">
        <v>1.0009999999999999</v>
      </c>
      <c r="EH120">
        <v>3000</v>
      </c>
      <c r="EK120" t="s">
        <v>136</v>
      </c>
      <c r="EL120">
        <v>3.2949999999999999</v>
      </c>
      <c r="EM120">
        <v>3.2370000000000001</v>
      </c>
      <c r="EN120">
        <v>-1.653</v>
      </c>
      <c r="EO120">
        <v>0.70499999999999996</v>
      </c>
      <c r="EP120">
        <v>3.0569999999999999</v>
      </c>
      <c r="EQ120">
        <v>5.4249999999999998</v>
      </c>
      <c r="ER120">
        <v>9.7989999999999995</v>
      </c>
      <c r="ES120">
        <v>1.0009999999999999</v>
      </c>
      <c r="ET120">
        <v>1500</v>
      </c>
      <c r="EY120" t="s">
        <v>136</v>
      </c>
      <c r="EZ120">
        <v>3.298</v>
      </c>
      <c r="FA120">
        <v>3.2709999999999999</v>
      </c>
      <c r="FB120">
        <v>-1.8160000000000001</v>
      </c>
      <c r="FC120">
        <v>0.65800000000000003</v>
      </c>
      <c r="FD120">
        <v>3.0059999999999998</v>
      </c>
      <c r="FE120">
        <v>5.44</v>
      </c>
      <c r="FF120">
        <v>10.318</v>
      </c>
      <c r="FG120">
        <v>1.004</v>
      </c>
      <c r="FH120">
        <v>620</v>
      </c>
      <c r="GA120" t="s">
        <v>140</v>
      </c>
      <c r="GB120">
        <v>-2.4E-2</v>
      </c>
      <c r="GC120">
        <v>4.4619999999999997</v>
      </c>
      <c r="GD120">
        <v>-8.68</v>
      </c>
      <c r="GE120">
        <v>-3.0840000000000001</v>
      </c>
      <c r="GF120">
        <v>-0.14399999999999999</v>
      </c>
      <c r="GG120">
        <v>2.9780000000000002</v>
      </c>
      <c r="GH120">
        <v>8.7799999999999994</v>
      </c>
      <c r="GI120">
        <v>1.002</v>
      </c>
      <c r="GJ120">
        <v>1000</v>
      </c>
      <c r="GO120" t="s">
        <v>136</v>
      </c>
      <c r="GP120">
        <v>3.117</v>
      </c>
      <c r="GQ120">
        <v>3.3109999999999999</v>
      </c>
      <c r="GR120">
        <v>-1.8049999999999999</v>
      </c>
      <c r="GS120">
        <v>0.39400000000000002</v>
      </c>
      <c r="GT120">
        <v>2.7749999999999999</v>
      </c>
      <c r="GU120">
        <v>5.3380000000000001</v>
      </c>
      <c r="GV120">
        <v>10.427</v>
      </c>
      <c r="GW120">
        <v>1.0049999999999999</v>
      </c>
      <c r="GX120">
        <v>410</v>
      </c>
      <c r="HC120" t="s">
        <v>140</v>
      </c>
      <c r="HD120">
        <v>7.4080000000000004</v>
      </c>
      <c r="HE120">
        <v>2.4790000000000001</v>
      </c>
      <c r="HF120">
        <v>3.3170000000000002</v>
      </c>
      <c r="HG120">
        <v>5.5919999999999996</v>
      </c>
      <c r="HH120">
        <v>7.2160000000000002</v>
      </c>
      <c r="HI120">
        <v>8.9209999999999994</v>
      </c>
      <c r="HJ120">
        <v>12.888999999999999</v>
      </c>
      <c r="HK120">
        <v>1.0069999999999999</v>
      </c>
      <c r="HL120">
        <v>320</v>
      </c>
      <c r="HP120" s="7"/>
      <c r="HQ120" s="7" t="s">
        <v>140</v>
      </c>
      <c r="HR120" s="7">
        <v>3.351</v>
      </c>
      <c r="HS120" s="7">
        <v>1.998</v>
      </c>
      <c r="HT120" s="7">
        <v>0.85299999999999998</v>
      </c>
      <c r="HU120" s="7">
        <v>2.0059999999999998</v>
      </c>
      <c r="HV120" s="7">
        <v>2.85</v>
      </c>
      <c r="HW120" s="7">
        <v>4.1470000000000002</v>
      </c>
      <c r="HX120" s="7">
        <v>8.6280000000000001</v>
      </c>
      <c r="HY120" s="7">
        <v>1.0109999999999999</v>
      </c>
      <c r="HZ120" s="7">
        <v>430</v>
      </c>
      <c r="IA120" s="7"/>
      <c r="IE120" t="s">
        <v>238</v>
      </c>
      <c r="IF120">
        <v>0.99299999999999999</v>
      </c>
      <c r="IG120">
        <v>0.161</v>
      </c>
      <c r="IH120">
        <v>0.71099999999999997</v>
      </c>
      <c r="II120">
        <v>0.879</v>
      </c>
      <c r="IJ120">
        <v>0.97899999999999998</v>
      </c>
      <c r="IK120">
        <v>1.095</v>
      </c>
      <c r="IL120">
        <v>1.3420000000000001</v>
      </c>
      <c r="IM120">
        <v>1.0009999999999999</v>
      </c>
      <c r="IN120">
        <v>3000</v>
      </c>
      <c r="IS120" t="s">
        <v>154</v>
      </c>
      <c r="IT120" t="s">
        <v>25</v>
      </c>
      <c r="IU120" t="s">
        <v>146</v>
      </c>
      <c r="IV120" t="s">
        <v>155</v>
      </c>
      <c r="IW120" t="s">
        <v>156</v>
      </c>
      <c r="IX120" t="s">
        <v>157</v>
      </c>
      <c r="IY120" t="s">
        <v>158</v>
      </c>
      <c r="IZ120" t="s">
        <v>159</v>
      </c>
      <c r="JA120" t="s">
        <v>160</v>
      </c>
      <c r="JB120" t="s">
        <v>161</v>
      </c>
      <c r="JC120" t="s">
        <v>162</v>
      </c>
      <c r="JF120" t="s">
        <v>238</v>
      </c>
      <c r="JG120">
        <v>1.024</v>
      </c>
      <c r="JH120">
        <v>0.19400000000000001</v>
      </c>
      <c r="JI120">
        <v>0.65600000000000003</v>
      </c>
      <c r="JJ120">
        <v>0.89300000000000002</v>
      </c>
      <c r="JK120">
        <v>1.0089999999999999</v>
      </c>
      <c r="JL120">
        <v>1.151</v>
      </c>
      <c r="JM120">
        <v>1.4159999999999999</v>
      </c>
      <c r="JN120">
        <v>1.002</v>
      </c>
      <c r="JO120">
        <v>1300</v>
      </c>
      <c r="JT120" t="s">
        <v>140</v>
      </c>
      <c r="JU120">
        <v>3.2970000000000002</v>
      </c>
      <c r="JV120">
        <v>1.8560000000000001</v>
      </c>
      <c r="JW120">
        <v>1.0980000000000001</v>
      </c>
      <c r="JX120">
        <v>2.032</v>
      </c>
      <c r="JY120">
        <v>2.8029999999999999</v>
      </c>
      <c r="JZ120">
        <v>3.9940000000000002</v>
      </c>
      <c r="KA120">
        <v>8.2319999999999993</v>
      </c>
      <c r="KB120">
        <v>1.004</v>
      </c>
      <c r="KC120">
        <v>630</v>
      </c>
      <c r="KH120" t="s">
        <v>140</v>
      </c>
      <c r="KI120">
        <v>3.2450000000000001</v>
      </c>
      <c r="KJ120">
        <v>1.9350000000000001</v>
      </c>
      <c r="KK120">
        <v>0.97599999999999998</v>
      </c>
      <c r="KL120">
        <v>1.9430000000000001</v>
      </c>
      <c r="KM120">
        <v>2.694</v>
      </c>
      <c r="KN120">
        <v>3.9710000000000001</v>
      </c>
      <c r="KO120">
        <v>8.6069999999999993</v>
      </c>
      <c r="KP120">
        <v>1.0149999999999999</v>
      </c>
      <c r="KQ120">
        <v>210</v>
      </c>
      <c r="KV120" t="s">
        <v>140</v>
      </c>
      <c r="KW120">
        <v>3.7519999999999998</v>
      </c>
      <c r="KX120">
        <v>1.76</v>
      </c>
      <c r="KY120">
        <v>1.2849999999999999</v>
      </c>
      <c r="KZ120">
        <v>2.5670000000000002</v>
      </c>
      <c r="LA120">
        <v>3.3929999999999998</v>
      </c>
      <c r="LB120">
        <v>4.57</v>
      </c>
      <c r="LC120">
        <v>8.4480000000000004</v>
      </c>
      <c r="LD120">
        <v>1.0529999999999999</v>
      </c>
      <c r="LE120">
        <v>43</v>
      </c>
      <c r="ML120" t="s">
        <v>140</v>
      </c>
      <c r="MM120">
        <v>3.55</v>
      </c>
      <c r="MN120">
        <v>1.5960000000000001</v>
      </c>
      <c r="MO120">
        <v>1.2769999999999999</v>
      </c>
      <c r="MP120">
        <v>2.4340000000000002</v>
      </c>
      <c r="MQ120">
        <v>3.2589999999999999</v>
      </c>
      <c r="MR120">
        <v>4.343</v>
      </c>
      <c r="MS120">
        <v>7.5279999999999996</v>
      </c>
      <c r="MT120">
        <v>1.004</v>
      </c>
      <c r="MU120">
        <v>690</v>
      </c>
      <c r="MZ120" t="s">
        <v>140</v>
      </c>
      <c r="NA120">
        <v>3.8149999999999999</v>
      </c>
      <c r="NB120">
        <v>1.6080000000000001</v>
      </c>
      <c r="NC120">
        <v>1.4810000000000001</v>
      </c>
      <c r="ND120">
        <v>2.7189999999999999</v>
      </c>
      <c r="NE120">
        <v>3.5609999999999999</v>
      </c>
      <c r="NF120">
        <v>4.5540000000000003</v>
      </c>
      <c r="NG120">
        <v>7.835</v>
      </c>
      <c r="NH120">
        <v>1.022</v>
      </c>
      <c r="NI120">
        <v>130</v>
      </c>
      <c r="NM120" t="s">
        <v>140</v>
      </c>
      <c r="NN120">
        <v>-0.55900000000000005</v>
      </c>
      <c r="NO120">
        <v>0.21299999999999999</v>
      </c>
      <c r="NP120">
        <v>-0.94399999999999995</v>
      </c>
      <c r="NQ120">
        <v>-0.70499999999999996</v>
      </c>
      <c r="NR120">
        <v>-0.56899999999999995</v>
      </c>
      <c r="NS120">
        <v>-0.42599999999999999</v>
      </c>
      <c r="NT120">
        <v>-0.112</v>
      </c>
      <c r="NU120">
        <v>1.0009999999999999</v>
      </c>
      <c r="NV120">
        <v>4600</v>
      </c>
      <c r="NY120" t="s">
        <v>140</v>
      </c>
      <c r="NZ120">
        <v>-0.57299999999999995</v>
      </c>
      <c r="OA120">
        <v>0.21299999999999999</v>
      </c>
      <c r="OB120">
        <v>-0.96399999999999997</v>
      </c>
      <c r="OC120">
        <v>-0.71799999999999997</v>
      </c>
      <c r="OD120">
        <v>-0.58299999999999996</v>
      </c>
      <c r="OE120">
        <v>-0.439</v>
      </c>
      <c r="OF120">
        <v>-0.125</v>
      </c>
      <c r="OG120">
        <v>1.0009999999999999</v>
      </c>
      <c r="OH120">
        <v>34000</v>
      </c>
      <c r="OP120" t="s">
        <v>140</v>
      </c>
      <c r="OQ120">
        <v>-0.53800000000000003</v>
      </c>
      <c r="OR120">
        <v>0.23400000000000001</v>
      </c>
      <c r="OS120">
        <v>-0.95899999999999996</v>
      </c>
      <c r="OT120">
        <v>-0.70499999999999996</v>
      </c>
      <c r="OU120">
        <v>-0.54800000000000004</v>
      </c>
      <c r="OV120">
        <v>-0.38700000000000001</v>
      </c>
      <c r="OW120">
        <v>-5.1999999999999998E-2</v>
      </c>
      <c r="OX120">
        <v>1.0029999999999999</v>
      </c>
      <c r="OY120">
        <v>980</v>
      </c>
      <c r="PB120" t="s">
        <v>140</v>
      </c>
      <c r="PC120">
        <v>-0.54100000000000004</v>
      </c>
      <c r="PD120">
        <v>0.22500000000000001</v>
      </c>
      <c r="PE120">
        <v>-0.94799999999999995</v>
      </c>
      <c r="PF120">
        <v>-0.69699999999999995</v>
      </c>
      <c r="PG120">
        <v>-0.55200000000000005</v>
      </c>
      <c r="PH120">
        <v>-0.39300000000000002</v>
      </c>
      <c r="PI120">
        <v>-6.0999999999999999E-2</v>
      </c>
      <c r="PJ120">
        <v>1.0009999999999999</v>
      </c>
      <c r="PK120">
        <v>3000</v>
      </c>
      <c r="PN120" t="s">
        <v>140</v>
      </c>
      <c r="PO120">
        <v>-0.41199999999999998</v>
      </c>
      <c r="PP120">
        <v>0.17799999999999999</v>
      </c>
      <c r="PQ120">
        <v>-0.74199999999999999</v>
      </c>
      <c r="PR120">
        <v>-0.53800000000000003</v>
      </c>
      <c r="PS120">
        <v>-0.42399999999999999</v>
      </c>
      <c r="PT120">
        <v>-0.29599999999999999</v>
      </c>
      <c r="PU120">
        <v>-3.5000000000000003E-2</v>
      </c>
      <c r="PV120">
        <v>1.0009999999999999</v>
      </c>
      <c r="PW120">
        <v>3000</v>
      </c>
      <c r="PX120">
        <f t="shared" si="5"/>
        <v>-2.3146067415730336</v>
      </c>
      <c r="QA120" t="s">
        <v>140</v>
      </c>
      <c r="QB120">
        <v>-9.1999999999999998E-2</v>
      </c>
      <c r="QC120">
        <v>0.13800000000000001</v>
      </c>
      <c r="QD120">
        <v>-0.34300000000000003</v>
      </c>
      <c r="QE120">
        <v>-0.187</v>
      </c>
      <c r="QF120">
        <v>-0.1</v>
      </c>
      <c r="QG120">
        <v>-7.0000000000000001E-3</v>
      </c>
      <c r="QH120">
        <v>0.2</v>
      </c>
      <c r="QI120">
        <v>1.002</v>
      </c>
      <c r="QJ120">
        <v>1300</v>
      </c>
      <c r="QK120">
        <f t="shared" si="6"/>
        <v>-0.66666666666666663</v>
      </c>
      <c r="QL120">
        <f t="shared" si="4"/>
        <v>-0.31999999999999995</v>
      </c>
      <c r="QN120" t="s">
        <v>204</v>
      </c>
    </row>
    <row r="121" spans="1:456">
      <c r="A121" t="s">
        <v>137</v>
      </c>
      <c r="B121" s="4">
        <v>1.7350000000000001</v>
      </c>
      <c r="C121">
        <v>2.907</v>
      </c>
      <c r="D121">
        <v>-2.4220000000000002</v>
      </c>
      <c r="E121">
        <v>-0.38900000000000001</v>
      </c>
      <c r="F121">
        <v>1.08</v>
      </c>
      <c r="G121">
        <v>3.391</v>
      </c>
      <c r="H121">
        <v>8.5730000000000004</v>
      </c>
      <c r="I121">
        <v>1.0029999999999999</v>
      </c>
      <c r="J121">
        <v>800</v>
      </c>
      <c r="O121" t="s">
        <v>137</v>
      </c>
      <c r="P121">
        <v>0.90500000000000003</v>
      </c>
      <c r="Q121">
        <v>2.7839999999999998</v>
      </c>
      <c r="R121">
        <v>-3.0379999999999998</v>
      </c>
      <c r="S121">
        <v>-1.0349999999999999</v>
      </c>
      <c r="T121">
        <v>0.32500000000000001</v>
      </c>
      <c r="U121">
        <v>2.2639999999999998</v>
      </c>
      <c r="V121">
        <v>7.9219999999999997</v>
      </c>
      <c r="W121">
        <v>1.004</v>
      </c>
      <c r="X121">
        <v>3000</v>
      </c>
      <c r="AC121" t="s">
        <v>137</v>
      </c>
      <c r="AD121" s="4">
        <v>1.1930000000000001</v>
      </c>
      <c r="AE121">
        <v>2.7240000000000002</v>
      </c>
      <c r="AF121">
        <v>-1.97</v>
      </c>
      <c r="AG121">
        <v>-0.749</v>
      </c>
      <c r="AH121">
        <v>0.314</v>
      </c>
      <c r="AI121">
        <v>2.4980000000000002</v>
      </c>
      <c r="AJ121">
        <v>8.2520000000000007</v>
      </c>
      <c r="AK121">
        <v>1.0029999999999999</v>
      </c>
      <c r="AL121">
        <v>740</v>
      </c>
      <c r="BS121" t="s">
        <v>137</v>
      </c>
      <c r="BT121">
        <v>1.0820000000000001</v>
      </c>
      <c r="BU121">
        <v>2.431</v>
      </c>
      <c r="BV121">
        <v>-1.8</v>
      </c>
      <c r="BW121">
        <v>-0.58599999999999997</v>
      </c>
      <c r="BX121">
        <v>0.38500000000000001</v>
      </c>
      <c r="BY121">
        <v>2.0219999999999998</v>
      </c>
      <c r="BZ121">
        <v>7.7</v>
      </c>
      <c r="CA121">
        <v>1.0029999999999999</v>
      </c>
      <c r="CB121">
        <v>870</v>
      </c>
      <c r="CG121" t="s">
        <v>137</v>
      </c>
      <c r="CH121">
        <v>0.309</v>
      </c>
      <c r="CI121">
        <v>1.895</v>
      </c>
      <c r="CJ121">
        <v>-1.7609999999999999</v>
      </c>
      <c r="CK121">
        <v>-0.82299999999999995</v>
      </c>
      <c r="CL121">
        <v>-0.19400000000000001</v>
      </c>
      <c r="CM121">
        <v>0.72799999999999998</v>
      </c>
      <c r="CN121">
        <v>5.532</v>
      </c>
      <c r="CO121">
        <v>1.079</v>
      </c>
      <c r="CP121">
        <v>47</v>
      </c>
      <c r="CU121" t="s">
        <v>137</v>
      </c>
      <c r="CV121">
        <v>0.45300000000000001</v>
      </c>
      <c r="CW121">
        <v>2.4289999999999998</v>
      </c>
      <c r="CX121">
        <v>-2.2240000000000002</v>
      </c>
      <c r="CY121">
        <v>-1.069</v>
      </c>
      <c r="CZ121">
        <v>-0.26400000000000001</v>
      </c>
      <c r="DA121">
        <v>1.0549999999999999</v>
      </c>
      <c r="DB121">
        <v>7.5</v>
      </c>
      <c r="DC121">
        <v>1.0389999999999999</v>
      </c>
      <c r="DD121">
        <v>75</v>
      </c>
      <c r="DI121" t="s">
        <v>137</v>
      </c>
      <c r="DJ121">
        <v>1.3109999999999999</v>
      </c>
      <c r="DK121">
        <v>2.6680000000000001</v>
      </c>
      <c r="DL121">
        <v>-1.923</v>
      </c>
      <c r="DM121">
        <v>-0.61</v>
      </c>
      <c r="DN121">
        <v>0.49</v>
      </c>
      <c r="DO121">
        <v>2.6779999999999999</v>
      </c>
      <c r="DP121">
        <v>8.1270000000000007</v>
      </c>
      <c r="DQ121">
        <v>1.0029999999999999</v>
      </c>
      <c r="DR121">
        <v>770</v>
      </c>
      <c r="DY121" t="s">
        <v>137</v>
      </c>
      <c r="DZ121">
        <v>1.796</v>
      </c>
      <c r="EA121">
        <v>2.9590000000000001</v>
      </c>
      <c r="EB121">
        <v>-2.0830000000000002</v>
      </c>
      <c r="EC121">
        <v>-0.51100000000000001</v>
      </c>
      <c r="ED121">
        <v>1.0629999999999999</v>
      </c>
      <c r="EE121">
        <v>3.5529999999999999</v>
      </c>
      <c r="EF121">
        <v>8.85</v>
      </c>
      <c r="EG121">
        <v>1.014</v>
      </c>
      <c r="EH121">
        <v>150</v>
      </c>
      <c r="EK121" t="s">
        <v>137</v>
      </c>
      <c r="EL121">
        <v>5.7000000000000002E-2</v>
      </c>
      <c r="EM121">
        <v>2.1920000000000002</v>
      </c>
      <c r="EN121">
        <v>-2.3330000000000002</v>
      </c>
      <c r="EO121">
        <v>-1.31</v>
      </c>
      <c r="EP121">
        <v>-0.59299999999999997</v>
      </c>
      <c r="EQ121">
        <v>0.61799999999999999</v>
      </c>
      <c r="ER121">
        <v>6.3680000000000003</v>
      </c>
      <c r="ES121">
        <v>1.014</v>
      </c>
      <c r="ET121">
        <v>290</v>
      </c>
      <c r="EY121" t="s">
        <v>137</v>
      </c>
      <c r="EZ121">
        <v>1.5620000000000001</v>
      </c>
      <c r="FA121">
        <v>2.7370000000000001</v>
      </c>
      <c r="FB121">
        <v>-1.91</v>
      </c>
      <c r="FC121">
        <v>-0.42899999999999999</v>
      </c>
      <c r="FD121">
        <v>0.76700000000000002</v>
      </c>
      <c r="FE121">
        <v>2.9489999999999998</v>
      </c>
      <c r="FF121">
        <v>8.4</v>
      </c>
      <c r="FG121">
        <v>1.004</v>
      </c>
      <c r="FH121">
        <v>630</v>
      </c>
      <c r="GA121" t="s">
        <v>141</v>
      </c>
      <c r="GB121">
        <v>-1.7000000000000001E-2</v>
      </c>
      <c r="GC121">
        <v>4.5359999999999996</v>
      </c>
      <c r="GD121">
        <v>-8.8490000000000002</v>
      </c>
      <c r="GE121">
        <v>-3.0569999999999999</v>
      </c>
      <c r="GF121">
        <v>6.2E-2</v>
      </c>
      <c r="GG121">
        <v>3.0649999999999999</v>
      </c>
      <c r="GH121">
        <v>8.5079999999999991</v>
      </c>
      <c r="GI121">
        <v>1.002</v>
      </c>
      <c r="GJ121">
        <v>1300</v>
      </c>
      <c r="GO121" t="s">
        <v>137</v>
      </c>
      <c r="GP121">
        <v>1.792</v>
      </c>
      <c r="GQ121">
        <v>2.8929999999999998</v>
      </c>
      <c r="GR121">
        <v>-1.6819999999999999</v>
      </c>
      <c r="GS121">
        <v>-0.31</v>
      </c>
      <c r="GT121">
        <v>0.97499999999999998</v>
      </c>
      <c r="GU121">
        <v>3.222</v>
      </c>
      <c r="GV121">
        <v>9.32</v>
      </c>
      <c r="GW121">
        <v>1.0109999999999999</v>
      </c>
      <c r="GX121">
        <v>230</v>
      </c>
      <c r="HC121" t="s">
        <v>141</v>
      </c>
      <c r="HD121">
        <v>-3.4000000000000002E-2</v>
      </c>
      <c r="HE121">
        <v>0.93100000000000005</v>
      </c>
      <c r="HF121">
        <v>-1.73</v>
      </c>
      <c r="HG121">
        <v>-0.66900000000000004</v>
      </c>
      <c r="HH121">
        <v>-7.2999999999999995E-2</v>
      </c>
      <c r="HI121">
        <v>0.55600000000000005</v>
      </c>
      <c r="HJ121">
        <v>1.8560000000000001</v>
      </c>
      <c r="HK121">
        <v>1.0069999999999999</v>
      </c>
      <c r="HL121">
        <v>300</v>
      </c>
      <c r="HP121" s="7"/>
      <c r="HQ121" s="7" t="s">
        <v>141</v>
      </c>
      <c r="HR121" s="7">
        <v>0.47299999999999998</v>
      </c>
      <c r="HS121" s="7">
        <v>0.63500000000000001</v>
      </c>
      <c r="HT121" s="7">
        <v>-0.72099999999999997</v>
      </c>
      <c r="HU121" s="7">
        <v>5.3999999999999999E-2</v>
      </c>
      <c r="HV121" s="7">
        <v>0.45600000000000002</v>
      </c>
      <c r="HW121" s="7">
        <v>0.874</v>
      </c>
      <c r="HX121" s="7">
        <v>1.819</v>
      </c>
      <c r="HY121" s="7">
        <v>1.002</v>
      </c>
      <c r="HZ121" s="7">
        <v>1800</v>
      </c>
      <c r="IA121" s="7"/>
      <c r="IE121" t="s">
        <v>143</v>
      </c>
      <c r="IF121">
        <v>1672.913</v>
      </c>
      <c r="IG121">
        <v>27.771999999999998</v>
      </c>
      <c r="IH121">
        <v>1620.1780000000001</v>
      </c>
      <c r="II121">
        <v>1653.596</v>
      </c>
      <c r="IJ121">
        <v>1672.1949999999999</v>
      </c>
      <c r="IK121">
        <v>1691.059</v>
      </c>
      <c r="IL121">
        <v>1727.817</v>
      </c>
      <c r="IM121">
        <v>1.0009999999999999</v>
      </c>
      <c r="IN121">
        <v>2400</v>
      </c>
      <c r="JF121" t="s">
        <v>143</v>
      </c>
      <c r="JG121">
        <v>1673.144</v>
      </c>
      <c r="JH121">
        <v>27.954999999999998</v>
      </c>
      <c r="JI121">
        <v>1621.2719999999999</v>
      </c>
      <c r="JJ121">
        <v>1654.2439999999999</v>
      </c>
      <c r="JK121">
        <v>1672.2329999999999</v>
      </c>
      <c r="JL121">
        <v>1691.35</v>
      </c>
      <c r="JM121">
        <v>1730.489</v>
      </c>
      <c r="JN121">
        <v>1.0009999999999999</v>
      </c>
      <c r="JO121">
        <v>3000</v>
      </c>
      <c r="JT121" t="s">
        <v>141</v>
      </c>
      <c r="JU121">
        <v>-0.27800000000000002</v>
      </c>
      <c r="JV121">
        <v>0.42</v>
      </c>
      <c r="JW121">
        <v>-1.0660000000000001</v>
      </c>
      <c r="JX121">
        <v>-0.56799999999999995</v>
      </c>
      <c r="JY121">
        <v>-0.28299999999999997</v>
      </c>
      <c r="JZ121">
        <v>-1.7999999999999999E-2</v>
      </c>
      <c r="KA121">
        <v>0.56799999999999995</v>
      </c>
      <c r="KB121">
        <v>1.0009999999999999</v>
      </c>
      <c r="KC121">
        <v>3000</v>
      </c>
      <c r="KH121" t="s">
        <v>141</v>
      </c>
      <c r="KI121">
        <v>-0.26</v>
      </c>
      <c r="KJ121">
        <v>0.435</v>
      </c>
      <c r="KK121">
        <v>-1.0640000000000001</v>
      </c>
      <c r="KL121">
        <v>-0.55200000000000005</v>
      </c>
      <c r="KM121">
        <v>-0.28000000000000003</v>
      </c>
      <c r="KN121">
        <v>6.0000000000000001E-3</v>
      </c>
      <c r="KO121">
        <v>0.67800000000000005</v>
      </c>
      <c r="KP121">
        <v>1.0029999999999999</v>
      </c>
      <c r="KQ121">
        <v>710</v>
      </c>
      <c r="KV121" t="s">
        <v>141</v>
      </c>
      <c r="KW121">
        <v>0.05</v>
      </c>
      <c r="KX121">
        <v>0.68700000000000006</v>
      </c>
      <c r="KY121">
        <v>-1.115</v>
      </c>
      <c r="KZ121">
        <v>-0.433</v>
      </c>
      <c r="LA121">
        <v>-8.0000000000000002E-3</v>
      </c>
      <c r="LB121">
        <v>0.432</v>
      </c>
      <c r="LC121">
        <v>1.6459999999999999</v>
      </c>
      <c r="LD121">
        <v>1.0009999999999999</v>
      </c>
      <c r="LE121">
        <v>2500</v>
      </c>
      <c r="ML121" t="s">
        <v>141</v>
      </c>
      <c r="MM121">
        <v>-0.17</v>
      </c>
      <c r="MN121">
        <v>0.56399999999999995</v>
      </c>
      <c r="MO121">
        <v>-1.1970000000000001</v>
      </c>
      <c r="MP121">
        <v>-0.55100000000000005</v>
      </c>
      <c r="MQ121">
        <v>-0.2</v>
      </c>
      <c r="MR121">
        <v>0.17599999999999999</v>
      </c>
      <c r="MS121">
        <v>1.0409999999999999</v>
      </c>
      <c r="MT121">
        <v>1.0009999999999999</v>
      </c>
      <c r="MU121">
        <v>4800</v>
      </c>
      <c r="MZ121" t="s">
        <v>141</v>
      </c>
      <c r="NA121">
        <v>-0.18</v>
      </c>
      <c r="NB121">
        <v>0.53700000000000003</v>
      </c>
      <c r="NC121">
        <v>-1.228</v>
      </c>
      <c r="ND121">
        <v>-0.53800000000000003</v>
      </c>
      <c r="NE121">
        <v>-0.192</v>
      </c>
      <c r="NF121">
        <v>0.16800000000000001</v>
      </c>
      <c r="NG121">
        <v>0.96399999999999997</v>
      </c>
      <c r="NH121">
        <v>1.012</v>
      </c>
      <c r="NI121">
        <v>600</v>
      </c>
      <c r="NM121" t="s">
        <v>141</v>
      </c>
      <c r="NN121">
        <v>-0.75800000000000001</v>
      </c>
      <c r="NO121">
        <v>0.60499999999999998</v>
      </c>
      <c r="NP121">
        <v>-2.1739999999999999</v>
      </c>
      <c r="NQ121">
        <v>-1.0329999999999999</v>
      </c>
      <c r="NR121">
        <v>-0.67300000000000004</v>
      </c>
      <c r="NS121">
        <v>-0.373</v>
      </c>
      <c r="NT121">
        <v>0.14199999999999999</v>
      </c>
      <c r="NU121">
        <v>1.0840000000000001</v>
      </c>
      <c r="NV121">
        <v>43</v>
      </c>
      <c r="NY121" t="s">
        <v>141</v>
      </c>
      <c r="NZ121">
        <v>-1.7889999999999999</v>
      </c>
      <c r="OA121">
        <v>0.81899999999999995</v>
      </c>
      <c r="OB121">
        <v>-3.4620000000000002</v>
      </c>
      <c r="OC121">
        <v>-2.3359999999999999</v>
      </c>
      <c r="OD121">
        <v>-1.7629999999999999</v>
      </c>
      <c r="OE121">
        <v>-1.202</v>
      </c>
      <c r="OF121">
        <v>-0.30399999999999999</v>
      </c>
      <c r="OG121">
        <v>1.165</v>
      </c>
      <c r="OH121">
        <v>17</v>
      </c>
      <c r="OP121" t="s">
        <v>141</v>
      </c>
      <c r="OQ121">
        <v>-1.7929999999999999</v>
      </c>
      <c r="OR121">
        <v>0.34499999999999997</v>
      </c>
      <c r="OS121">
        <v>-2.4980000000000002</v>
      </c>
      <c r="OT121">
        <v>-2.02</v>
      </c>
      <c r="OU121">
        <v>-1.7869999999999999</v>
      </c>
      <c r="OV121">
        <v>-1.5569999999999999</v>
      </c>
      <c r="OW121">
        <v>-1.149</v>
      </c>
      <c r="OX121">
        <v>1.0249999999999999</v>
      </c>
      <c r="OY121">
        <v>94</v>
      </c>
      <c r="PB121" t="s">
        <v>141</v>
      </c>
      <c r="PC121">
        <v>5.0000000000000001E-3</v>
      </c>
      <c r="PD121">
        <v>0.252</v>
      </c>
      <c r="PE121">
        <v>-0.46600000000000003</v>
      </c>
      <c r="PF121">
        <v>-0.161</v>
      </c>
      <c r="PG121">
        <v>3.0000000000000001E-3</v>
      </c>
      <c r="PH121">
        <v>0.159</v>
      </c>
      <c r="PI121">
        <v>0.54</v>
      </c>
      <c r="PJ121">
        <v>1.0009999999999999</v>
      </c>
      <c r="PK121">
        <v>2500</v>
      </c>
      <c r="PN121" t="s">
        <v>141</v>
      </c>
      <c r="PO121">
        <v>-0.77500000000000002</v>
      </c>
      <c r="PP121">
        <v>0.27800000000000002</v>
      </c>
      <c r="PQ121">
        <v>-1.3240000000000001</v>
      </c>
      <c r="PR121">
        <v>-0.95899999999999996</v>
      </c>
      <c r="PS121">
        <v>-0.78800000000000003</v>
      </c>
      <c r="PT121">
        <v>-0.59499999999999997</v>
      </c>
      <c r="PU121">
        <v>-0.192</v>
      </c>
      <c r="PV121">
        <v>1.0029999999999999</v>
      </c>
      <c r="PW121">
        <v>1200</v>
      </c>
      <c r="PX121">
        <f t="shared" si="5"/>
        <v>-2.7877697841726619</v>
      </c>
      <c r="QA121" t="s">
        <v>141</v>
      </c>
      <c r="QB121">
        <v>-0.93300000000000005</v>
      </c>
      <c r="QC121">
        <v>0.28699999999999998</v>
      </c>
      <c r="QD121">
        <v>-1.4379999999999999</v>
      </c>
      <c r="QE121">
        <v>-1.1299999999999999</v>
      </c>
      <c r="QF121">
        <v>-0.95099999999999996</v>
      </c>
      <c r="QG121">
        <v>-0.76200000000000001</v>
      </c>
      <c r="QH121">
        <v>-0.317</v>
      </c>
      <c r="QI121">
        <v>1.006</v>
      </c>
      <c r="QJ121">
        <v>430</v>
      </c>
      <c r="QK121">
        <f t="shared" si="6"/>
        <v>-3.2508710801393734</v>
      </c>
      <c r="QL121">
        <f t="shared" si="4"/>
        <v>0.15800000000000003</v>
      </c>
      <c r="QN121" t="s">
        <v>205</v>
      </c>
    </row>
    <row r="122" spans="1:456">
      <c r="A122" t="s">
        <v>138</v>
      </c>
      <c r="B122" s="4">
        <v>3.37</v>
      </c>
      <c r="C122">
        <v>2.8370000000000002</v>
      </c>
      <c r="D122">
        <v>-1.206</v>
      </c>
      <c r="E122">
        <v>1.252</v>
      </c>
      <c r="F122">
        <v>3.0910000000000002</v>
      </c>
      <c r="G122">
        <v>5.1859999999999999</v>
      </c>
      <c r="H122">
        <v>9.6270000000000007</v>
      </c>
      <c r="I122">
        <v>1.0329999999999999</v>
      </c>
      <c r="J122">
        <v>65</v>
      </c>
      <c r="O122" t="s">
        <v>138</v>
      </c>
      <c r="P122">
        <v>3.839</v>
      </c>
      <c r="Q122">
        <v>2.9670000000000001</v>
      </c>
      <c r="R122">
        <v>-1.159</v>
      </c>
      <c r="S122">
        <v>1.7310000000000001</v>
      </c>
      <c r="T122">
        <v>3.54</v>
      </c>
      <c r="U122">
        <v>5.742</v>
      </c>
      <c r="V122">
        <v>10.228999999999999</v>
      </c>
      <c r="W122">
        <v>1.01</v>
      </c>
      <c r="X122">
        <v>210</v>
      </c>
      <c r="AC122" t="s">
        <v>138</v>
      </c>
      <c r="AD122" s="4">
        <v>3.6909999999999998</v>
      </c>
      <c r="AE122">
        <v>2.8109999999999999</v>
      </c>
      <c r="AF122">
        <v>-0.51900000000000002</v>
      </c>
      <c r="AG122">
        <v>1.601</v>
      </c>
      <c r="AH122">
        <v>3.198</v>
      </c>
      <c r="AI122">
        <v>5.3879999999999999</v>
      </c>
      <c r="AJ122">
        <v>10.101000000000001</v>
      </c>
      <c r="AK122">
        <v>1.0009999999999999</v>
      </c>
      <c r="AL122">
        <v>3000</v>
      </c>
      <c r="BS122" t="s">
        <v>138</v>
      </c>
      <c r="BT122">
        <v>3.794</v>
      </c>
      <c r="BU122">
        <v>2.8450000000000002</v>
      </c>
      <c r="BV122">
        <v>-0.61099999999999999</v>
      </c>
      <c r="BW122">
        <v>1.627</v>
      </c>
      <c r="BX122">
        <v>3.4510000000000001</v>
      </c>
      <c r="BY122">
        <v>5.4969999999999999</v>
      </c>
      <c r="BZ122">
        <v>10.409000000000001</v>
      </c>
      <c r="CA122">
        <v>1.008</v>
      </c>
      <c r="CB122">
        <v>290</v>
      </c>
      <c r="CG122" t="s">
        <v>138</v>
      </c>
      <c r="CH122">
        <v>4.1100000000000003</v>
      </c>
      <c r="CI122">
        <v>2.8130000000000002</v>
      </c>
      <c r="CJ122">
        <v>-0.153</v>
      </c>
      <c r="CK122">
        <v>1.976</v>
      </c>
      <c r="CL122">
        <v>3.6890000000000001</v>
      </c>
      <c r="CM122">
        <v>5.7889999999999997</v>
      </c>
      <c r="CN122">
        <v>10.67</v>
      </c>
      <c r="CO122">
        <v>1.0089999999999999</v>
      </c>
      <c r="CP122">
        <v>290</v>
      </c>
      <c r="CU122" t="s">
        <v>138</v>
      </c>
      <c r="CV122">
        <v>3.6890000000000001</v>
      </c>
      <c r="CW122">
        <v>2.7589999999999999</v>
      </c>
      <c r="CX122">
        <v>-0.432</v>
      </c>
      <c r="CY122">
        <v>1.591</v>
      </c>
      <c r="CZ122">
        <v>3.3239999999999998</v>
      </c>
      <c r="DA122">
        <v>5.4039999999999999</v>
      </c>
      <c r="DB122">
        <v>9.9410000000000007</v>
      </c>
      <c r="DC122">
        <v>1.0009999999999999</v>
      </c>
      <c r="DD122">
        <v>3000</v>
      </c>
      <c r="DI122" t="s">
        <v>138</v>
      </c>
      <c r="DJ122">
        <v>4.0330000000000004</v>
      </c>
      <c r="DK122">
        <v>2.75</v>
      </c>
      <c r="DL122">
        <v>-0.129</v>
      </c>
      <c r="DM122">
        <v>1.99</v>
      </c>
      <c r="DN122">
        <v>3.681</v>
      </c>
      <c r="DO122">
        <v>5.6420000000000003</v>
      </c>
      <c r="DP122">
        <v>10.397</v>
      </c>
      <c r="DQ122">
        <v>1.0029999999999999</v>
      </c>
      <c r="DR122">
        <v>740</v>
      </c>
      <c r="DY122" t="s">
        <v>138</v>
      </c>
      <c r="DZ122">
        <v>4.3899999999999997</v>
      </c>
      <c r="EA122">
        <v>3.0049999999999999</v>
      </c>
      <c r="EB122">
        <v>-0.63800000000000001</v>
      </c>
      <c r="EC122">
        <v>2.149</v>
      </c>
      <c r="ED122">
        <v>4.1349999999999998</v>
      </c>
      <c r="EE122">
        <v>6.3440000000000003</v>
      </c>
      <c r="EF122">
        <v>10.942</v>
      </c>
      <c r="EG122">
        <v>1.0169999999999999</v>
      </c>
      <c r="EH122">
        <v>160</v>
      </c>
      <c r="EK122" t="s">
        <v>138</v>
      </c>
      <c r="EL122">
        <v>4.6680000000000001</v>
      </c>
      <c r="EM122">
        <v>2.548</v>
      </c>
      <c r="EN122">
        <v>0.56200000000000006</v>
      </c>
      <c r="EO122">
        <v>2.8690000000000002</v>
      </c>
      <c r="EP122">
        <v>4.3280000000000003</v>
      </c>
      <c r="EQ122">
        <v>6.1079999999999997</v>
      </c>
      <c r="ER122">
        <v>10.615</v>
      </c>
      <c r="ES122">
        <v>1.014</v>
      </c>
      <c r="ET122">
        <v>150</v>
      </c>
      <c r="EY122" t="s">
        <v>138</v>
      </c>
      <c r="EZ122">
        <v>5.0430000000000001</v>
      </c>
      <c r="FA122">
        <v>2.63</v>
      </c>
      <c r="FB122">
        <v>0.996</v>
      </c>
      <c r="FC122">
        <v>3.1059999999999999</v>
      </c>
      <c r="FD122">
        <v>4.6900000000000004</v>
      </c>
      <c r="FE122">
        <v>6.66</v>
      </c>
      <c r="FF122">
        <v>10.943</v>
      </c>
      <c r="FG122">
        <v>1.0009999999999999</v>
      </c>
      <c r="FH122">
        <v>2500</v>
      </c>
      <c r="GA122" t="s">
        <v>142</v>
      </c>
      <c r="GB122">
        <v>-8.0000000000000002E-3</v>
      </c>
      <c r="GC122">
        <v>4.5999999999999996</v>
      </c>
      <c r="GD122">
        <v>-8.843</v>
      </c>
      <c r="GE122">
        <v>-3.105</v>
      </c>
      <c r="GF122">
        <v>0.01</v>
      </c>
      <c r="GG122">
        <v>3.0739999999999998</v>
      </c>
      <c r="GH122">
        <v>8.9410000000000007</v>
      </c>
      <c r="GI122">
        <v>1.0009999999999999</v>
      </c>
      <c r="GJ122">
        <v>3000</v>
      </c>
      <c r="GO122" t="s">
        <v>138</v>
      </c>
      <c r="GP122">
        <v>4.9279999999999999</v>
      </c>
      <c r="GQ122">
        <v>2.569</v>
      </c>
      <c r="GR122">
        <v>0.77200000000000002</v>
      </c>
      <c r="GS122">
        <v>3.077</v>
      </c>
      <c r="GT122">
        <v>4.6070000000000002</v>
      </c>
      <c r="GU122">
        <v>6.4809999999999999</v>
      </c>
      <c r="GV122">
        <v>10.866</v>
      </c>
      <c r="GW122">
        <v>1.004</v>
      </c>
      <c r="GX122">
        <v>530</v>
      </c>
      <c r="HC122" t="s">
        <v>142</v>
      </c>
      <c r="HD122">
        <v>-3.056</v>
      </c>
      <c r="HE122">
        <v>1.083</v>
      </c>
      <c r="HF122">
        <v>-5.0469999999999997</v>
      </c>
      <c r="HG122">
        <v>-3.8149999999999999</v>
      </c>
      <c r="HH122">
        <v>-3.0659999999999998</v>
      </c>
      <c r="HI122">
        <v>-2.3359999999999999</v>
      </c>
      <c r="HJ122">
        <v>-0.879</v>
      </c>
      <c r="HK122">
        <v>1.02</v>
      </c>
      <c r="HL122">
        <v>110</v>
      </c>
      <c r="HP122" s="7"/>
      <c r="HQ122" s="7" t="s">
        <v>142</v>
      </c>
      <c r="HR122" s="7">
        <v>-1.202</v>
      </c>
      <c r="HS122" s="7">
        <v>0.95299999999999996</v>
      </c>
      <c r="HT122" s="7">
        <v>-3.246</v>
      </c>
      <c r="HU122" s="7">
        <v>-1.8169999999999999</v>
      </c>
      <c r="HV122" s="7">
        <v>-1.1220000000000001</v>
      </c>
      <c r="HW122" s="7">
        <v>-0.55800000000000005</v>
      </c>
      <c r="HX122" s="7">
        <v>0.499</v>
      </c>
      <c r="HY122" s="7">
        <v>1.0049999999999999</v>
      </c>
      <c r="HZ122" s="7">
        <v>430</v>
      </c>
      <c r="IA122" s="7"/>
      <c r="IS122" t="s">
        <v>163</v>
      </c>
      <c r="IT122" t="s">
        <v>164</v>
      </c>
      <c r="IU122" t="s">
        <v>165</v>
      </c>
      <c r="IV122" t="s">
        <v>155</v>
      </c>
      <c r="IW122" t="s">
        <v>166</v>
      </c>
      <c r="IX122" t="s">
        <v>167</v>
      </c>
      <c r="IY122" t="s">
        <v>20</v>
      </c>
      <c r="IZ122" t="s">
        <v>168</v>
      </c>
      <c r="ML122" t="s">
        <v>142</v>
      </c>
      <c r="MM122">
        <v>-1.768</v>
      </c>
      <c r="MN122">
        <v>0.67900000000000005</v>
      </c>
      <c r="MO122">
        <v>-3.2170000000000001</v>
      </c>
      <c r="MP122">
        <v>-2.1720000000000002</v>
      </c>
      <c r="MQ122">
        <v>-1.73</v>
      </c>
      <c r="MR122">
        <v>-1.3160000000000001</v>
      </c>
      <c r="MS122">
        <v>-0.54800000000000004</v>
      </c>
      <c r="MT122">
        <v>1.0109999999999999</v>
      </c>
      <c r="MU122">
        <v>260</v>
      </c>
      <c r="MZ122" t="s">
        <v>142</v>
      </c>
      <c r="NA122">
        <v>-1.758</v>
      </c>
      <c r="NB122">
        <v>0.64200000000000002</v>
      </c>
      <c r="NC122">
        <v>-3.0510000000000002</v>
      </c>
      <c r="ND122">
        <v>-2.1829999999999998</v>
      </c>
      <c r="NE122">
        <v>-1.732</v>
      </c>
      <c r="NF122">
        <v>-1.333</v>
      </c>
      <c r="NG122">
        <v>-0.496</v>
      </c>
      <c r="NH122">
        <v>1.0069999999999999</v>
      </c>
      <c r="NI122">
        <v>3000</v>
      </c>
      <c r="NM122" t="s">
        <v>142</v>
      </c>
      <c r="NN122">
        <v>-1.6259999999999999</v>
      </c>
      <c r="NO122">
        <v>0.47599999999999998</v>
      </c>
      <c r="NP122">
        <v>-2.7509999999999999</v>
      </c>
      <c r="NQ122">
        <v>-1.889</v>
      </c>
      <c r="NR122">
        <v>-1.5740000000000001</v>
      </c>
      <c r="NS122">
        <v>-1.304</v>
      </c>
      <c r="NT122">
        <v>-0.82499999999999996</v>
      </c>
      <c r="NU122">
        <v>1.046</v>
      </c>
      <c r="NV122">
        <v>72</v>
      </c>
      <c r="NY122" t="s">
        <v>142</v>
      </c>
      <c r="NZ122">
        <v>-1.2470000000000001</v>
      </c>
      <c r="OA122">
        <v>0.27200000000000002</v>
      </c>
      <c r="OB122">
        <v>-1.7989999999999999</v>
      </c>
      <c r="OC122">
        <v>-1.427</v>
      </c>
      <c r="OD122">
        <v>-1.236</v>
      </c>
      <c r="OE122">
        <v>-1.0609999999999999</v>
      </c>
      <c r="OF122">
        <v>-0.73799999999999999</v>
      </c>
      <c r="OG122">
        <v>1.0029999999999999</v>
      </c>
      <c r="OH122">
        <v>820</v>
      </c>
      <c r="OP122" t="s">
        <v>142</v>
      </c>
      <c r="OQ122">
        <v>-1.306</v>
      </c>
      <c r="OR122">
        <v>0.29299999999999998</v>
      </c>
      <c r="OS122">
        <v>-1.95</v>
      </c>
      <c r="OT122">
        <v>-1.4930000000000001</v>
      </c>
      <c r="OU122">
        <v>-1.2909999999999999</v>
      </c>
      <c r="OV122">
        <v>-1.109</v>
      </c>
      <c r="OW122">
        <v>-0.77600000000000002</v>
      </c>
      <c r="OX122">
        <v>1.0149999999999999</v>
      </c>
      <c r="OY122">
        <v>230</v>
      </c>
      <c r="PB122" t="s">
        <v>142</v>
      </c>
      <c r="PC122">
        <v>-0.93899999999999995</v>
      </c>
      <c r="PD122">
        <v>0.27200000000000002</v>
      </c>
      <c r="PE122">
        <v>-1.538</v>
      </c>
      <c r="PF122">
        <v>-1.1080000000000001</v>
      </c>
      <c r="PG122">
        <v>-0.91600000000000004</v>
      </c>
      <c r="PH122">
        <v>-0.749</v>
      </c>
      <c r="PI122">
        <v>-0.46200000000000002</v>
      </c>
      <c r="PJ122">
        <v>1.004</v>
      </c>
      <c r="PK122">
        <v>2300</v>
      </c>
      <c r="PN122" t="s">
        <v>142</v>
      </c>
      <c r="PO122">
        <v>-0.71799999999999997</v>
      </c>
      <c r="PP122">
        <v>0.23899999999999999</v>
      </c>
      <c r="PQ122">
        <v>-1.224</v>
      </c>
      <c r="PR122">
        <v>-0.86799999999999999</v>
      </c>
      <c r="PS122">
        <v>-0.71199999999999997</v>
      </c>
      <c r="PT122">
        <v>-0.55100000000000005</v>
      </c>
      <c r="PU122">
        <v>-0.27400000000000002</v>
      </c>
      <c r="PV122">
        <v>1.0089999999999999</v>
      </c>
      <c r="PW122">
        <v>230</v>
      </c>
      <c r="PX122">
        <f t="shared" si="5"/>
        <v>-3.00418410041841</v>
      </c>
      <c r="QA122" t="s">
        <v>142</v>
      </c>
      <c r="QB122">
        <v>-0.80800000000000005</v>
      </c>
      <c r="QC122">
        <v>0.248</v>
      </c>
      <c r="QD122">
        <v>-1.355</v>
      </c>
      <c r="QE122">
        <v>-0.95399999999999996</v>
      </c>
      <c r="QF122">
        <v>-0.78400000000000003</v>
      </c>
      <c r="QG122">
        <v>-0.63600000000000001</v>
      </c>
      <c r="QH122">
        <v>-0.39100000000000001</v>
      </c>
      <c r="QI122">
        <v>1.008</v>
      </c>
      <c r="QJ122">
        <v>500</v>
      </c>
      <c r="QK122">
        <f t="shared" si="6"/>
        <v>-3.2580645161290325</v>
      </c>
      <c r="QL122">
        <f t="shared" si="4"/>
        <v>9.000000000000008E-2</v>
      </c>
      <c r="QN122" t="s">
        <v>207</v>
      </c>
    </row>
    <row r="123" spans="1:456">
      <c r="A123" t="s">
        <v>139</v>
      </c>
      <c r="B123" s="4">
        <v>1.3580000000000001</v>
      </c>
      <c r="C123">
        <v>1.7050000000000001</v>
      </c>
      <c r="D123">
        <v>-1.395</v>
      </c>
      <c r="E123">
        <v>0.20499999999999999</v>
      </c>
      <c r="F123">
        <v>1.179</v>
      </c>
      <c r="G123">
        <v>2.302</v>
      </c>
      <c r="H123">
        <v>5.57</v>
      </c>
      <c r="I123">
        <v>1.014</v>
      </c>
      <c r="J123">
        <v>230</v>
      </c>
      <c r="O123" t="s">
        <v>139</v>
      </c>
      <c r="P123">
        <v>11.571999999999999</v>
      </c>
      <c r="Q123">
        <v>2.629</v>
      </c>
      <c r="R123">
        <v>6.3710000000000004</v>
      </c>
      <c r="S123">
        <v>9.859</v>
      </c>
      <c r="T123">
        <v>11.503</v>
      </c>
      <c r="U123">
        <v>13.396000000000001</v>
      </c>
      <c r="V123">
        <v>16.654</v>
      </c>
      <c r="W123">
        <v>1.024</v>
      </c>
      <c r="X123">
        <v>320</v>
      </c>
      <c r="AC123" t="s">
        <v>139</v>
      </c>
      <c r="AD123">
        <v>4.1559999999999997</v>
      </c>
      <c r="AE123">
        <v>1.2769999999999999</v>
      </c>
      <c r="AF123">
        <v>1.909</v>
      </c>
      <c r="AG123">
        <v>3.2719999999999998</v>
      </c>
      <c r="AH123">
        <v>4.0579999999999998</v>
      </c>
      <c r="AI123">
        <v>4.9130000000000003</v>
      </c>
      <c r="AJ123">
        <v>6.9960000000000004</v>
      </c>
      <c r="AK123">
        <v>1.0069999999999999</v>
      </c>
      <c r="AL123">
        <v>330</v>
      </c>
      <c r="AQ123" t="s">
        <v>139</v>
      </c>
      <c r="AR123">
        <v>4.2809999999999997</v>
      </c>
      <c r="AS123">
        <v>1.2010000000000001</v>
      </c>
      <c r="AT123">
        <v>2.173</v>
      </c>
      <c r="AU123">
        <v>3.444</v>
      </c>
      <c r="AV123">
        <v>4.2030000000000003</v>
      </c>
      <c r="AW123">
        <v>5.0069999999999997</v>
      </c>
      <c r="AX123">
        <v>6.9379999999999997</v>
      </c>
      <c r="AY123">
        <v>1.0009999999999999</v>
      </c>
      <c r="AZ123">
        <v>3000</v>
      </c>
      <c r="BE123" t="s">
        <v>139</v>
      </c>
      <c r="BF123">
        <v>2.532</v>
      </c>
      <c r="BG123">
        <v>0.98399999999999999</v>
      </c>
      <c r="BH123">
        <v>0.94099999999999995</v>
      </c>
      <c r="BI123">
        <v>1.798</v>
      </c>
      <c r="BJ123">
        <v>2.456</v>
      </c>
      <c r="BK123">
        <v>3.1480000000000001</v>
      </c>
      <c r="BL123">
        <v>4.7080000000000002</v>
      </c>
      <c r="BM123">
        <v>1.02</v>
      </c>
      <c r="BN123">
        <v>110</v>
      </c>
      <c r="BS123" t="s">
        <v>139</v>
      </c>
      <c r="BT123">
        <v>3.6110000000000002</v>
      </c>
      <c r="BU123">
        <v>1.163</v>
      </c>
      <c r="BV123">
        <v>1.5640000000000001</v>
      </c>
      <c r="BW123">
        <v>2.8149999999999999</v>
      </c>
      <c r="BX123">
        <v>3.54</v>
      </c>
      <c r="BY123">
        <v>4.3339999999999996</v>
      </c>
      <c r="BZ123">
        <v>6.149</v>
      </c>
      <c r="CA123">
        <v>1.022</v>
      </c>
      <c r="CB123">
        <v>150</v>
      </c>
      <c r="CG123" t="s">
        <v>139</v>
      </c>
      <c r="CH123">
        <v>2.5760000000000001</v>
      </c>
      <c r="CI123">
        <v>1.103</v>
      </c>
      <c r="CJ123">
        <v>0.72599999999999998</v>
      </c>
      <c r="CK123">
        <v>1.8009999999999999</v>
      </c>
      <c r="CL123">
        <v>2.4620000000000002</v>
      </c>
      <c r="CM123">
        <v>3.2130000000000001</v>
      </c>
      <c r="CN123">
        <v>5.0359999999999996</v>
      </c>
      <c r="CO123">
        <v>1.0309999999999999</v>
      </c>
      <c r="CP123">
        <v>81</v>
      </c>
      <c r="CU123" t="s">
        <v>139</v>
      </c>
      <c r="CV123">
        <v>4.2779999999999996</v>
      </c>
      <c r="CW123">
        <v>1.3460000000000001</v>
      </c>
      <c r="CX123">
        <v>1.9119999999999999</v>
      </c>
      <c r="CY123">
        <v>3.3239999999999998</v>
      </c>
      <c r="CZ123">
        <v>4.1840000000000002</v>
      </c>
      <c r="DA123">
        <v>5.141</v>
      </c>
      <c r="DB123">
        <v>7.1740000000000004</v>
      </c>
      <c r="DC123">
        <v>1.0109999999999999</v>
      </c>
      <c r="DD123">
        <v>260</v>
      </c>
      <c r="DI123" t="s">
        <v>139</v>
      </c>
      <c r="DJ123">
        <v>3.968</v>
      </c>
      <c r="DK123">
        <v>1.21</v>
      </c>
      <c r="DL123">
        <v>1.8180000000000001</v>
      </c>
      <c r="DM123">
        <v>3.1480000000000001</v>
      </c>
      <c r="DN123">
        <v>3.89</v>
      </c>
      <c r="DO123">
        <v>4.7300000000000004</v>
      </c>
      <c r="DP123">
        <v>6.5670000000000002</v>
      </c>
      <c r="DQ123">
        <v>1.0129999999999999</v>
      </c>
      <c r="DR123">
        <v>200</v>
      </c>
      <c r="DY123" t="s">
        <v>139</v>
      </c>
      <c r="DZ123">
        <v>4.0819999999999999</v>
      </c>
      <c r="EA123">
        <v>1.1579999999999999</v>
      </c>
      <c r="EB123">
        <v>2</v>
      </c>
      <c r="EC123">
        <v>3.2749999999999999</v>
      </c>
      <c r="ED123">
        <v>3.9940000000000002</v>
      </c>
      <c r="EE123">
        <v>4.7839999999999998</v>
      </c>
      <c r="EF123">
        <v>6.56</v>
      </c>
      <c r="EG123">
        <v>1.006</v>
      </c>
      <c r="EH123">
        <v>390</v>
      </c>
      <c r="EK123" t="s">
        <v>139</v>
      </c>
      <c r="EL123">
        <v>8.7789999999999999</v>
      </c>
      <c r="EM123">
        <v>2.4700000000000002</v>
      </c>
      <c r="EN123">
        <v>4.6870000000000003</v>
      </c>
      <c r="EO123">
        <v>7.0590000000000002</v>
      </c>
      <c r="EP123">
        <v>8.4580000000000002</v>
      </c>
      <c r="EQ123">
        <v>10.281000000000001</v>
      </c>
      <c r="ER123">
        <v>14.321</v>
      </c>
      <c r="ES123">
        <v>1</v>
      </c>
      <c r="ET123">
        <v>1500</v>
      </c>
      <c r="EY123" t="s">
        <v>139</v>
      </c>
      <c r="EZ123">
        <v>6.8179999999999996</v>
      </c>
      <c r="FA123">
        <v>2.52</v>
      </c>
      <c r="FB123">
        <v>2.6779999999999999</v>
      </c>
      <c r="FC123">
        <v>5.0049999999999999</v>
      </c>
      <c r="FD123">
        <v>6.5449999999999999</v>
      </c>
      <c r="FE123">
        <v>8.3149999999999995</v>
      </c>
      <c r="FF123">
        <v>12.567</v>
      </c>
      <c r="FG123">
        <v>1.0009999999999999</v>
      </c>
      <c r="FH123">
        <v>3000</v>
      </c>
      <c r="GA123" t="s">
        <v>237</v>
      </c>
      <c r="GB123">
        <v>1.0640000000000001</v>
      </c>
      <c r="GC123">
        <v>0.08</v>
      </c>
      <c r="GD123">
        <v>0.91900000000000004</v>
      </c>
      <c r="GE123">
        <v>1.0069999999999999</v>
      </c>
      <c r="GF123">
        <v>1.0609999999999999</v>
      </c>
      <c r="GG123">
        <v>1.117</v>
      </c>
      <c r="GH123">
        <v>1.2270000000000001</v>
      </c>
      <c r="GI123">
        <v>1.0009999999999999</v>
      </c>
      <c r="GJ123">
        <v>3000</v>
      </c>
      <c r="GO123" t="s">
        <v>139</v>
      </c>
      <c r="GP123">
        <v>6.8490000000000002</v>
      </c>
      <c r="GQ123">
        <v>2.5619999999999998</v>
      </c>
      <c r="GR123">
        <v>2.5550000000000002</v>
      </c>
      <c r="GS123">
        <v>5.0069999999999997</v>
      </c>
      <c r="GT123">
        <v>6.5839999999999996</v>
      </c>
      <c r="GU123">
        <v>8.4819999999999993</v>
      </c>
      <c r="GV123">
        <v>12.369</v>
      </c>
      <c r="GW123">
        <v>1.0009999999999999</v>
      </c>
      <c r="GX123">
        <v>3000</v>
      </c>
      <c r="HC123" t="s">
        <v>237</v>
      </c>
      <c r="HD123">
        <v>1.2769999999999999</v>
      </c>
      <c r="HE123">
        <v>0.14499999999999999</v>
      </c>
      <c r="HF123">
        <v>1.0109999999999999</v>
      </c>
      <c r="HG123">
        <v>1.177</v>
      </c>
      <c r="HH123">
        <v>1.2709999999999999</v>
      </c>
      <c r="HI123">
        <v>1.3680000000000001</v>
      </c>
      <c r="HJ123">
        <v>1.58</v>
      </c>
      <c r="HK123">
        <v>1.0069999999999999</v>
      </c>
      <c r="HL123">
        <v>300</v>
      </c>
      <c r="HP123" s="7"/>
      <c r="HQ123" s="7" t="s">
        <v>237</v>
      </c>
      <c r="HR123" s="7">
        <v>1.2010000000000001</v>
      </c>
      <c r="HS123" s="7">
        <v>0.129</v>
      </c>
      <c r="HT123" s="7">
        <v>0.96799999999999997</v>
      </c>
      <c r="HU123" s="7">
        <v>1.1120000000000001</v>
      </c>
      <c r="HV123" s="7">
        <v>1.194</v>
      </c>
      <c r="HW123" s="7">
        <v>1.2789999999999999</v>
      </c>
      <c r="HX123" s="7">
        <v>1.4770000000000001</v>
      </c>
      <c r="HY123" s="7">
        <v>1.006</v>
      </c>
      <c r="HZ123" s="7">
        <v>380</v>
      </c>
      <c r="IA123" s="7"/>
      <c r="IE123" t="s">
        <v>144</v>
      </c>
      <c r="IF123" t="s">
        <v>14</v>
      </c>
      <c r="IG123" t="s">
        <v>145</v>
      </c>
      <c r="IH123" t="s">
        <v>26</v>
      </c>
      <c r="II123" t="s">
        <v>146</v>
      </c>
      <c r="IJ123" t="s">
        <v>147</v>
      </c>
      <c r="IK123" t="s">
        <v>148</v>
      </c>
      <c r="IL123" t="s">
        <v>149</v>
      </c>
      <c r="IM123" t="s">
        <v>150</v>
      </c>
      <c r="IN123" t="s">
        <v>151</v>
      </c>
      <c r="IO123" t="s">
        <v>152</v>
      </c>
      <c r="IP123" t="s">
        <v>153</v>
      </c>
      <c r="IS123" t="s">
        <v>167</v>
      </c>
      <c r="IT123" t="s">
        <v>20</v>
      </c>
      <c r="IU123">
        <v>394.1</v>
      </c>
      <c r="IV123" t="s">
        <v>154</v>
      </c>
      <c r="IW123" t="s">
        <v>163</v>
      </c>
      <c r="IX123" t="s">
        <v>20</v>
      </c>
      <c r="IY123">
        <v>2067</v>
      </c>
      <c r="JF123" t="s">
        <v>144</v>
      </c>
      <c r="JG123" t="s">
        <v>14</v>
      </c>
      <c r="JH123" t="s">
        <v>145</v>
      </c>
      <c r="JI123" t="s">
        <v>26</v>
      </c>
      <c r="JJ123" t="s">
        <v>146</v>
      </c>
      <c r="JK123" t="s">
        <v>147</v>
      </c>
      <c r="JL123" t="s">
        <v>148</v>
      </c>
      <c r="JM123" t="s">
        <v>149</v>
      </c>
      <c r="JN123" t="s">
        <v>150</v>
      </c>
      <c r="JO123" t="s">
        <v>151</v>
      </c>
      <c r="JP123" t="s">
        <v>152</v>
      </c>
      <c r="JQ123" t="s">
        <v>153</v>
      </c>
      <c r="JT123" t="s">
        <v>237</v>
      </c>
      <c r="JU123">
        <v>1.244</v>
      </c>
      <c r="JV123">
        <v>0.113</v>
      </c>
      <c r="JW123">
        <v>1.042</v>
      </c>
      <c r="JX123">
        <v>1.163</v>
      </c>
      <c r="JY123">
        <v>1.238</v>
      </c>
      <c r="JZ123">
        <v>1.3149999999999999</v>
      </c>
      <c r="KA123">
        <v>1.4770000000000001</v>
      </c>
      <c r="KB123">
        <v>1.002</v>
      </c>
      <c r="KC123">
        <v>3000</v>
      </c>
      <c r="KH123" t="s">
        <v>237</v>
      </c>
      <c r="KI123">
        <v>1.212</v>
      </c>
      <c r="KJ123">
        <v>0.115</v>
      </c>
      <c r="KK123">
        <v>1</v>
      </c>
      <c r="KL123">
        <v>1.1339999999999999</v>
      </c>
      <c r="KM123">
        <v>1.21</v>
      </c>
      <c r="KN123">
        <v>1.2849999999999999</v>
      </c>
      <c r="KO123">
        <v>1.448</v>
      </c>
      <c r="KP123">
        <v>1.0129999999999999</v>
      </c>
      <c r="KQ123">
        <v>160</v>
      </c>
      <c r="KV123" t="s">
        <v>216</v>
      </c>
      <c r="KW123">
        <v>1.6859999999999999</v>
      </c>
      <c r="KX123">
        <v>0.11899999999999999</v>
      </c>
      <c r="KY123">
        <v>1.4570000000000001</v>
      </c>
      <c r="KZ123">
        <v>1.6060000000000001</v>
      </c>
      <c r="LA123">
        <v>1.6830000000000001</v>
      </c>
      <c r="LB123">
        <v>1.7669999999999999</v>
      </c>
      <c r="LC123">
        <v>1.921</v>
      </c>
      <c r="LD123">
        <v>1.0229999999999999</v>
      </c>
      <c r="LE123">
        <v>92</v>
      </c>
      <c r="ML123" t="s">
        <v>216</v>
      </c>
      <c r="MM123">
        <v>0.42699999999999999</v>
      </c>
      <c r="MN123">
        <v>5.7000000000000002E-2</v>
      </c>
      <c r="MO123">
        <v>0.32800000000000001</v>
      </c>
      <c r="MP123">
        <v>0.38600000000000001</v>
      </c>
      <c r="MQ123">
        <v>0.42199999999999999</v>
      </c>
      <c r="MR123">
        <v>0.46200000000000002</v>
      </c>
      <c r="MS123">
        <v>0.55200000000000005</v>
      </c>
      <c r="MT123">
        <v>1.006</v>
      </c>
      <c r="MU123">
        <v>410</v>
      </c>
      <c r="MZ123" t="s">
        <v>216</v>
      </c>
      <c r="NA123">
        <v>0.41799999999999998</v>
      </c>
      <c r="NB123">
        <v>4.9000000000000002E-2</v>
      </c>
      <c r="NC123">
        <v>0.32900000000000001</v>
      </c>
      <c r="ND123">
        <v>0.38300000000000001</v>
      </c>
      <c r="NE123">
        <v>0.41699999999999998</v>
      </c>
      <c r="NF123">
        <v>0.45</v>
      </c>
      <c r="NG123">
        <v>0.52200000000000002</v>
      </c>
      <c r="NH123">
        <v>1.0029999999999999</v>
      </c>
      <c r="NI123">
        <v>760</v>
      </c>
      <c r="NM123" t="s">
        <v>143</v>
      </c>
      <c r="NN123">
        <v>1814.336</v>
      </c>
      <c r="NO123">
        <v>34.462000000000003</v>
      </c>
      <c r="NP123">
        <v>1748.4960000000001</v>
      </c>
      <c r="NQ123">
        <v>1790.7070000000001</v>
      </c>
      <c r="NR123">
        <v>1813.644</v>
      </c>
      <c r="NS123">
        <v>1837.049</v>
      </c>
      <c r="NT123">
        <v>1884.414</v>
      </c>
      <c r="NU123">
        <v>1.0009999999999999</v>
      </c>
      <c r="NV123">
        <v>7700</v>
      </c>
      <c r="NY123" t="s">
        <v>143</v>
      </c>
      <c r="NZ123">
        <v>1811.9059999999999</v>
      </c>
      <c r="OA123">
        <v>34.264000000000003</v>
      </c>
      <c r="OB123">
        <v>1746.5129999999999</v>
      </c>
      <c r="OC123">
        <v>1788.4380000000001</v>
      </c>
      <c r="OD123">
        <v>1811.1210000000001</v>
      </c>
      <c r="OE123">
        <v>1834.6890000000001</v>
      </c>
      <c r="OF123">
        <v>1880.8019999999999</v>
      </c>
      <c r="OG123">
        <v>1.0009999999999999</v>
      </c>
      <c r="OH123">
        <v>9100</v>
      </c>
      <c r="OP123" t="s">
        <v>143</v>
      </c>
      <c r="OQ123">
        <v>1805.6559999999999</v>
      </c>
      <c r="OR123">
        <v>34.116999999999997</v>
      </c>
      <c r="OS123">
        <v>1741.7660000000001</v>
      </c>
      <c r="OT123">
        <v>1782.2049999999999</v>
      </c>
      <c r="OU123">
        <v>1803.7260000000001</v>
      </c>
      <c r="OV123">
        <v>1828.1410000000001</v>
      </c>
      <c r="OW123">
        <v>1874.521</v>
      </c>
      <c r="OX123">
        <v>1.002</v>
      </c>
      <c r="OY123">
        <v>2200</v>
      </c>
      <c r="PB123" t="s">
        <v>143</v>
      </c>
      <c r="PC123">
        <v>1858.088</v>
      </c>
      <c r="PD123">
        <v>36.378</v>
      </c>
      <c r="PE123">
        <v>1790.5309999999999</v>
      </c>
      <c r="PF123">
        <v>1833.143</v>
      </c>
      <c r="PG123">
        <v>1856.587</v>
      </c>
      <c r="PH123">
        <v>1881.52</v>
      </c>
      <c r="PI123">
        <v>1931.4169999999999</v>
      </c>
      <c r="PJ123">
        <v>1.0009999999999999</v>
      </c>
      <c r="PK123">
        <v>3000</v>
      </c>
      <c r="PN123" t="s">
        <v>143</v>
      </c>
      <c r="PO123">
        <v>1859.5139999999999</v>
      </c>
      <c r="PP123">
        <v>36.218000000000004</v>
      </c>
      <c r="PQ123">
        <v>1789.5619999999999</v>
      </c>
      <c r="PR123">
        <v>1834.999</v>
      </c>
      <c r="PS123">
        <v>1859.0989999999999</v>
      </c>
      <c r="PT123">
        <v>1883.193</v>
      </c>
      <c r="PU123">
        <v>1931.8330000000001</v>
      </c>
      <c r="PV123">
        <v>1.002</v>
      </c>
      <c r="PW123">
        <v>1800</v>
      </c>
      <c r="PX123">
        <f t="shared" si="5"/>
        <v>51.342260754321046</v>
      </c>
      <c r="QA123" t="s">
        <v>143</v>
      </c>
      <c r="QB123">
        <v>1849.838</v>
      </c>
      <c r="QC123">
        <v>35.688000000000002</v>
      </c>
      <c r="QD123">
        <v>1782.2840000000001</v>
      </c>
      <c r="QE123">
        <v>1825.307</v>
      </c>
      <c r="QF123">
        <v>1849.046</v>
      </c>
      <c r="QG123">
        <v>1873.5070000000001</v>
      </c>
      <c r="QH123">
        <v>1921.681</v>
      </c>
      <c r="QI123">
        <v>1.004</v>
      </c>
      <c r="QJ123">
        <v>720</v>
      </c>
      <c r="QK123">
        <f t="shared" si="6"/>
        <v>51.833613539565114</v>
      </c>
      <c r="QL123">
        <f t="shared" si="4"/>
        <v>9.6759999999999309</v>
      </c>
      <c r="QN123" t="s">
        <v>208</v>
      </c>
    </row>
    <row r="124" spans="1:456">
      <c r="A124" t="s">
        <v>140</v>
      </c>
      <c r="B124" s="4">
        <v>4.0529999999999999</v>
      </c>
      <c r="C124">
        <v>2.1869999999999998</v>
      </c>
      <c r="D124">
        <v>0.53800000000000003</v>
      </c>
      <c r="E124">
        <v>2.528</v>
      </c>
      <c r="F124">
        <v>3.774</v>
      </c>
      <c r="G124">
        <v>5.3280000000000003</v>
      </c>
      <c r="H124">
        <v>9.1999999999999993</v>
      </c>
      <c r="I124">
        <v>1.232</v>
      </c>
      <c r="J124">
        <v>14</v>
      </c>
      <c r="O124" t="s">
        <v>140</v>
      </c>
      <c r="P124">
        <v>14.119</v>
      </c>
      <c r="Q124">
        <v>2.6819999999999999</v>
      </c>
      <c r="R124">
        <v>8.33</v>
      </c>
      <c r="S124">
        <v>12.456</v>
      </c>
      <c r="T124">
        <v>14.266999999999999</v>
      </c>
      <c r="U124">
        <v>15.840999999999999</v>
      </c>
      <c r="V124">
        <v>19.177</v>
      </c>
      <c r="W124">
        <v>1.0489999999999999</v>
      </c>
      <c r="X124">
        <v>66</v>
      </c>
      <c r="AC124" t="s">
        <v>140</v>
      </c>
      <c r="AD124">
        <v>5.8760000000000003</v>
      </c>
      <c r="AE124">
        <v>2.1560000000000001</v>
      </c>
      <c r="AF124">
        <v>2.6150000000000002</v>
      </c>
      <c r="AG124">
        <v>4.367</v>
      </c>
      <c r="AH124">
        <v>5.593</v>
      </c>
      <c r="AI124">
        <v>7.0289999999999999</v>
      </c>
      <c r="AJ124">
        <v>11.02</v>
      </c>
      <c r="AK124">
        <v>1.0009999999999999</v>
      </c>
      <c r="AL124">
        <v>3000</v>
      </c>
      <c r="AQ124" t="s">
        <v>140</v>
      </c>
      <c r="AR124">
        <v>5.6779999999999999</v>
      </c>
      <c r="AS124">
        <v>2.125</v>
      </c>
      <c r="AT124">
        <v>2.4279999999999999</v>
      </c>
      <c r="AU124">
        <v>4.1470000000000002</v>
      </c>
      <c r="AV124">
        <v>5.3659999999999997</v>
      </c>
      <c r="AW124">
        <v>6.87</v>
      </c>
      <c r="AX124">
        <v>10.656000000000001</v>
      </c>
      <c r="AY124">
        <v>1.0029999999999999</v>
      </c>
      <c r="AZ124">
        <v>1500</v>
      </c>
      <c r="BE124" t="s">
        <v>140</v>
      </c>
      <c r="BF124">
        <v>4.923</v>
      </c>
      <c r="BG124">
        <v>2.3010000000000002</v>
      </c>
      <c r="BH124">
        <v>1.65</v>
      </c>
      <c r="BI124">
        <v>3.298</v>
      </c>
      <c r="BJ124">
        <v>4.4909999999999997</v>
      </c>
      <c r="BK124">
        <v>6.1020000000000003</v>
      </c>
      <c r="BL124">
        <v>10.670999999999999</v>
      </c>
      <c r="BM124">
        <v>1.0209999999999999</v>
      </c>
      <c r="BN124">
        <v>120</v>
      </c>
      <c r="BS124" t="s">
        <v>140</v>
      </c>
      <c r="BT124">
        <v>5.6079999999999997</v>
      </c>
      <c r="BU124">
        <v>2.266</v>
      </c>
      <c r="BV124">
        <v>2.0939999999999999</v>
      </c>
      <c r="BW124">
        <v>4.01</v>
      </c>
      <c r="BX124">
        <v>5.2889999999999997</v>
      </c>
      <c r="BY124">
        <v>6.8460000000000001</v>
      </c>
      <c r="BZ124">
        <v>10.933</v>
      </c>
      <c r="CA124">
        <v>1.004</v>
      </c>
      <c r="CB124">
        <v>630</v>
      </c>
      <c r="CG124" t="s">
        <v>140</v>
      </c>
      <c r="CH124">
        <v>5.5529999999999999</v>
      </c>
      <c r="CI124">
        <v>2.464</v>
      </c>
      <c r="CJ124">
        <v>1.9690000000000001</v>
      </c>
      <c r="CK124">
        <v>3.7290000000000001</v>
      </c>
      <c r="CL124">
        <v>5.101</v>
      </c>
      <c r="CM124">
        <v>6.9290000000000003</v>
      </c>
      <c r="CN124">
        <v>11.515000000000001</v>
      </c>
      <c r="CO124">
        <v>1.0109999999999999</v>
      </c>
      <c r="CP124">
        <v>200</v>
      </c>
      <c r="CU124" t="s">
        <v>140</v>
      </c>
      <c r="CV124">
        <v>5.6180000000000003</v>
      </c>
      <c r="CW124">
        <v>2.105</v>
      </c>
      <c r="CX124">
        <v>2.331</v>
      </c>
      <c r="CY124">
        <v>4.101</v>
      </c>
      <c r="CZ124">
        <v>5.3460000000000001</v>
      </c>
      <c r="DA124">
        <v>6.843</v>
      </c>
      <c r="DB124">
        <v>10.545</v>
      </c>
      <c r="DC124">
        <v>1.0089999999999999</v>
      </c>
      <c r="DD124">
        <v>300</v>
      </c>
      <c r="DI124" t="s">
        <v>140</v>
      </c>
      <c r="DJ124">
        <v>5.3170000000000002</v>
      </c>
      <c r="DK124">
        <v>2.0230000000000001</v>
      </c>
      <c r="DL124">
        <v>2.202</v>
      </c>
      <c r="DM124">
        <v>3.8839999999999999</v>
      </c>
      <c r="DN124">
        <v>5.0140000000000002</v>
      </c>
      <c r="DO124">
        <v>6.4290000000000003</v>
      </c>
      <c r="DP124">
        <v>10.085000000000001</v>
      </c>
      <c r="DQ124">
        <v>1.0029999999999999</v>
      </c>
      <c r="DR124">
        <v>1900</v>
      </c>
      <c r="DY124" t="s">
        <v>140</v>
      </c>
      <c r="DZ124">
        <v>5.1109999999999998</v>
      </c>
      <c r="EA124">
        <v>1.992</v>
      </c>
      <c r="EB124">
        <v>2.117</v>
      </c>
      <c r="EC124">
        <v>3.7240000000000002</v>
      </c>
      <c r="ED124">
        <v>4.7969999999999997</v>
      </c>
      <c r="EE124">
        <v>6.1769999999999996</v>
      </c>
      <c r="EF124">
        <v>9.923</v>
      </c>
      <c r="EG124">
        <v>1.0029999999999999</v>
      </c>
      <c r="EH124">
        <v>1000</v>
      </c>
      <c r="EK124" t="s">
        <v>140</v>
      </c>
      <c r="EL124">
        <v>6.6859999999999999</v>
      </c>
      <c r="EM124">
        <v>2.4630000000000001</v>
      </c>
      <c r="EN124">
        <v>2.9020000000000001</v>
      </c>
      <c r="EO124">
        <v>4.91</v>
      </c>
      <c r="EP124">
        <v>6.3470000000000004</v>
      </c>
      <c r="EQ124">
        <v>8.2010000000000005</v>
      </c>
      <c r="ER124">
        <v>12.282999999999999</v>
      </c>
      <c r="ES124">
        <v>1.0009999999999999</v>
      </c>
      <c r="ET124">
        <v>1500</v>
      </c>
      <c r="EY124" t="s">
        <v>140</v>
      </c>
      <c r="EZ124">
        <v>7.2880000000000003</v>
      </c>
      <c r="FA124">
        <v>2.5750000000000002</v>
      </c>
      <c r="FB124">
        <v>3.1469999999999998</v>
      </c>
      <c r="FC124">
        <v>5.4219999999999997</v>
      </c>
      <c r="FD124">
        <v>6.915</v>
      </c>
      <c r="FE124">
        <v>8.8719999999999999</v>
      </c>
      <c r="FF124">
        <v>13.208</v>
      </c>
      <c r="FG124">
        <v>1.0009999999999999</v>
      </c>
      <c r="FH124">
        <v>3000</v>
      </c>
      <c r="GA124" t="s">
        <v>238</v>
      </c>
      <c r="GB124">
        <v>0.91900000000000004</v>
      </c>
      <c r="GC124">
        <v>0.14699999999999999</v>
      </c>
      <c r="GD124">
        <v>0.64800000000000002</v>
      </c>
      <c r="GE124">
        <v>0.82</v>
      </c>
      <c r="GF124">
        <v>0.91100000000000003</v>
      </c>
      <c r="GG124">
        <v>1.016</v>
      </c>
      <c r="GH124">
        <v>1.216</v>
      </c>
      <c r="GI124">
        <v>1.002</v>
      </c>
      <c r="GJ124">
        <v>1400</v>
      </c>
      <c r="GO124" t="s">
        <v>140</v>
      </c>
      <c r="GP124">
        <v>7.3209999999999997</v>
      </c>
      <c r="GQ124">
        <v>2.5950000000000002</v>
      </c>
      <c r="GR124">
        <v>2.9590000000000001</v>
      </c>
      <c r="GS124">
        <v>5.4109999999999996</v>
      </c>
      <c r="GT124">
        <v>7.0549999999999997</v>
      </c>
      <c r="GU124">
        <v>8.9329999999999998</v>
      </c>
      <c r="GV124">
        <v>13.013999999999999</v>
      </c>
      <c r="GW124">
        <v>1.002</v>
      </c>
      <c r="GX124">
        <v>1400</v>
      </c>
      <c r="HC124" t="s">
        <v>238</v>
      </c>
      <c r="HD124">
        <v>1.1140000000000001</v>
      </c>
      <c r="HE124">
        <v>0.246</v>
      </c>
      <c r="HF124">
        <v>0.627</v>
      </c>
      <c r="HG124">
        <v>0.95399999999999996</v>
      </c>
      <c r="HH124">
        <v>1.107</v>
      </c>
      <c r="HI124">
        <v>1.268</v>
      </c>
      <c r="HJ124">
        <v>1.605</v>
      </c>
      <c r="HK124">
        <v>1.02</v>
      </c>
      <c r="HL124">
        <v>360</v>
      </c>
      <c r="HP124" s="7"/>
      <c r="HQ124" s="7" t="s">
        <v>238</v>
      </c>
      <c r="HR124" s="7">
        <v>1.0649999999999999</v>
      </c>
      <c r="HS124" s="7">
        <v>0.21</v>
      </c>
      <c r="HT124" s="7">
        <v>0.68500000000000005</v>
      </c>
      <c r="HU124" s="7">
        <v>0.92300000000000004</v>
      </c>
      <c r="HV124" s="7">
        <v>1.056</v>
      </c>
      <c r="HW124" s="7">
        <v>1.1950000000000001</v>
      </c>
      <c r="HX124" s="7">
        <v>1.5129999999999999</v>
      </c>
      <c r="HY124" s="7">
        <v>1.002</v>
      </c>
      <c r="HZ124" s="7">
        <v>1100</v>
      </c>
      <c r="IA124" s="7"/>
      <c r="IE124" t="s">
        <v>154</v>
      </c>
      <c r="IF124" t="s">
        <v>25</v>
      </c>
      <c r="IG124" t="s">
        <v>146</v>
      </c>
      <c r="IH124" t="s">
        <v>155</v>
      </c>
      <c r="II124" t="s">
        <v>156</v>
      </c>
      <c r="IJ124" t="s">
        <v>157</v>
      </c>
      <c r="IK124" t="s">
        <v>158</v>
      </c>
      <c r="IL124" t="s">
        <v>159</v>
      </c>
      <c r="IM124" t="s">
        <v>160</v>
      </c>
      <c r="IN124" t="s">
        <v>161</v>
      </c>
      <c r="IO124" t="s">
        <v>162</v>
      </c>
      <c r="IS124" t="s">
        <v>163</v>
      </c>
      <c r="IT124" t="s">
        <v>146</v>
      </c>
      <c r="IU124" t="s">
        <v>169</v>
      </c>
      <c r="IV124" t="s">
        <v>170</v>
      </c>
      <c r="IW124" t="s">
        <v>150</v>
      </c>
      <c r="IX124" t="s">
        <v>171</v>
      </c>
      <c r="IY124" t="s">
        <v>172</v>
      </c>
      <c r="IZ124" t="s">
        <v>173</v>
      </c>
      <c r="JA124" t="s">
        <v>174</v>
      </c>
      <c r="JB124" t="s">
        <v>143</v>
      </c>
      <c r="JC124" t="s">
        <v>146</v>
      </c>
      <c r="JD124" t="s">
        <v>175</v>
      </c>
      <c r="JF124" t="s">
        <v>154</v>
      </c>
      <c r="JG124" t="s">
        <v>25</v>
      </c>
      <c r="JH124" t="s">
        <v>146</v>
      </c>
      <c r="JI124" t="s">
        <v>155</v>
      </c>
      <c r="JJ124" t="s">
        <v>156</v>
      </c>
      <c r="JK124" t="s">
        <v>157</v>
      </c>
      <c r="JL124" t="s">
        <v>158</v>
      </c>
      <c r="JM124" t="s">
        <v>159</v>
      </c>
      <c r="JN124" t="s">
        <v>160</v>
      </c>
      <c r="JO124" t="s">
        <v>161</v>
      </c>
      <c r="JP124" t="s">
        <v>162</v>
      </c>
      <c r="JT124" t="s">
        <v>238</v>
      </c>
      <c r="JU124">
        <v>1.0429999999999999</v>
      </c>
      <c r="JV124">
        <v>0.20399999999999999</v>
      </c>
      <c r="JW124">
        <v>0.67500000000000004</v>
      </c>
      <c r="JX124">
        <v>0.90200000000000002</v>
      </c>
      <c r="JY124">
        <v>1.0349999999999999</v>
      </c>
      <c r="JZ124">
        <v>1.1659999999999999</v>
      </c>
      <c r="KA124">
        <v>1.4730000000000001</v>
      </c>
      <c r="KB124">
        <v>1.0029999999999999</v>
      </c>
      <c r="KC124">
        <v>770</v>
      </c>
      <c r="KH124" t="s">
        <v>238</v>
      </c>
      <c r="KI124">
        <v>1.0760000000000001</v>
      </c>
      <c r="KJ124">
        <v>0.20499999999999999</v>
      </c>
      <c r="KK124">
        <v>0.69599999999999995</v>
      </c>
      <c r="KL124">
        <v>0.94199999999999995</v>
      </c>
      <c r="KM124">
        <v>1.0660000000000001</v>
      </c>
      <c r="KN124">
        <v>1.202</v>
      </c>
      <c r="KO124">
        <v>1.5029999999999999</v>
      </c>
      <c r="KP124">
        <v>1.004</v>
      </c>
      <c r="KQ124">
        <v>570</v>
      </c>
      <c r="KV124" t="s">
        <v>143</v>
      </c>
      <c r="KW124">
        <v>1674.3409999999999</v>
      </c>
      <c r="KX124">
        <v>27.779</v>
      </c>
      <c r="KY124">
        <v>1622.739</v>
      </c>
      <c r="KZ124">
        <v>1655.028</v>
      </c>
      <c r="LA124">
        <v>1673.462</v>
      </c>
      <c r="LB124">
        <v>1692.2840000000001</v>
      </c>
      <c r="LC124">
        <v>1732.037</v>
      </c>
      <c r="LD124">
        <v>1.002</v>
      </c>
      <c r="LE124">
        <v>1900</v>
      </c>
      <c r="ML124" t="s">
        <v>143</v>
      </c>
      <c r="MM124">
        <v>1688.4469999999999</v>
      </c>
      <c r="MN124">
        <v>28.821000000000002</v>
      </c>
      <c r="MO124">
        <v>1634.134</v>
      </c>
      <c r="MP124">
        <v>1668.5820000000001</v>
      </c>
      <c r="MQ124">
        <v>1687.78</v>
      </c>
      <c r="MR124">
        <v>1707.4949999999999</v>
      </c>
      <c r="MS124">
        <v>1746.836</v>
      </c>
      <c r="MT124">
        <v>1.0009999999999999</v>
      </c>
      <c r="MU124">
        <v>30000</v>
      </c>
      <c r="MZ124" t="s">
        <v>143</v>
      </c>
      <c r="NA124">
        <v>1688.6010000000001</v>
      </c>
      <c r="NB124">
        <v>28.641999999999999</v>
      </c>
      <c r="NC124">
        <v>1633.232</v>
      </c>
      <c r="ND124">
        <v>1669.662</v>
      </c>
      <c r="NE124">
        <v>1687.789</v>
      </c>
      <c r="NF124">
        <v>1707.4780000000001</v>
      </c>
      <c r="NG124">
        <v>1746.482</v>
      </c>
      <c r="NH124">
        <v>1.0009999999999999</v>
      </c>
      <c r="NI124">
        <v>3000</v>
      </c>
      <c r="QN124" t="s">
        <v>209</v>
      </c>
    </row>
    <row r="125" spans="1:456">
      <c r="A125" t="s">
        <v>141</v>
      </c>
      <c r="B125" s="4">
        <v>0.38500000000000001</v>
      </c>
      <c r="C125">
        <v>0.95199999999999996</v>
      </c>
      <c r="D125">
        <v>-1.6759999999999999</v>
      </c>
      <c r="E125">
        <v>-0.19900000000000001</v>
      </c>
      <c r="F125">
        <v>0.42899999999999999</v>
      </c>
      <c r="G125">
        <v>1.0009999999999999</v>
      </c>
      <c r="H125">
        <v>2.1989999999999998</v>
      </c>
      <c r="I125">
        <v>1.0449999999999999</v>
      </c>
      <c r="J125">
        <v>54</v>
      </c>
      <c r="O125" t="s">
        <v>141</v>
      </c>
      <c r="P125">
        <v>1.9339999999999999</v>
      </c>
      <c r="Q125">
        <v>1.175</v>
      </c>
      <c r="R125">
        <v>-0.223</v>
      </c>
      <c r="S125">
        <v>1.105</v>
      </c>
      <c r="T125">
        <v>1.91</v>
      </c>
      <c r="U125">
        <v>2.7040000000000002</v>
      </c>
      <c r="V125">
        <v>4.3250000000000002</v>
      </c>
      <c r="W125">
        <v>1.028</v>
      </c>
      <c r="X125">
        <v>130</v>
      </c>
      <c r="AC125" t="s">
        <v>141</v>
      </c>
      <c r="AD125">
        <v>6.3E-2</v>
      </c>
      <c r="AE125">
        <v>0.70699999999999996</v>
      </c>
      <c r="AF125">
        <v>-1.3169999999999999</v>
      </c>
      <c r="AG125">
        <v>-0.41299999999999998</v>
      </c>
      <c r="AH125">
        <v>5.8000000000000003E-2</v>
      </c>
      <c r="AI125">
        <v>0.53800000000000003</v>
      </c>
      <c r="AJ125">
        <v>1.4910000000000001</v>
      </c>
      <c r="AK125">
        <v>1.0009999999999999</v>
      </c>
      <c r="AL125">
        <v>3000</v>
      </c>
      <c r="AQ125" t="s">
        <v>141</v>
      </c>
      <c r="AR125">
        <v>9.5000000000000001E-2</v>
      </c>
      <c r="AS125">
        <v>0.68700000000000006</v>
      </c>
      <c r="AT125">
        <v>-1.24</v>
      </c>
      <c r="AU125">
        <v>-0.38</v>
      </c>
      <c r="AV125">
        <v>9.8000000000000004E-2</v>
      </c>
      <c r="AW125">
        <v>0.55600000000000005</v>
      </c>
      <c r="AX125">
        <v>1.48</v>
      </c>
      <c r="AY125">
        <v>1.0069999999999999</v>
      </c>
      <c r="AZ125">
        <v>300</v>
      </c>
      <c r="BE125" t="s">
        <v>141</v>
      </c>
      <c r="BF125">
        <v>1.1950000000000001</v>
      </c>
      <c r="BG125">
        <v>0.628</v>
      </c>
      <c r="BH125">
        <v>5.8000000000000003E-2</v>
      </c>
      <c r="BI125">
        <v>0.77700000000000002</v>
      </c>
      <c r="BJ125">
        <v>1.1519999999999999</v>
      </c>
      <c r="BK125">
        <v>1.587</v>
      </c>
      <c r="BL125">
        <v>2.512</v>
      </c>
      <c r="BM125">
        <v>1.028</v>
      </c>
      <c r="BN125">
        <v>75</v>
      </c>
      <c r="BS125" t="s">
        <v>141</v>
      </c>
      <c r="BT125">
        <v>0.16300000000000001</v>
      </c>
      <c r="BU125">
        <v>0.64100000000000001</v>
      </c>
      <c r="BV125">
        <v>-1.08</v>
      </c>
      <c r="BW125">
        <v>-0.26800000000000002</v>
      </c>
      <c r="BX125">
        <v>0.159</v>
      </c>
      <c r="BY125">
        <v>0.56899999999999995</v>
      </c>
      <c r="BZ125">
        <v>1.472</v>
      </c>
      <c r="CA125">
        <v>1.002</v>
      </c>
      <c r="CB125">
        <v>1500</v>
      </c>
      <c r="CG125" t="s">
        <v>141</v>
      </c>
      <c r="CH125">
        <v>1.2809999999999999</v>
      </c>
      <c r="CI125">
        <v>0.64100000000000001</v>
      </c>
      <c r="CJ125">
        <v>0.129</v>
      </c>
      <c r="CK125">
        <v>0.84399999999999997</v>
      </c>
      <c r="CL125">
        <v>1.256</v>
      </c>
      <c r="CM125">
        <v>1.6759999999999999</v>
      </c>
      <c r="CN125">
        <v>2.661</v>
      </c>
      <c r="CO125">
        <v>1.014</v>
      </c>
      <c r="CP125">
        <v>200</v>
      </c>
      <c r="CU125" t="s">
        <v>141</v>
      </c>
      <c r="CV125">
        <v>0.88600000000000001</v>
      </c>
      <c r="CW125">
        <v>0.77300000000000002</v>
      </c>
      <c r="CX125">
        <v>-0.55500000000000005</v>
      </c>
      <c r="CY125">
        <v>0.375</v>
      </c>
      <c r="CZ125">
        <v>0.85899999999999999</v>
      </c>
      <c r="DA125">
        <v>1.36</v>
      </c>
      <c r="DB125">
        <v>2.5259999999999998</v>
      </c>
      <c r="DC125">
        <v>1.0009999999999999</v>
      </c>
      <c r="DD125">
        <v>3000</v>
      </c>
      <c r="DI125" t="s">
        <v>141</v>
      </c>
      <c r="DJ125">
        <v>5.3999999999999999E-2</v>
      </c>
      <c r="DK125">
        <v>0.72299999999999998</v>
      </c>
      <c r="DL125">
        <v>-1.3460000000000001</v>
      </c>
      <c r="DM125">
        <v>-0.42499999999999999</v>
      </c>
      <c r="DN125">
        <v>3.6999999999999998E-2</v>
      </c>
      <c r="DO125">
        <v>0.51800000000000002</v>
      </c>
      <c r="DP125">
        <v>1.5389999999999999</v>
      </c>
      <c r="DQ125">
        <v>1.006</v>
      </c>
      <c r="DR125">
        <v>390</v>
      </c>
      <c r="DY125" t="s">
        <v>141</v>
      </c>
      <c r="DZ125">
        <v>9.1999999999999998E-2</v>
      </c>
      <c r="EA125">
        <v>0.745</v>
      </c>
      <c r="EB125">
        <v>-1.3180000000000001</v>
      </c>
      <c r="EC125">
        <v>-0.39800000000000002</v>
      </c>
      <c r="ED125">
        <v>7.6999999999999999E-2</v>
      </c>
      <c r="EE125">
        <v>0.56799999999999995</v>
      </c>
      <c r="EF125">
        <v>1.6419999999999999</v>
      </c>
      <c r="EG125">
        <v>1.008</v>
      </c>
      <c r="EH125">
        <v>260</v>
      </c>
      <c r="EK125" t="s">
        <v>141</v>
      </c>
      <c r="EL125">
        <v>0.248</v>
      </c>
      <c r="EM125">
        <v>0.77600000000000002</v>
      </c>
      <c r="EN125">
        <v>-1.218</v>
      </c>
      <c r="EO125">
        <v>-0.27100000000000002</v>
      </c>
      <c r="EP125">
        <v>0.192</v>
      </c>
      <c r="EQ125">
        <v>0.77300000000000002</v>
      </c>
      <c r="ER125">
        <v>1.8149999999999999</v>
      </c>
      <c r="ES125">
        <v>1.0169999999999999</v>
      </c>
      <c r="ET125">
        <v>160</v>
      </c>
      <c r="EY125" t="s">
        <v>141</v>
      </c>
      <c r="EZ125">
        <v>0.21199999999999999</v>
      </c>
      <c r="FA125">
        <v>0.96399999999999997</v>
      </c>
      <c r="FB125">
        <v>-1.526</v>
      </c>
      <c r="FC125">
        <v>-0.46100000000000002</v>
      </c>
      <c r="FD125">
        <v>0.158</v>
      </c>
      <c r="FE125">
        <v>0.79700000000000004</v>
      </c>
      <c r="FF125">
        <v>2.286</v>
      </c>
      <c r="FG125">
        <v>1.0069999999999999</v>
      </c>
      <c r="FH125">
        <v>360</v>
      </c>
      <c r="GA125" t="s">
        <v>143</v>
      </c>
      <c r="GB125">
        <v>2464.65</v>
      </c>
      <c r="GC125">
        <v>45.511000000000003</v>
      </c>
      <c r="GD125">
        <v>2376.1729999999998</v>
      </c>
      <c r="GE125">
        <v>2434.047</v>
      </c>
      <c r="GF125">
        <v>2463.2190000000001</v>
      </c>
      <c r="GG125">
        <v>2496.145</v>
      </c>
      <c r="GH125">
        <v>2554.3910000000001</v>
      </c>
      <c r="GI125">
        <v>1.0009999999999999</v>
      </c>
      <c r="GJ125">
        <v>3000</v>
      </c>
      <c r="GO125" t="s">
        <v>141</v>
      </c>
      <c r="GP125">
        <v>0.14299999999999999</v>
      </c>
      <c r="GQ125">
        <v>0.98499999999999999</v>
      </c>
      <c r="GR125">
        <v>-1.6519999999999999</v>
      </c>
      <c r="GS125">
        <v>-0.52500000000000002</v>
      </c>
      <c r="GT125">
        <v>8.2000000000000003E-2</v>
      </c>
      <c r="GU125">
        <v>0.75700000000000001</v>
      </c>
      <c r="GV125">
        <v>2.2389999999999999</v>
      </c>
      <c r="GW125">
        <v>1.004</v>
      </c>
      <c r="GX125">
        <v>650</v>
      </c>
      <c r="HC125" t="s">
        <v>143</v>
      </c>
      <c r="HD125">
        <v>2224.3690000000001</v>
      </c>
      <c r="HE125">
        <v>40.374000000000002</v>
      </c>
      <c r="HF125">
        <v>2149.8519999999999</v>
      </c>
      <c r="HG125">
        <v>2196.5940000000001</v>
      </c>
      <c r="HH125">
        <v>2224.1559999999999</v>
      </c>
      <c r="HI125">
        <v>2250.7429999999999</v>
      </c>
      <c r="HJ125">
        <v>2305.5909999999999</v>
      </c>
      <c r="HK125">
        <v>1.0009999999999999</v>
      </c>
      <c r="HL125">
        <v>3000</v>
      </c>
      <c r="HP125" s="7"/>
      <c r="HQ125" s="7" t="s">
        <v>143</v>
      </c>
      <c r="HR125" s="7">
        <v>1672.4159999999999</v>
      </c>
      <c r="HS125" s="7">
        <v>28.048999999999999</v>
      </c>
      <c r="HT125" s="7">
        <v>1619.537</v>
      </c>
      <c r="HU125" s="7">
        <v>1652.921</v>
      </c>
      <c r="HV125" s="7">
        <v>1671.492</v>
      </c>
      <c r="HW125" s="7">
        <v>1690.144</v>
      </c>
      <c r="HX125" s="7">
        <v>1731.299</v>
      </c>
      <c r="HY125" s="7">
        <v>1.002</v>
      </c>
      <c r="HZ125" s="7">
        <v>1700</v>
      </c>
      <c r="IA125" s="7"/>
      <c r="JT125" t="s">
        <v>143</v>
      </c>
      <c r="JU125">
        <v>1672.461</v>
      </c>
      <c r="JV125">
        <v>27.01</v>
      </c>
      <c r="JW125">
        <v>1621.6420000000001</v>
      </c>
      <c r="JX125">
        <v>1653.2149999999999</v>
      </c>
      <c r="JY125">
        <v>1671.98</v>
      </c>
      <c r="JZ125">
        <v>1690.2909999999999</v>
      </c>
      <c r="KA125">
        <v>1726.576</v>
      </c>
      <c r="KB125">
        <v>1.0009999999999999</v>
      </c>
      <c r="KC125">
        <v>2600</v>
      </c>
      <c r="KH125" t="s">
        <v>143</v>
      </c>
      <c r="KI125">
        <v>1676.107</v>
      </c>
      <c r="KJ125">
        <v>27.824999999999999</v>
      </c>
      <c r="KK125">
        <v>1623.711</v>
      </c>
      <c r="KL125">
        <v>1656.521</v>
      </c>
      <c r="KM125">
        <v>1675.819</v>
      </c>
      <c r="KN125">
        <v>1694.444</v>
      </c>
      <c r="KO125">
        <v>1731.433</v>
      </c>
      <c r="KP125">
        <v>1.016</v>
      </c>
      <c r="KQ125">
        <v>150</v>
      </c>
      <c r="NM125" t="s">
        <v>144</v>
      </c>
      <c r="NN125" t="s">
        <v>14</v>
      </c>
      <c r="NO125" t="s">
        <v>145</v>
      </c>
      <c r="NP125" t="s">
        <v>26</v>
      </c>
      <c r="NQ125" t="s">
        <v>146</v>
      </c>
      <c r="NR125" t="s">
        <v>147</v>
      </c>
      <c r="NS125" t="s">
        <v>148</v>
      </c>
      <c r="NT125" t="s">
        <v>149</v>
      </c>
      <c r="NU125" t="s">
        <v>150</v>
      </c>
      <c r="NV125" t="s">
        <v>151</v>
      </c>
      <c r="NW125" t="s">
        <v>152</v>
      </c>
      <c r="NX125" t="s">
        <v>153</v>
      </c>
      <c r="NY125" t="s">
        <v>144</v>
      </c>
      <c r="NZ125" t="s">
        <v>14</v>
      </c>
      <c r="OA125" t="s">
        <v>145</v>
      </c>
      <c r="OB125" t="s">
        <v>26</v>
      </c>
      <c r="OC125" t="s">
        <v>146</v>
      </c>
      <c r="OD125" t="s">
        <v>147</v>
      </c>
      <c r="OE125" t="s">
        <v>148</v>
      </c>
      <c r="OF125" t="s">
        <v>149</v>
      </c>
      <c r="OG125" t="s">
        <v>150</v>
      </c>
      <c r="OH125" t="s">
        <v>151</v>
      </c>
      <c r="OI125" t="s">
        <v>152</v>
      </c>
      <c r="OJ125" t="s">
        <v>153</v>
      </c>
      <c r="OP125" t="s">
        <v>144</v>
      </c>
      <c r="OQ125" t="s">
        <v>14</v>
      </c>
      <c r="OR125" t="s">
        <v>145</v>
      </c>
      <c r="OS125" t="s">
        <v>26</v>
      </c>
      <c r="OT125" t="s">
        <v>146</v>
      </c>
      <c r="OU125" t="s">
        <v>147</v>
      </c>
      <c r="OV125" t="s">
        <v>148</v>
      </c>
      <c r="OW125" t="s">
        <v>149</v>
      </c>
      <c r="OX125" t="s">
        <v>150</v>
      </c>
      <c r="OY125" t="s">
        <v>151</v>
      </c>
      <c r="OZ125" t="s">
        <v>152</v>
      </c>
      <c r="PA125" t="s">
        <v>153</v>
      </c>
      <c r="PB125" t="s">
        <v>144</v>
      </c>
      <c r="PC125" t="s">
        <v>14</v>
      </c>
      <c r="PD125" t="s">
        <v>145</v>
      </c>
      <c r="PE125" t="s">
        <v>26</v>
      </c>
      <c r="PF125" t="s">
        <v>146</v>
      </c>
      <c r="PG125" t="s">
        <v>147</v>
      </c>
      <c r="PH125" t="s">
        <v>148</v>
      </c>
      <c r="PI125" t="s">
        <v>149</v>
      </c>
      <c r="PJ125" t="s">
        <v>150</v>
      </c>
      <c r="PK125" t="s">
        <v>151</v>
      </c>
      <c r="PL125" t="s">
        <v>152</v>
      </c>
      <c r="PM125" t="s">
        <v>153</v>
      </c>
      <c r="PN125" t="s">
        <v>144</v>
      </c>
      <c r="PO125" t="s">
        <v>14</v>
      </c>
      <c r="PP125" t="s">
        <v>145</v>
      </c>
      <c r="PQ125" t="s">
        <v>26</v>
      </c>
      <c r="PR125" t="s">
        <v>146</v>
      </c>
      <c r="PS125" t="s">
        <v>147</v>
      </c>
      <c r="PT125" t="s">
        <v>148</v>
      </c>
      <c r="PU125" t="s">
        <v>149</v>
      </c>
      <c r="PV125" t="s">
        <v>150</v>
      </c>
      <c r="PW125" t="s">
        <v>151</v>
      </c>
      <c r="PX125" t="s">
        <v>152</v>
      </c>
      <c r="PY125" t="s">
        <v>153</v>
      </c>
      <c r="QA125" t="s">
        <v>144</v>
      </c>
      <c r="QB125" t="s">
        <v>14</v>
      </c>
      <c r="QC125" t="s">
        <v>145</v>
      </c>
      <c r="QD125" t="s">
        <v>26</v>
      </c>
      <c r="QE125" t="s">
        <v>146</v>
      </c>
      <c r="QF125" t="s">
        <v>147</v>
      </c>
      <c r="QG125" t="s">
        <v>148</v>
      </c>
      <c r="QH125" t="s">
        <v>149</v>
      </c>
      <c r="QI125" t="s">
        <v>150</v>
      </c>
      <c r="QJ125" t="s">
        <v>151</v>
      </c>
      <c r="QK125" t="s">
        <v>152</v>
      </c>
    </row>
    <row r="126" spans="1:456">
      <c r="A126" t="s">
        <v>142</v>
      </c>
      <c r="B126" s="4">
        <v>1.8260000000000001</v>
      </c>
      <c r="C126">
        <v>1.113</v>
      </c>
      <c r="D126">
        <v>-0.253</v>
      </c>
      <c r="E126">
        <v>1.0880000000000001</v>
      </c>
      <c r="F126">
        <v>1.8049999999999999</v>
      </c>
      <c r="G126">
        <v>2.5259999999999998</v>
      </c>
      <c r="H126">
        <v>4.1310000000000002</v>
      </c>
      <c r="I126">
        <v>1.018</v>
      </c>
      <c r="J126">
        <v>120</v>
      </c>
      <c r="O126" t="s">
        <v>142</v>
      </c>
      <c r="P126">
        <v>1.4950000000000001</v>
      </c>
      <c r="Q126">
        <v>1.2470000000000001</v>
      </c>
      <c r="R126">
        <v>-0.754</v>
      </c>
      <c r="S126">
        <v>0.58399999999999996</v>
      </c>
      <c r="T126">
        <v>1.4119999999999999</v>
      </c>
      <c r="U126">
        <v>2.331</v>
      </c>
      <c r="V126">
        <v>4.07</v>
      </c>
      <c r="W126">
        <v>1.1579999999999999</v>
      </c>
      <c r="X126">
        <v>17</v>
      </c>
      <c r="AC126" t="s">
        <v>142</v>
      </c>
      <c r="AD126">
        <v>-1.964</v>
      </c>
      <c r="AE126">
        <v>1.337</v>
      </c>
      <c r="AF126">
        <v>-4.8730000000000002</v>
      </c>
      <c r="AG126">
        <v>-2.8010000000000002</v>
      </c>
      <c r="AH126">
        <v>-1.8520000000000001</v>
      </c>
      <c r="AI126">
        <v>-1.0069999999999999</v>
      </c>
      <c r="AJ126">
        <v>0.38800000000000001</v>
      </c>
      <c r="AK126">
        <v>1.0289999999999999</v>
      </c>
      <c r="AL126">
        <v>77</v>
      </c>
      <c r="AQ126" t="s">
        <v>142</v>
      </c>
      <c r="AR126">
        <v>-2.306</v>
      </c>
      <c r="AS126">
        <v>1.389</v>
      </c>
      <c r="AT126">
        <v>-5.2039999999999997</v>
      </c>
      <c r="AU126">
        <v>-3.2229999999999999</v>
      </c>
      <c r="AV126">
        <v>-2.2269999999999999</v>
      </c>
      <c r="AW126">
        <v>-1.31</v>
      </c>
      <c r="AX126">
        <v>0.14199999999999999</v>
      </c>
      <c r="AY126">
        <v>1.073</v>
      </c>
      <c r="AZ126">
        <v>37</v>
      </c>
      <c r="BE126" t="s">
        <v>142</v>
      </c>
      <c r="BF126">
        <v>-0.42399999999999999</v>
      </c>
      <c r="BG126">
        <v>0.67700000000000005</v>
      </c>
      <c r="BH126">
        <v>-1.79</v>
      </c>
      <c r="BI126">
        <v>-0.86099999999999999</v>
      </c>
      <c r="BJ126">
        <v>-0.41499999999999998</v>
      </c>
      <c r="BK126">
        <v>-1E-3</v>
      </c>
      <c r="BL126">
        <v>0.92700000000000005</v>
      </c>
      <c r="BM126">
        <v>1.0069999999999999</v>
      </c>
      <c r="BN126">
        <v>1600</v>
      </c>
      <c r="BS126" t="s">
        <v>142</v>
      </c>
      <c r="BT126">
        <v>-2.4849999999999999</v>
      </c>
      <c r="BU126">
        <v>1.3620000000000001</v>
      </c>
      <c r="BV126">
        <v>-5.3250000000000002</v>
      </c>
      <c r="BW126">
        <v>-3.42</v>
      </c>
      <c r="BX126">
        <v>-2.427</v>
      </c>
      <c r="BY126">
        <v>-1.456</v>
      </c>
      <c r="BZ126">
        <v>-0.105</v>
      </c>
      <c r="CA126">
        <v>1.0329999999999999</v>
      </c>
      <c r="CB126">
        <v>120</v>
      </c>
      <c r="CG126" t="s">
        <v>142</v>
      </c>
      <c r="CH126">
        <v>-0.35499999999999998</v>
      </c>
      <c r="CI126">
        <v>0.70699999999999996</v>
      </c>
      <c r="CJ126">
        <v>-1.7549999999999999</v>
      </c>
      <c r="CK126">
        <v>-0.82899999999999996</v>
      </c>
      <c r="CL126">
        <v>-0.35199999999999998</v>
      </c>
      <c r="CM126">
        <v>0.106</v>
      </c>
      <c r="CN126">
        <v>1.07</v>
      </c>
      <c r="CO126">
        <v>1.0209999999999999</v>
      </c>
      <c r="CP126">
        <v>99</v>
      </c>
      <c r="CU126" t="s">
        <v>142</v>
      </c>
      <c r="CV126">
        <v>-0.56699999999999995</v>
      </c>
      <c r="CW126">
        <v>0.9</v>
      </c>
      <c r="CX126">
        <v>-2.3119999999999998</v>
      </c>
      <c r="CY126">
        <v>-1.1859999999999999</v>
      </c>
      <c r="CZ126">
        <v>-0.57199999999999995</v>
      </c>
      <c r="DA126">
        <v>6.3E-2</v>
      </c>
      <c r="DB126">
        <v>1.204</v>
      </c>
      <c r="DC126">
        <v>1.002</v>
      </c>
      <c r="DD126">
        <v>1700</v>
      </c>
      <c r="DI126" t="s">
        <v>142</v>
      </c>
      <c r="DJ126">
        <v>-1.8380000000000001</v>
      </c>
      <c r="DK126">
        <v>1.238</v>
      </c>
      <c r="DL126">
        <v>-4.47</v>
      </c>
      <c r="DM126">
        <v>-2.6480000000000001</v>
      </c>
      <c r="DN126">
        <v>-1.766</v>
      </c>
      <c r="DO126">
        <v>-0.96299999999999997</v>
      </c>
      <c r="DP126">
        <v>0.378</v>
      </c>
      <c r="DQ126">
        <v>1.0169999999999999</v>
      </c>
      <c r="DR126">
        <v>130</v>
      </c>
      <c r="DY126" t="s">
        <v>142</v>
      </c>
      <c r="DZ126">
        <v>-1.452</v>
      </c>
      <c r="EA126">
        <v>1.1579999999999999</v>
      </c>
      <c r="EB126">
        <v>-4.1079999999999997</v>
      </c>
      <c r="EC126">
        <v>-2.1589999999999998</v>
      </c>
      <c r="ED126">
        <v>-1.327</v>
      </c>
      <c r="EE126">
        <v>-0.622</v>
      </c>
      <c r="EF126">
        <v>0.51400000000000001</v>
      </c>
      <c r="EG126">
        <v>1.0680000000000001</v>
      </c>
      <c r="EH126">
        <v>40</v>
      </c>
      <c r="EK126" t="s">
        <v>142</v>
      </c>
      <c r="EL126">
        <v>-1.1319999999999999</v>
      </c>
      <c r="EM126">
        <v>1.111</v>
      </c>
      <c r="EN126">
        <v>-3.246</v>
      </c>
      <c r="EO126">
        <v>-1.921</v>
      </c>
      <c r="EP126">
        <v>-1.089</v>
      </c>
      <c r="EQ126">
        <v>-0.36699999999999999</v>
      </c>
      <c r="ER126">
        <v>1.0509999999999999</v>
      </c>
      <c r="ES126">
        <v>1.018</v>
      </c>
      <c r="ET126">
        <v>120</v>
      </c>
      <c r="EY126" t="s">
        <v>142</v>
      </c>
      <c r="EZ126">
        <v>-2.702</v>
      </c>
      <c r="FA126">
        <v>1.2</v>
      </c>
      <c r="FB126">
        <v>-4.9649999999999999</v>
      </c>
      <c r="FC126">
        <v>-3.5619999999999998</v>
      </c>
      <c r="FD126">
        <v>-2.6949999999999998</v>
      </c>
      <c r="FE126">
        <v>-1.867</v>
      </c>
      <c r="FF126">
        <v>-0.376</v>
      </c>
      <c r="FG126">
        <v>1.0229999999999999</v>
      </c>
      <c r="FH126">
        <v>95</v>
      </c>
      <c r="GO126" t="s">
        <v>142</v>
      </c>
      <c r="GP126">
        <v>-2.8450000000000002</v>
      </c>
      <c r="GQ126">
        <v>1.2310000000000001</v>
      </c>
      <c r="GR126">
        <v>-5.0860000000000003</v>
      </c>
      <c r="GS126">
        <v>-3.7389999999999999</v>
      </c>
      <c r="GT126">
        <v>-2.8359999999999999</v>
      </c>
      <c r="GU126">
        <v>-1.9910000000000001</v>
      </c>
      <c r="GV126">
        <v>-0.44700000000000001</v>
      </c>
      <c r="GW126">
        <v>1.0129999999999999</v>
      </c>
      <c r="GX126">
        <v>180</v>
      </c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E126" t="s">
        <v>163</v>
      </c>
      <c r="IF126" t="s">
        <v>164</v>
      </c>
      <c r="IG126" t="s">
        <v>165</v>
      </c>
      <c r="IH126" t="s">
        <v>155</v>
      </c>
      <c r="II126" t="s">
        <v>166</v>
      </c>
      <c r="IJ126" t="s">
        <v>167</v>
      </c>
      <c r="IK126" t="s">
        <v>20</v>
      </c>
      <c r="IL126" t="s">
        <v>168</v>
      </c>
      <c r="JF126" t="s">
        <v>163</v>
      </c>
      <c r="JG126" t="s">
        <v>164</v>
      </c>
      <c r="JH126" t="s">
        <v>165</v>
      </c>
      <c r="JI126" t="s">
        <v>155</v>
      </c>
      <c r="JJ126" t="s">
        <v>166</v>
      </c>
      <c r="JK126" t="s">
        <v>167</v>
      </c>
      <c r="JL126" t="s">
        <v>20</v>
      </c>
      <c r="JM126" t="s">
        <v>168</v>
      </c>
      <c r="KV126" t="s">
        <v>144</v>
      </c>
      <c r="KW126" t="s">
        <v>14</v>
      </c>
      <c r="KX126" t="s">
        <v>145</v>
      </c>
      <c r="KY126" t="s">
        <v>26</v>
      </c>
      <c r="KZ126" t="s">
        <v>146</v>
      </c>
      <c r="LA126" t="s">
        <v>147</v>
      </c>
      <c r="LB126" t="s">
        <v>148</v>
      </c>
      <c r="LC126" t="s">
        <v>149</v>
      </c>
      <c r="LD126" t="s">
        <v>150</v>
      </c>
      <c r="LE126" t="s">
        <v>151</v>
      </c>
      <c r="LF126" t="s">
        <v>152</v>
      </c>
      <c r="LG126" t="s">
        <v>153</v>
      </c>
      <c r="ML126" t="s">
        <v>144</v>
      </c>
      <c r="MM126" t="s">
        <v>14</v>
      </c>
      <c r="MN126" t="s">
        <v>145</v>
      </c>
      <c r="MO126" t="s">
        <v>26</v>
      </c>
      <c r="MP126" t="s">
        <v>146</v>
      </c>
      <c r="MQ126" t="s">
        <v>147</v>
      </c>
      <c r="MR126" t="s">
        <v>148</v>
      </c>
      <c r="MS126" t="s">
        <v>149</v>
      </c>
      <c r="MT126" t="s">
        <v>150</v>
      </c>
      <c r="MU126" t="s">
        <v>151</v>
      </c>
      <c r="MV126" t="s">
        <v>152</v>
      </c>
      <c r="MW126" t="s">
        <v>153</v>
      </c>
      <c r="MZ126" t="s">
        <v>144</v>
      </c>
      <c r="NA126" t="s">
        <v>14</v>
      </c>
      <c r="NB126" t="s">
        <v>145</v>
      </c>
      <c r="NC126" t="s">
        <v>26</v>
      </c>
      <c r="ND126" t="s">
        <v>146</v>
      </c>
      <c r="NE126" t="s">
        <v>147</v>
      </c>
      <c r="NF126" t="s">
        <v>148</v>
      </c>
      <c r="NG126" t="s">
        <v>149</v>
      </c>
      <c r="NH126" t="s">
        <v>150</v>
      </c>
      <c r="NI126" t="s">
        <v>151</v>
      </c>
      <c r="NJ126" t="s">
        <v>152</v>
      </c>
      <c r="NK126" t="s">
        <v>153</v>
      </c>
      <c r="NM126" t="s">
        <v>154</v>
      </c>
      <c r="NN126" t="s">
        <v>25</v>
      </c>
      <c r="NO126" t="s">
        <v>146</v>
      </c>
      <c r="NP126" t="s">
        <v>155</v>
      </c>
      <c r="NQ126" t="s">
        <v>156</v>
      </c>
      <c r="NR126" t="s">
        <v>157</v>
      </c>
      <c r="NS126" t="s">
        <v>158</v>
      </c>
      <c r="NT126" t="s">
        <v>159</v>
      </c>
      <c r="NU126" t="s">
        <v>160</v>
      </c>
      <c r="NV126" t="s">
        <v>161</v>
      </c>
      <c r="NW126" t="s">
        <v>162</v>
      </c>
      <c r="NY126" t="s">
        <v>154</v>
      </c>
      <c r="NZ126" t="s">
        <v>25</v>
      </c>
      <c r="OA126" t="s">
        <v>146</v>
      </c>
      <c r="OB126" t="s">
        <v>155</v>
      </c>
      <c r="OC126" t="s">
        <v>156</v>
      </c>
      <c r="OD126" t="s">
        <v>157</v>
      </c>
      <c r="OE126" t="s">
        <v>158</v>
      </c>
      <c r="OF126" t="s">
        <v>159</v>
      </c>
      <c r="OG126" t="s">
        <v>160</v>
      </c>
      <c r="OH126" t="s">
        <v>161</v>
      </c>
      <c r="OI126" t="s">
        <v>162</v>
      </c>
      <c r="OP126" t="s">
        <v>154</v>
      </c>
      <c r="OQ126" t="s">
        <v>25</v>
      </c>
      <c r="OR126" t="s">
        <v>146</v>
      </c>
      <c r="OS126" t="s">
        <v>155</v>
      </c>
      <c r="OT126" t="s">
        <v>156</v>
      </c>
      <c r="OU126" t="s">
        <v>157</v>
      </c>
      <c r="OV126" t="s">
        <v>158</v>
      </c>
      <c r="OW126" t="s">
        <v>159</v>
      </c>
      <c r="OX126" t="s">
        <v>160</v>
      </c>
      <c r="OY126" t="s">
        <v>161</v>
      </c>
      <c r="OZ126" t="s">
        <v>162</v>
      </c>
      <c r="PB126" t="s">
        <v>154</v>
      </c>
      <c r="PC126" t="s">
        <v>25</v>
      </c>
      <c r="PD126" t="s">
        <v>146</v>
      </c>
      <c r="PE126" t="s">
        <v>155</v>
      </c>
      <c r="PF126" t="s">
        <v>156</v>
      </c>
      <c r="PG126" t="s">
        <v>157</v>
      </c>
      <c r="PH126" t="s">
        <v>158</v>
      </c>
      <c r="PI126" t="s">
        <v>159</v>
      </c>
      <c r="PJ126" t="s">
        <v>160</v>
      </c>
      <c r="PK126" t="s">
        <v>161</v>
      </c>
      <c r="PL126" t="s">
        <v>162</v>
      </c>
      <c r="PN126" t="s">
        <v>154</v>
      </c>
      <c r="PO126" t="s">
        <v>25</v>
      </c>
      <c r="PP126" t="s">
        <v>146</v>
      </c>
      <c r="PQ126" t="s">
        <v>155</v>
      </c>
      <c r="PR126" t="s">
        <v>156</v>
      </c>
      <c r="PS126" t="s">
        <v>157</v>
      </c>
      <c r="PT126" t="s">
        <v>158</v>
      </c>
      <c r="PU126" t="s">
        <v>159</v>
      </c>
      <c r="PV126" t="s">
        <v>160</v>
      </c>
      <c r="PW126" t="s">
        <v>161</v>
      </c>
      <c r="PX126" t="s">
        <v>162</v>
      </c>
      <c r="QA126" t="s">
        <v>154</v>
      </c>
      <c r="QB126" t="s">
        <v>25</v>
      </c>
      <c r="QC126" t="s">
        <v>146</v>
      </c>
      <c r="QD126" t="s">
        <v>155</v>
      </c>
      <c r="QE126" t="s">
        <v>156</v>
      </c>
      <c r="QF126" t="s">
        <v>157</v>
      </c>
      <c r="QG126" t="s">
        <v>158</v>
      </c>
      <c r="QH126" t="s">
        <v>159</v>
      </c>
      <c r="QI126" t="s">
        <v>160</v>
      </c>
      <c r="QJ126" t="s">
        <v>161</v>
      </c>
      <c r="QK126" t="s">
        <v>162</v>
      </c>
    </row>
    <row r="127" spans="1:456">
      <c r="A127" t="s">
        <v>237</v>
      </c>
      <c r="B127">
        <v>2.085</v>
      </c>
      <c r="C127">
        <v>0.23599999999999999</v>
      </c>
      <c r="D127">
        <v>1.645</v>
      </c>
      <c r="E127">
        <v>1.92</v>
      </c>
      <c r="F127">
        <v>2.08</v>
      </c>
      <c r="G127">
        <v>2.2480000000000002</v>
      </c>
      <c r="H127">
        <v>2.5579999999999998</v>
      </c>
      <c r="I127">
        <v>1.03</v>
      </c>
      <c r="J127">
        <v>73</v>
      </c>
      <c r="O127" t="s">
        <v>237</v>
      </c>
      <c r="P127">
        <v>1.6890000000000001</v>
      </c>
      <c r="Q127">
        <v>0.20399999999999999</v>
      </c>
      <c r="R127">
        <v>1.288</v>
      </c>
      <c r="S127">
        <v>1.5549999999999999</v>
      </c>
      <c r="T127">
        <v>1.6839999999999999</v>
      </c>
      <c r="U127">
        <v>1.8220000000000001</v>
      </c>
      <c r="V127">
        <v>2.0920000000000001</v>
      </c>
      <c r="W127">
        <v>1.0409999999999999</v>
      </c>
      <c r="X127">
        <v>88</v>
      </c>
      <c r="AC127" t="s">
        <v>237</v>
      </c>
      <c r="AD127">
        <v>1.2589999999999999</v>
      </c>
      <c r="AE127">
        <v>0.14899999999999999</v>
      </c>
      <c r="AF127">
        <v>1.002</v>
      </c>
      <c r="AG127">
        <v>1.157</v>
      </c>
      <c r="AH127">
        <v>1.246</v>
      </c>
      <c r="AI127">
        <v>1.351</v>
      </c>
      <c r="AJ127">
        <v>1.591</v>
      </c>
      <c r="AK127">
        <v>1.0049999999999999</v>
      </c>
      <c r="AL127">
        <v>460</v>
      </c>
      <c r="AQ127" t="s">
        <v>237</v>
      </c>
      <c r="AR127">
        <v>1.2250000000000001</v>
      </c>
      <c r="AS127">
        <v>0.13700000000000001</v>
      </c>
      <c r="AT127">
        <v>0.98099999999999998</v>
      </c>
      <c r="AU127">
        <v>1.129</v>
      </c>
      <c r="AV127">
        <v>1.218</v>
      </c>
      <c r="AW127">
        <v>1.3080000000000001</v>
      </c>
      <c r="AX127">
        <v>1.5209999999999999</v>
      </c>
      <c r="AY127">
        <v>1.004</v>
      </c>
      <c r="AZ127">
        <v>690</v>
      </c>
      <c r="BE127" t="s">
        <v>237</v>
      </c>
      <c r="BF127">
        <v>1.234</v>
      </c>
      <c r="BG127">
        <v>0.123</v>
      </c>
      <c r="BH127">
        <v>1.004</v>
      </c>
      <c r="BI127">
        <v>1.151</v>
      </c>
      <c r="BJ127">
        <v>1.23</v>
      </c>
      <c r="BK127">
        <v>1.31</v>
      </c>
      <c r="BL127">
        <v>1.4970000000000001</v>
      </c>
      <c r="BM127">
        <v>1.081</v>
      </c>
      <c r="BN127">
        <v>30</v>
      </c>
      <c r="BS127" t="s">
        <v>237</v>
      </c>
      <c r="BT127">
        <v>1.1890000000000001</v>
      </c>
      <c r="BU127">
        <v>0.122</v>
      </c>
      <c r="BV127">
        <v>0.96799999999999997</v>
      </c>
      <c r="BW127">
        <v>1.1020000000000001</v>
      </c>
      <c r="BX127">
        <v>1.1830000000000001</v>
      </c>
      <c r="BY127">
        <v>1.268</v>
      </c>
      <c r="BZ127">
        <v>1.446</v>
      </c>
      <c r="CA127">
        <v>1.006</v>
      </c>
      <c r="CB127">
        <v>1200</v>
      </c>
      <c r="CG127" t="s">
        <v>237</v>
      </c>
      <c r="CH127">
        <v>1.2609999999999999</v>
      </c>
      <c r="CI127">
        <v>0.13400000000000001</v>
      </c>
      <c r="CJ127">
        <v>1.0149999999999999</v>
      </c>
      <c r="CK127">
        <v>1.165</v>
      </c>
      <c r="CL127">
        <v>1.2589999999999999</v>
      </c>
      <c r="CM127">
        <v>1.351</v>
      </c>
      <c r="CN127">
        <v>1.53</v>
      </c>
      <c r="CO127">
        <v>1.091</v>
      </c>
      <c r="CP127">
        <v>30</v>
      </c>
      <c r="CU127" t="s">
        <v>237</v>
      </c>
      <c r="CV127">
        <v>1.4330000000000001</v>
      </c>
      <c r="CW127">
        <v>0.189</v>
      </c>
      <c r="CX127">
        <v>1.101</v>
      </c>
      <c r="CY127">
        <v>1.298</v>
      </c>
      <c r="CZ127">
        <v>1.4239999999999999</v>
      </c>
      <c r="DA127">
        <v>1.5629999999999999</v>
      </c>
      <c r="DB127">
        <v>1.8220000000000001</v>
      </c>
      <c r="DC127">
        <v>1.0309999999999999</v>
      </c>
      <c r="DD127">
        <v>74</v>
      </c>
      <c r="DI127" t="s">
        <v>237</v>
      </c>
      <c r="DJ127">
        <v>1.304</v>
      </c>
      <c r="DK127">
        <v>0.15</v>
      </c>
      <c r="DL127">
        <v>1.042</v>
      </c>
      <c r="DM127">
        <v>1.1970000000000001</v>
      </c>
      <c r="DN127">
        <v>1.2949999999999999</v>
      </c>
      <c r="DO127">
        <v>1.4</v>
      </c>
      <c r="DP127">
        <v>1.615</v>
      </c>
      <c r="DQ127">
        <v>1.016</v>
      </c>
      <c r="DR127">
        <v>130</v>
      </c>
      <c r="DY127" t="s">
        <v>237</v>
      </c>
      <c r="DZ127">
        <v>1.292</v>
      </c>
      <c r="EA127">
        <v>0.14199999999999999</v>
      </c>
      <c r="EB127">
        <v>1.032</v>
      </c>
      <c r="EC127">
        <v>1.194</v>
      </c>
      <c r="ED127">
        <v>1.284</v>
      </c>
      <c r="EE127">
        <v>1.38</v>
      </c>
      <c r="EF127">
        <v>1.587</v>
      </c>
      <c r="EG127">
        <v>1.008</v>
      </c>
      <c r="EH127">
        <v>270</v>
      </c>
      <c r="EK127" t="s">
        <v>237</v>
      </c>
      <c r="EL127">
        <v>0.872</v>
      </c>
      <c r="EM127">
        <v>0.122</v>
      </c>
      <c r="EN127">
        <v>0.65400000000000003</v>
      </c>
      <c r="EO127">
        <v>0.78600000000000003</v>
      </c>
      <c r="EP127">
        <v>0.86399999999999999</v>
      </c>
      <c r="EQ127">
        <v>0.95</v>
      </c>
      <c r="ER127">
        <v>1.119</v>
      </c>
      <c r="ES127">
        <v>1.0069999999999999</v>
      </c>
      <c r="ET127">
        <v>280</v>
      </c>
      <c r="EY127" t="s">
        <v>237</v>
      </c>
      <c r="EZ127">
        <v>1.2210000000000001</v>
      </c>
      <c r="FA127">
        <v>0.14599999999999999</v>
      </c>
      <c r="FB127">
        <v>0.96799999999999997</v>
      </c>
      <c r="FC127">
        <v>1.1180000000000001</v>
      </c>
      <c r="FD127">
        <v>1.2090000000000001</v>
      </c>
      <c r="FE127">
        <v>1.3069999999999999</v>
      </c>
      <c r="FF127">
        <v>1.54</v>
      </c>
      <c r="FG127">
        <v>1.0029999999999999</v>
      </c>
      <c r="FH127">
        <v>710</v>
      </c>
      <c r="GA127" t="s">
        <v>144</v>
      </c>
      <c r="GB127" t="s">
        <v>14</v>
      </c>
      <c r="GC127" t="s">
        <v>145</v>
      </c>
      <c r="GD127" t="s">
        <v>26</v>
      </c>
      <c r="GE127" t="s">
        <v>146</v>
      </c>
      <c r="GF127" t="s">
        <v>147</v>
      </c>
      <c r="GG127" t="s">
        <v>148</v>
      </c>
      <c r="GH127" t="s">
        <v>149</v>
      </c>
      <c r="GI127" t="s">
        <v>150</v>
      </c>
      <c r="GJ127" t="s">
        <v>151</v>
      </c>
      <c r="GK127" t="s">
        <v>152</v>
      </c>
      <c r="GL127" t="s">
        <v>153</v>
      </c>
      <c r="GO127" t="s">
        <v>237</v>
      </c>
      <c r="GP127">
        <v>1.2390000000000001</v>
      </c>
      <c r="GQ127">
        <v>0.152</v>
      </c>
      <c r="GR127">
        <v>0.97399999999999998</v>
      </c>
      <c r="GS127">
        <v>1.1339999999999999</v>
      </c>
      <c r="GT127">
        <v>1.228</v>
      </c>
      <c r="GU127">
        <v>1.3320000000000001</v>
      </c>
      <c r="GV127">
        <v>1.5820000000000001</v>
      </c>
      <c r="GW127">
        <v>1.0009999999999999</v>
      </c>
      <c r="GX127">
        <v>2200</v>
      </c>
      <c r="HC127" t="s">
        <v>144</v>
      </c>
      <c r="HD127" t="s">
        <v>14</v>
      </c>
      <c r="HE127" t="s">
        <v>145</v>
      </c>
      <c r="HF127" t="s">
        <v>26</v>
      </c>
      <c r="HG127" t="s">
        <v>146</v>
      </c>
      <c r="HH127" t="s">
        <v>147</v>
      </c>
      <c r="HI127" t="s">
        <v>148</v>
      </c>
      <c r="HJ127" t="s">
        <v>149</v>
      </c>
      <c r="HK127" t="s">
        <v>150</v>
      </c>
      <c r="HL127" t="s">
        <v>151</v>
      </c>
      <c r="HM127" t="s">
        <v>152</v>
      </c>
      <c r="HN127" t="s">
        <v>153</v>
      </c>
      <c r="HP127" s="7"/>
      <c r="HQ127" s="7" t="s">
        <v>144</v>
      </c>
      <c r="HR127" s="7" t="s">
        <v>14</v>
      </c>
      <c r="HS127" s="7" t="s">
        <v>145</v>
      </c>
      <c r="HT127" s="7" t="s">
        <v>26</v>
      </c>
      <c r="HU127" s="7" t="s">
        <v>146</v>
      </c>
      <c r="HV127" s="7" t="s">
        <v>147</v>
      </c>
      <c r="HW127" s="7" t="s">
        <v>148</v>
      </c>
      <c r="HX127" s="7" t="s">
        <v>149</v>
      </c>
      <c r="HY127" s="7" t="s">
        <v>150</v>
      </c>
      <c r="HZ127" s="7" t="s">
        <v>151</v>
      </c>
      <c r="IA127" s="7" t="s">
        <v>152</v>
      </c>
      <c r="IB127" t="s">
        <v>153</v>
      </c>
      <c r="IE127" t="s">
        <v>167</v>
      </c>
      <c r="IF127" t="s">
        <v>20</v>
      </c>
      <c r="IG127">
        <v>385.6</v>
      </c>
      <c r="IH127" t="s">
        <v>154</v>
      </c>
      <c r="II127" t="s">
        <v>163</v>
      </c>
      <c r="IJ127" t="s">
        <v>20</v>
      </c>
      <c r="IK127">
        <v>2058.5</v>
      </c>
      <c r="JF127" t="s">
        <v>167</v>
      </c>
      <c r="JG127" t="s">
        <v>20</v>
      </c>
      <c r="JH127">
        <v>390.9</v>
      </c>
      <c r="JI127" t="s">
        <v>154</v>
      </c>
      <c r="JJ127" t="s">
        <v>163</v>
      </c>
      <c r="JK127" t="s">
        <v>20</v>
      </c>
      <c r="JL127">
        <v>2064</v>
      </c>
      <c r="JT127" t="s">
        <v>144</v>
      </c>
      <c r="JU127" t="s">
        <v>14</v>
      </c>
      <c r="JV127" t="s">
        <v>145</v>
      </c>
      <c r="JW127" t="s">
        <v>26</v>
      </c>
      <c r="JX127" t="s">
        <v>146</v>
      </c>
      <c r="JY127" t="s">
        <v>147</v>
      </c>
      <c r="JZ127" t="s">
        <v>148</v>
      </c>
      <c r="KA127" t="s">
        <v>149</v>
      </c>
      <c r="KB127" t="s">
        <v>150</v>
      </c>
      <c r="KC127" t="s">
        <v>151</v>
      </c>
      <c r="KD127" t="s">
        <v>152</v>
      </c>
      <c r="KE127" t="s">
        <v>153</v>
      </c>
      <c r="KH127" t="s">
        <v>144</v>
      </c>
      <c r="KI127" t="s">
        <v>14</v>
      </c>
      <c r="KJ127" t="s">
        <v>145</v>
      </c>
      <c r="KK127" t="s">
        <v>26</v>
      </c>
      <c r="KL127" t="s">
        <v>146</v>
      </c>
      <c r="KM127" t="s">
        <v>147</v>
      </c>
      <c r="KN127" t="s">
        <v>148</v>
      </c>
      <c r="KO127" t="s">
        <v>149</v>
      </c>
      <c r="KP127" t="s">
        <v>150</v>
      </c>
      <c r="KQ127" t="s">
        <v>151</v>
      </c>
      <c r="KR127" t="s">
        <v>152</v>
      </c>
      <c r="KS127" t="s">
        <v>153</v>
      </c>
      <c r="KV127" t="s">
        <v>154</v>
      </c>
      <c r="KW127" t="s">
        <v>25</v>
      </c>
      <c r="KX127" t="s">
        <v>146</v>
      </c>
      <c r="KY127" t="s">
        <v>155</v>
      </c>
      <c r="KZ127" t="s">
        <v>156</v>
      </c>
      <c r="LA127" t="s">
        <v>157</v>
      </c>
      <c r="LB127" t="s">
        <v>158</v>
      </c>
      <c r="LC127" t="s">
        <v>159</v>
      </c>
      <c r="LD127" t="s">
        <v>160</v>
      </c>
      <c r="LE127" t="s">
        <v>161</v>
      </c>
      <c r="LF127" t="s">
        <v>162</v>
      </c>
      <c r="ML127" t="s">
        <v>154</v>
      </c>
      <c r="MM127" t="s">
        <v>25</v>
      </c>
      <c r="MN127" t="s">
        <v>146</v>
      </c>
      <c r="MO127" t="s">
        <v>155</v>
      </c>
      <c r="MP127" t="s">
        <v>156</v>
      </c>
      <c r="MQ127" t="s">
        <v>157</v>
      </c>
      <c r="MR127" t="s">
        <v>158</v>
      </c>
      <c r="MS127" t="s">
        <v>159</v>
      </c>
      <c r="MT127" t="s">
        <v>160</v>
      </c>
      <c r="MU127" t="s">
        <v>161</v>
      </c>
      <c r="MV127" t="s">
        <v>162</v>
      </c>
      <c r="MZ127" t="s">
        <v>154</v>
      </c>
      <c r="NA127" t="s">
        <v>25</v>
      </c>
      <c r="NB127" t="s">
        <v>146</v>
      </c>
      <c r="NC127" t="s">
        <v>155</v>
      </c>
      <c r="ND127" t="s">
        <v>156</v>
      </c>
      <c r="NE127" t="s">
        <v>157</v>
      </c>
      <c r="NF127" t="s">
        <v>158</v>
      </c>
      <c r="NG127" t="s">
        <v>159</v>
      </c>
      <c r="NH127" t="s">
        <v>160</v>
      </c>
      <c r="NI127" t="s">
        <v>161</v>
      </c>
      <c r="NJ127" t="s">
        <v>162</v>
      </c>
    </row>
    <row r="128" spans="1:456">
      <c r="A128" t="s">
        <v>238</v>
      </c>
      <c r="B128">
        <v>0.40600000000000003</v>
      </c>
      <c r="C128">
        <v>0.28000000000000003</v>
      </c>
      <c r="D128">
        <v>2.9000000000000001E-2</v>
      </c>
      <c r="E128">
        <v>0.17699999999999999</v>
      </c>
      <c r="F128">
        <v>0.35199999999999998</v>
      </c>
      <c r="G128">
        <v>0.59799999999999998</v>
      </c>
      <c r="H128">
        <v>1.038</v>
      </c>
      <c r="I128">
        <v>1.0620000000000001</v>
      </c>
      <c r="J128">
        <v>42</v>
      </c>
      <c r="O128" t="s">
        <v>238</v>
      </c>
      <c r="P128">
        <v>2.855</v>
      </c>
      <c r="Q128">
        <v>1.464</v>
      </c>
      <c r="R128">
        <v>0.96799999999999997</v>
      </c>
      <c r="S128">
        <v>1.655</v>
      </c>
      <c r="T128">
        <v>2.4990000000000001</v>
      </c>
      <c r="U128">
        <v>3.8149999999999999</v>
      </c>
      <c r="V128">
        <v>6.26</v>
      </c>
      <c r="W128">
        <v>1.0029999999999999</v>
      </c>
      <c r="X128">
        <v>3000</v>
      </c>
      <c r="AC128" t="s">
        <v>238</v>
      </c>
      <c r="AD128">
        <v>0.89700000000000002</v>
      </c>
      <c r="AE128">
        <v>0.26600000000000001</v>
      </c>
      <c r="AF128">
        <v>0.152</v>
      </c>
      <c r="AG128">
        <v>0.76300000000000001</v>
      </c>
      <c r="AH128">
        <v>0.91100000000000003</v>
      </c>
      <c r="AI128">
        <v>1.0580000000000001</v>
      </c>
      <c r="AJ128">
        <v>1.3620000000000001</v>
      </c>
      <c r="AK128">
        <v>1.1180000000000001</v>
      </c>
      <c r="AL128">
        <v>89</v>
      </c>
      <c r="AQ128" t="s">
        <v>238</v>
      </c>
      <c r="AR128">
        <v>0.89600000000000002</v>
      </c>
      <c r="AS128">
        <v>0.219</v>
      </c>
      <c r="AT128">
        <v>0.42599999999999999</v>
      </c>
      <c r="AU128">
        <v>0.76500000000000001</v>
      </c>
      <c r="AV128">
        <v>0.89800000000000002</v>
      </c>
      <c r="AW128">
        <v>1.036</v>
      </c>
      <c r="AX128">
        <v>1.329</v>
      </c>
      <c r="AY128">
        <v>1.0209999999999999</v>
      </c>
      <c r="AZ128">
        <v>1800</v>
      </c>
      <c r="BE128" t="s">
        <v>238</v>
      </c>
      <c r="BF128">
        <v>0.95499999999999996</v>
      </c>
      <c r="BG128">
        <v>0.23799999999999999</v>
      </c>
      <c r="BH128">
        <v>0.49299999999999999</v>
      </c>
      <c r="BI128">
        <v>0.79700000000000004</v>
      </c>
      <c r="BJ128">
        <v>0.95299999999999996</v>
      </c>
      <c r="BK128">
        <v>1.105</v>
      </c>
      <c r="BL128">
        <v>1.4319999999999999</v>
      </c>
      <c r="BM128">
        <v>1.07</v>
      </c>
      <c r="BN128">
        <v>34</v>
      </c>
      <c r="BS128" t="s">
        <v>238</v>
      </c>
      <c r="BT128">
        <v>1.0089999999999999</v>
      </c>
      <c r="BU128">
        <v>0.22800000000000001</v>
      </c>
      <c r="BV128">
        <v>0.58099999999999996</v>
      </c>
      <c r="BW128">
        <v>0.85499999999999998</v>
      </c>
      <c r="BX128">
        <v>0.997</v>
      </c>
      <c r="BY128">
        <v>1.1439999999999999</v>
      </c>
      <c r="BZ128">
        <v>1.5209999999999999</v>
      </c>
      <c r="CA128">
        <v>1.012</v>
      </c>
      <c r="CB128">
        <v>270</v>
      </c>
      <c r="CG128" t="s">
        <v>238</v>
      </c>
      <c r="CH128">
        <v>0.94499999999999995</v>
      </c>
      <c r="CI128">
        <v>0.219</v>
      </c>
      <c r="CJ128">
        <v>0.55800000000000005</v>
      </c>
      <c r="CK128">
        <v>0.79</v>
      </c>
      <c r="CL128">
        <v>0.93899999999999995</v>
      </c>
      <c r="CM128">
        <v>1.089</v>
      </c>
      <c r="CN128">
        <v>1.391</v>
      </c>
      <c r="CO128">
        <v>1.0309999999999999</v>
      </c>
      <c r="CP128">
        <v>69</v>
      </c>
      <c r="CU128" t="s">
        <v>238</v>
      </c>
      <c r="CV128">
        <v>0.69199999999999995</v>
      </c>
      <c r="CW128">
        <v>0.32600000000000001</v>
      </c>
      <c r="CX128">
        <v>3.5999999999999997E-2</v>
      </c>
      <c r="CY128">
        <v>0.47299999999999998</v>
      </c>
      <c r="CZ128">
        <v>0.73399999999999999</v>
      </c>
      <c r="DA128">
        <v>0.92700000000000005</v>
      </c>
      <c r="DB128">
        <v>1.246</v>
      </c>
      <c r="DC128">
        <v>1.167</v>
      </c>
      <c r="DD128">
        <v>37</v>
      </c>
      <c r="DI128" t="s">
        <v>238</v>
      </c>
      <c r="DJ128">
        <v>0.878</v>
      </c>
      <c r="DK128">
        <v>0.25700000000000001</v>
      </c>
      <c r="DL128">
        <v>0.29499999999999998</v>
      </c>
      <c r="DM128">
        <v>0.72199999999999998</v>
      </c>
      <c r="DN128">
        <v>0.88400000000000001</v>
      </c>
      <c r="DO128">
        <v>1.0449999999999999</v>
      </c>
      <c r="DP128">
        <v>1.38</v>
      </c>
      <c r="DQ128">
        <v>1.022</v>
      </c>
      <c r="DR128">
        <v>250</v>
      </c>
      <c r="DY128" t="s">
        <v>238</v>
      </c>
      <c r="DZ128">
        <v>0.84</v>
      </c>
      <c r="EA128">
        <v>0.23</v>
      </c>
      <c r="EB128">
        <v>0.378</v>
      </c>
      <c r="EC128">
        <v>0.69</v>
      </c>
      <c r="ED128">
        <v>0.83899999999999997</v>
      </c>
      <c r="EE128">
        <v>0.98299999999999998</v>
      </c>
      <c r="EF128">
        <v>1.2949999999999999</v>
      </c>
      <c r="EG128">
        <v>1.0169999999999999</v>
      </c>
      <c r="EH128">
        <v>130</v>
      </c>
      <c r="EK128" t="s">
        <v>238</v>
      </c>
      <c r="EL128">
        <v>1.3129999999999999</v>
      </c>
      <c r="EM128">
        <v>0.253</v>
      </c>
      <c r="EN128">
        <v>0.89700000000000002</v>
      </c>
      <c r="EO128">
        <v>1.1399999999999999</v>
      </c>
      <c r="EP128">
        <v>1.2869999999999999</v>
      </c>
      <c r="EQ128">
        <v>1.456</v>
      </c>
      <c r="ER128">
        <v>1.8660000000000001</v>
      </c>
      <c r="ES128">
        <v>1.0009999999999999</v>
      </c>
      <c r="ET128">
        <v>1500</v>
      </c>
      <c r="EY128" t="s">
        <v>238</v>
      </c>
      <c r="EZ128">
        <v>1.202</v>
      </c>
      <c r="FA128">
        <v>0.252</v>
      </c>
      <c r="FB128">
        <v>0.74099999999999999</v>
      </c>
      <c r="FC128">
        <v>1.0309999999999999</v>
      </c>
      <c r="FD128">
        <v>1.1879999999999999</v>
      </c>
      <c r="FE128">
        <v>1.36</v>
      </c>
      <c r="FF128">
        <v>1.712</v>
      </c>
      <c r="FG128">
        <v>1.0009999999999999</v>
      </c>
      <c r="FH128">
        <v>3000</v>
      </c>
      <c r="GA128" t="s">
        <v>154</v>
      </c>
      <c r="GB128" t="s">
        <v>25</v>
      </c>
      <c r="GC128" t="s">
        <v>146</v>
      </c>
      <c r="GD128" t="s">
        <v>155</v>
      </c>
      <c r="GE128" t="s">
        <v>156</v>
      </c>
      <c r="GF128" t="s">
        <v>157</v>
      </c>
      <c r="GG128" t="s">
        <v>158</v>
      </c>
      <c r="GH128" t="s">
        <v>159</v>
      </c>
      <c r="GI128" t="s">
        <v>160</v>
      </c>
      <c r="GJ128" t="s">
        <v>161</v>
      </c>
      <c r="GK128" t="s">
        <v>162</v>
      </c>
      <c r="GO128" t="s">
        <v>238</v>
      </c>
      <c r="GP128">
        <v>1.1499999999999999</v>
      </c>
      <c r="GQ128">
        <v>0.23899999999999999</v>
      </c>
      <c r="GR128">
        <v>0.71699999999999997</v>
      </c>
      <c r="GS128">
        <v>0.98299999999999998</v>
      </c>
      <c r="GT128">
        <v>1.1399999999999999</v>
      </c>
      <c r="GU128">
        <v>1.2989999999999999</v>
      </c>
      <c r="GV128">
        <v>1.6459999999999999</v>
      </c>
      <c r="GW128">
        <v>1.0069999999999999</v>
      </c>
      <c r="GX128">
        <v>360</v>
      </c>
      <c r="HC128" t="s">
        <v>154</v>
      </c>
      <c r="HD128" t="s">
        <v>25</v>
      </c>
      <c r="HE128" t="s">
        <v>146</v>
      </c>
      <c r="HF128" t="s">
        <v>155</v>
      </c>
      <c r="HG128" t="s">
        <v>156</v>
      </c>
      <c r="HH128" t="s">
        <v>157</v>
      </c>
      <c r="HI128" t="s">
        <v>158</v>
      </c>
      <c r="HJ128" t="s">
        <v>159</v>
      </c>
      <c r="HK128" t="s">
        <v>160</v>
      </c>
      <c r="HL128" t="s">
        <v>161</v>
      </c>
      <c r="HM128" t="s">
        <v>162</v>
      </c>
      <c r="HP128" s="7"/>
      <c r="HQ128" s="7" t="s">
        <v>154</v>
      </c>
      <c r="HR128" s="7" t="s">
        <v>25</v>
      </c>
      <c r="HS128" s="7" t="s">
        <v>146</v>
      </c>
      <c r="HT128" s="7" t="s">
        <v>155</v>
      </c>
      <c r="HU128" s="7" t="s">
        <v>156</v>
      </c>
      <c r="HV128" s="7" t="s">
        <v>157</v>
      </c>
      <c r="HW128" s="7" t="s">
        <v>158</v>
      </c>
      <c r="HX128" s="7" t="s">
        <v>159</v>
      </c>
      <c r="HY128" s="7" t="s">
        <v>160</v>
      </c>
      <c r="HZ128" s="7" t="s">
        <v>161</v>
      </c>
      <c r="IA128" s="7" t="s">
        <v>162</v>
      </c>
      <c r="IE128" t="s">
        <v>163</v>
      </c>
      <c r="IF128" t="s">
        <v>146</v>
      </c>
      <c r="IG128" t="s">
        <v>169</v>
      </c>
      <c r="IH128" t="s">
        <v>170</v>
      </c>
      <c r="II128" t="s">
        <v>150</v>
      </c>
      <c r="IJ128" t="s">
        <v>171</v>
      </c>
      <c r="IK128" t="s">
        <v>172</v>
      </c>
      <c r="IL128" t="s">
        <v>173</v>
      </c>
      <c r="IM128" t="s">
        <v>174</v>
      </c>
      <c r="IN128" t="s">
        <v>143</v>
      </c>
      <c r="IO128" t="s">
        <v>146</v>
      </c>
      <c r="IP128" t="s">
        <v>175</v>
      </c>
      <c r="JF128" t="s">
        <v>163</v>
      </c>
      <c r="JG128" t="s">
        <v>146</v>
      </c>
      <c r="JH128" t="s">
        <v>169</v>
      </c>
      <c r="JI128" t="s">
        <v>170</v>
      </c>
      <c r="JJ128" t="s">
        <v>150</v>
      </c>
      <c r="JK128" t="s">
        <v>171</v>
      </c>
      <c r="JL128" t="s">
        <v>172</v>
      </c>
      <c r="JM128" t="s">
        <v>173</v>
      </c>
      <c r="JN128" t="s">
        <v>174</v>
      </c>
      <c r="JO128" t="s">
        <v>143</v>
      </c>
      <c r="JP128" t="s">
        <v>146</v>
      </c>
      <c r="JQ128" t="s">
        <v>175</v>
      </c>
      <c r="JT128" t="s">
        <v>154</v>
      </c>
      <c r="JU128" t="s">
        <v>25</v>
      </c>
      <c r="JV128" t="s">
        <v>146</v>
      </c>
      <c r="JW128" t="s">
        <v>155</v>
      </c>
      <c r="JX128" t="s">
        <v>156</v>
      </c>
      <c r="JY128" t="s">
        <v>157</v>
      </c>
      <c r="JZ128" t="s">
        <v>158</v>
      </c>
      <c r="KA128" t="s">
        <v>159</v>
      </c>
      <c r="KB128" t="s">
        <v>160</v>
      </c>
      <c r="KC128" t="s">
        <v>161</v>
      </c>
      <c r="KD128" t="s">
        <v>162</v>
      </c>
      <c r="KH128" t="s">
        <v>154</v>
      </c>
      <c r="KI128" t="s">
        <v>25</v>
      </c>
      <c r="KJ128" t="s">
        <v>146</v>
      </c>
      <c r="KK128" t="s">
        <v>155</v>
      </c>
      <c r="KL128" t="s">
        <v>156</v>
      </c>
      <c r="KM128" t="s">
        <v>157</v>
      </c>
      <c r="KN128" t="s">
        <v>158</v>
      </c>
      <c r="KO128" t="s">
        <v>159</v>
      </c>
      <c r="KP128" t="s">
        <v>160</v>
      </c>
      <c r="KQ128" t="s">
        <v>161</v>
      </c>
      <c r="KR128" t="s">
        <v>162</v>
      </c>
      <c r="NM128" t="s">
        <v>163</v>
      </c>
      <c r="NN128" t="s">
        <v>164</v>
      </c>
      <c r="NO128" t="s">
        <v>165</v>
      </c>
      <c r="NP128" t="s">
        <v>155</v>
      </c>
      <c r="NQ128" t="s">
        <v>166</v>
      </c>
      <c r="NR128" t="s">
        <v>167</v>
      </c>
      <c r="NS128" t="s">
        <v>20</v>
      </c>
      <c r="NT128" t="s">
        <v>168</v>
      </c>
      <c r="NY128" t="s">
        <v>163</v>
      </c>
      <c r="NZ128" t="s">
        <v>164</v>
      </c>
      <c r="OA128" t="s">
        <v>165</v>
      </c>
      <c r="OB128" t="s">
        <v>155</v>
      </c>
      <c r="OC128" t="s">
        <v>166</v>
      </c>
      <c r="OD128" t="s">
        <v>167</v>
      </c>
      <c r="OE128" t="s">
        <v>20</v>
      </c>
      <c r="OF128" t="s">
        <v>168</v>
      </c>
      <c r="OP128" t="s">
        <v>163</v>
      </c>
      <c r="OQ128" t="s">
        <v>164</v>
      </c>
      <c r="OR128" t="s">
        <v>165</v>
      </c>
      <c r="OS128" t="s">
        <v>155</v>
      </c>
      <c r="OT128" t="s">
        <v>166</v>
      </c>
      <c r="OU128" t="s">
        <v>167</v>
      </c>
      <c r="OV128" t="s">
        <v>20</v>
      </c>
      <c r="OW128" t="s">
        <v>168</v>
      </c>
      <c r="PB128" t="s">
        <v>163</v>
      </c>
      <c r="PC128" t="s">
        <v>164</v>
      </c>
      <c r="PD128" t="s">
        <v>165</v>
      </c>
      <c r="PE128" t="s">
        <v>155</v>
      </c>
      <c r="PF128" t="s">
        <v>166</v>
      </c>
      <c r="PG128" t="s">
        <v>167</v>
      </c>
      <c r="PH128" t="s">
        <v>20</v>
      </c>
      <c r="PI128" t="s">
        <v>168</v>
      </c>
      <c r="PN128" t="s">
        <v>163</v>
      </c>
      <c r="PO128" t="s">
        <v>164</v>
      </c>
      <c r="PP128" t="s">
        <v>165</v>
      </c>
      <c r="PQ128" t="s">
        <v>155</v>
      </c>
      <c r="PR128" t="s">
        <v>166</v>
      </c>
      <c r="PS128" t="s">
        <v>167</v>
      </c>
      <c r="PT128" t="s">
        <v>20</v>
      </c>
      <c r="PU128" t="s">
        <v>168</v>
      </c>
      <c r="QA128" t="s">
        <v>163</v>
      </c>
      <c r="QB128" t="s">
        <v>164</v>
      </c>
      <c r="QC128" t="s">
        <v>165</v>
      </c>
      <c r="QD128" t="s">
        <v>155</v>
      </c>
      <c r="QE128" t="s">
        <v>166</v>
      </c>
      <c r="QF128" t="s">
        <v>167</v>
      </c>
      <c r="QG128" t="s">
        <v>20</v>
      </c>
      <c r="QH128" t="s">
        <v>168</v>
      </c>
    </row>
    <row r="129" spans="1:454">
      <c r="A129" t="s">
        <v>143</v>
      </c>
      <c r="B129">
        <v>2424.808</v>
      </c>
      <c r="C129">
        <v>47.508000000000003</v>
      </c>
      <c r="D129">
        <v>2335.39</v>
      </c>
      <c r="E129">
        <v>2391.3009999999999</v>
      </c>
      <c r="F129">
        <v>2423.61</v>
      </c>
      <c r="G129">
        <v>2456.3319999999999</v>
      </c>
      <c r="H129">
        <v>2517.8150000000001</v>
      </c>
      <c r="I129">
        <v>1.002</v>
      </c>
      <c r="J129">
        <v>1200</v>
      </c>
      <c r="O129" t="s">
        <v>143</v>
      </c>
      <c r="P129">
        <v>2494.6410000000001</v>
      </c>
      <c r="Q129">
        <v>48.38</v>
      </c>
      <c r="R129">
        <v>2401.1469999999999</v>
      </c>
      <c r="S129">
        <v>2461.7260000000001</v>
      </c>
      <c r="T129">
        <v>2493.1770000000001</v>
      </c>
      <c r="U129">
        <v>2525.5500000000002</v>
      </c>
      <c r="V129">
        <v>2594.6170000000002</v>
      </c>
      <c r="W129">
        <v>1.0009999999999999</v>
      </c>
      <c r="X129">
        <v>3000</v>
      </c>
      <c r="AC129" t="s">
        <v>289</v>
      </c>
      <c r="AD129">
        <v>773.51300000000003</v>
      </c>
      <c r="AE129">
        <v>444.84199999999998</v>
      </c>
      <c r="AF129">
        <v>65.218999999999994</v>
      </c>
      <c r="AG129">
        <v>398.67399999999998</v>
      </c>
      <c r="AH129">
        <v>736.92700000000002</v>
      </c>
      <c r="AI129">
        <v>1146.078</v>
      </c>
      <c r="AJ129">
        <v>1555.7260000000001</v>
      </c>
      <c r="AK129">
        <v>1.0009999999999999</v>
      </c>
      <c r="AL129">
        <v>3000</v>
      </c>
      <c r="AQ129" t="s">
        <v>289</v>
      </c>
      <c r="AR129">
        <v>813.78700000000003</v>
      </c>
      <c r="AS129">
        <v>436.96100000000001</v>
      </c>
      <c r="AT129">
        <v>93.866</v>
      </c>
      <c r="AU129">
        <v>440.815</v>
      </c>
      <c r="AV129">
        <v>788.33600000000001</v>
      </c>
      <c r="AW129">
        <v>1188.287</v>
      </c>
      <c r="AX129">
        <v>1560.345</v>
      </c>
      <c r="AY129">
        <v>1.002</v>
      </c>
      <c r="AZ129">
        <v>1700</v>
      </c>
      <c r="BE129" t="s">
        <v>289</v>
      </c>
      <c r="BF129">
        <v>71.155000000000001</v>
      </c>
      <c r="BG129">
        <v>31.356999999999999</v>
      </c>
      <c r="BH129">
        <v>41.182000000000002</v>
      </c>
      <c r="BI129">
        <v>55.433999999999997</v>
      </c>
      <c r="BJ129">
        <v>64.39</v>
      </c>
      <c r="BK129">
        <v>76.039000000000001</v>
      </c>
      <c r="BL129">
        <v>169.292</v>
      </c>
      <c r="BM129">
        <v>1.0269999999999999</v>
      </c>
      <c r="BN129">
        <v>220</v>
      </c>
      <c r="BS129" t="s">
        <v>143</v>
      </c>
      <c r="BT129">
        <v>3224.386</v>
      </c>
      <c r="BU129">
        <v>50.326000000000001</v>
      </c>
      <c r="BV129">
        <v>3126.6010000000001</v>
      </c>
      <c r="BW129">
        <v>3189.5729999999999</v>
      </c>
      <c r="BX129">
        <v>3223.7750000000001</v>
      </c>
      <c r="BY129">
        <v>3258.0610000000001</v>
      </c>
      <c r="BZ129">
        <v>3324.0459999999998</v>
      </c>
      <c r="CA129">
        <v>1.0029999999999999</v>
      </c>
      <c r="CB129">
        <v>680</v>
      </c>
      <c r="CG129" t="s">
        <v>143</v>
      </c>
      <c r="CH129">
        <v>3221.5369999999998</v>
      </c>
      <c r="CI129">
        <v>49.698999999999998</v>
      </c>
      <c r="CJ129">
        <v>3123.7069999999999</v>
      </c>
      <c r="CK129">
        <v>3186.538</v>
      </c>
      <c r="CL129">
        <v>3221.777</v>
      </c>
      <c r="CM129">
        <v>3255.9119999999998</v>
      </c>
      <c r="CN129">
        <v>3315.7289999999998</v>
      </c>
      <c r="CO129">
        <v>1.0009999999999999</v>
      </c>
      <c r="CP129">
        <v>3000</v>
      </c>
      <c r="CU129" t="s">
        <v>289</v>
      </c>
      <c r="CV129">
        <v>113.223</v>
      </c>
      <c r="CW129">
        <v>233.75899999999999</v>
      </c>
      <c r="CX129">
        <v>40.122999999999998</v>
      </c>
      <c r="CY129">
        <v>53.758000000000003</v>
      </c>
      <c r="CZ129">
        <v>62.319000000000003</v>
      </c>
      <c r="DA129">
        <v>71.430999999999997</v>
      </c>
      <c r="DB129">
        <v>1124.681</v>
      </c>
      <c r="DC129">
        <v>1.355</v>
      </c>
      <c r="DD129">
        <v>20</v>
      </c>
      <c r="DI129" t="s">
        <v>289</v>
      </c>
      <c r="DJ129">
        <v>4.4660000000000002</v>
      </c>
      <c r="DK129">
        <v>1.329</v>
      </c>
      <c r="DL129">
        <v>1.7969999999999999</v>
      </c>
      <c r="DM129">
        <v>3.5310000000000001</v>
      </c>
      <c r="DN129">
        <v>4.5039999999999996</v>
      </c>
      <c r="DO129">
        <v>5.4550000000000001</v>
      </c>
      <c r="DP129">
        <v>6.9370000000000003</v>
      </c>
      <c r="DQ129">
        <v>1.0009999999999999</v>
      </c>
      <c r="DR129">
        <v>3000</v>
      </c>
      <c r="DY129" t="s">
        <v>289</v>
      </c>
      <c r="DZ129">
        <v>4.4930000000000003</v>
      </c>
      <c r="EA129">
        <v>1.1739999999999999</v>
      </c>
      <c r="EB129">
        <v>2.1739999999999999</v>
      </c>
      <c r="EC129">
        <v>3.6659999999999999</v>
      </c>
      <c r="ED129">
        <v>4.54</v>
      </c>
      <c r="EE129">
        <v>5.3159999999999998</v>
      </c>
      <c r="EF129">
        <v>6.742</v>
      </c>
      <c r="EG129">
        <v>1.0009999999999999</v>
      </c>
      <c r="EH129">
        <v>3000</v>
      </c>
      <c r="EK129" t="s">
        <v>143</v>
      </c>
      <c r="EL129">
        <v>2468.779</v>
      </c>
      <c r="EM129">
        <v>48.56</v>
      </c>
      <c r="EN129">
        <v>2381.9029999999998</v>
      </c>
      <c r="EO129">
        <v>2434.605</v>
      </c>
      <c r="EP129">
        <v>2467.451</v>
      </c>
      <c r="EQ129">
        <v>2501.3220000000001</v>
      </c>
      <c r="ER129">
        <v>2566.8620000000001</v>
      </c>
      <c r="ES129">
        <v>1</v>
      </c>
      <c r="ET129">
        <v>1500</v>
      </c>
      <c r="EY129" t="s">
        <v>143</v>
      </c>
      <c r="EZ129">
        <v>2226.2359999999999</v>
      </c>
      <c r="FA129">
        <v>41.871000000000002</v>
      </c>
      <c r="FB129">
        <v>2145.8249999999998</v>
      </c>
      <c r="FC129">
        <v>2197.9650000000001</v>
      </c>
      <c r="FD129">
        <v>2225.431</v>
      </c>
      <c r="FE129">
        <v>2252.8270000000002</v>
      </c>
      <c r="FF129">
        <v>2313.1350000000002</v>
      </c>
      <c r="FG129">
        <v>1.0009999999999999</v>
      </c>
      <c r="FH129">
        <v>3000</v>
      </c>
      <c r="GO129" t="s">
        <v>143</v>
      </c>
      <c r="GP129">
        <v>2224.2330000000002</v>
      </c>
      <c r="GQ129">
        <v>41.225000000000001</v>
      </c>
      <c r="GR129">
        <v>2147.2710000000002</v>
      </c>
      <c r="GS129">
        <v>2196.1129999999998</v>
      </c>
      <c r="GT129">
        <v>2222.91</v>
      </c>
      <c r="GU129">
        <v>2250.8229999999999</v>
      </c>
      <c r="GV129">
        <v>2306.33</v>
      </c>
      <c r="GW129">
        <v>1.0009999999999999</v>
      </c>
      <c r="GX129">
        <v>3000</v>
      </c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KV129" t="s">
        <v>163</v>
      </c>
      <c r="KW129" t="s">
        <v>164</v>
      </c>
      <c r="KX129" t="s">
        <v>165</v>
      </c>
      <c r="KY129" t="s">
        <v>155</v>
      </c>
      <c r="KZ129" t="s">
        <v>166</v>
      </c>
      <c r="LA129" t="s">
        <v>167</v>
      </c>
      <c r="LB129" t="s">
        <v>20</v>
      </c>
      <c r="LC129" t="s">
        <v>168</v>
      </c>
      <c r="ML129" t="s">
        <v>163</v>
      </c>
      <c r="MM129" t="s">
        <v>164</v>
      </c>
      <c r="MN129" t="s">
        <v>165</v>
      </c>
      <c r="MO129" t="s">
        <v>155</v>
      </c>
      <c r="MP129" t="s">
        <v>166</v>
      </c>
      <c r="MQ129" t="s">
        <v>167</v>
      </c>
      <c r="MR129" t="s">
        <v>20</v>
      </c>
      <c r="MS129" t="s">
        <v>168</v>
      </c>
      <c r="MZ129" t="s">
        <v>163</v>
      </c>
      <c r="NA129" t="s">
        <v>164</v>
      </c>
      <c r="NB129" t="s">
        <v>165</v>
      </c>
      <c r="NC129" t="s">
        <v>155</v>
      </c>
      <c r="ND129" t="s">
        <v>166</v>
      </c>
      <c r="NE129" t="s">
        <v>167</v>
      </c>
      <c r="NF129" t="s">
        <v>20</v>
      </c>
      <c r="NG129" t="s">
        <v>168</v>
      </c>
      <c r="NM129" t="s">
        <v>167</v>
      </c>
      <c r="NN129" t="s">
        <v>20</v>
      </c>
      <c r="NO129">
        <v>593.70000000000005</v>
      </c>
      <c r="NP129" t="s">
        <v>154</v>
      </c>
      <c r="NQ129" t="s">
        <v>163</v>
      </c>
      <c r="NR129" t="s">
        <v>20</v>
      </c>
      <c r="NS129">
        <v>2408</v>
      </c>
      <c r="NY129" t="s">
        <v>167</v>
      </c>
      <c r="NZ129" t="s">
        <v>20</v>
      </c>
      <c r="OA129">
        <v>586.9</v>
      </c>
      <c r="OB129" t="s">
        <v>154</v>
      </c>
      <c r="OC129" t="s">
        <v>163</v>
      </c>
      <c r="OD129" t="s">
        <v>20</v>
      </c>
      <c r="OE129">
        <v>2398.8000000000002</v>
      </c>
      <c r="OP129" t="s">
        <v>167</v>
      </c>
      <c r="OQ129" t="s">
        <v>20</v>
      </c>
      <c r="OR129">
        <v>581.79999999999995</v>
      </c>
      <c r="OS129" t="s">
        <v>154</v>
      </c>
      <c r="OT129" t="s">
        <v>163</v>
      </c>
      <c r="OU129" t="s">
        <v>20</v>
      </c>
      <c r="OV129">
        <v>2387.5</v>
      </c>
      <c r="PB129" t="s">
        <v>167</v>
      </c>
      <c r="PC129" t="s">
        <v>20</v>
      </c>
      <c r="PD129">
        <v>661.9</v>
      </c>
      <c r="PE129" t="s">
        <v>154</v>
      </c>
      <c r="PF129" t="s">
        <v>163</v>
      </c>
      <c r="PG129" t="s">
        <v>20</v>
      </c>
      <c r="PH129">
        <v>2520</v>
      </c>
      <c r="PN129" t="s">
        <v>167</v>
      </c>
      <c r="PO129" t="s">
        <v>20</v>
      </c>
      <c r="PP129">
        <v>655.6</v>
      </c>
      <c r="PQ129" t="s">
        <v>154</v>
      </c>
      <c r="PR129" t="s">
        <v>163</v>
      </c>
      <c r="PS129" t="s">
        <v>20</v>
      </c>
      <c r="PT129">
        <v>2515.1</v>
      </c>
      <c r="QA129" t="s">
        <v>167</v>
      </c>
      <c r="QB129" t="s">
        <v>20</v>
      </c>
      <c r="QC129">
        <v>635.1</v>
      </c>
      <c r="QD129" t="s">
        <v>154</v>
      </c>
      <c r="QE129" t="s">
        <v>163</v>
      </c>
      <c r="QF129" t="s">
        <v>20</v>
      </c>
      <c r="QG129">
        <v>2485</v>
      </c>
    </row>
    <row r="130" spans="1:454">
      <c r="AC130" t="s">
        <v>290</v>
      </c>
      <c r="AD130">
        <v>832.35699999999997</v>
      </c>
      <c r="AE130">
        <v>432.31900000000002</v>
      </c>
      <c r="AF130">
        <v>100.315</v>
      </c>
      <c r="AG130">
        <v>469.68799999999999</v>
      </c>
      <c r="AH130">
        <v>820.14499999999998</v>
      </c>
      <c r="AI130">
        <v>1195.662</v>
      </c>
      <c r="AJ130">
        <v>1560.0440000000001</v>
      </c>
      <c r="AK130">
        <v>1.0009999999999999</v>
      </c>
      <c r="AL130">
        <v>3000</v>
      </c>
      <c r="AQ130" t="s">
        <v>290</v>
      </c>
      <c r="AR130">
        <v>871.56500000000005</v>
      </c>
      <c r="AS130">
        <v>426.37400000000002</v>
      </c>
      <c r="AT130">
        <v>119.045</v>
      </c>
      <c r="AU130">
        <v>514.71699999999998</v>
      </c>
      <c r="AV130">
        <v>880.29600000000005</v>
      </c>
      <c r="AW130">
        <v>1233.5429999999999</v>
      </c>
      <c r="AX130">
        <v>1560.5139999999999</v>
      </c>
      <c r="AY130">
        <v>1.0029999999999999</v>
      </c>
      <c r="AZ130">
        <v>890</v>
      </c>
      <c r="BE130" t="s">
        <v>290</v>
      </c>
      <c r="BF130">
        <v>265.28899999999999</v>
      </c>
      <c r="BG130">
        <v>169.328</v>
      </c>
      <c r="BH130">
        <v>160.52500000000001</v>
      </c>
      <c r="BI130">
        <v>192.66499999999999</v>
      </c>
      <c r="BJ130">
        <v>216.465</v>
      </c>
      <c r="BK130">
        <v>253.2</v>
      </c>
      <c r="BL130">
        <v>768.03899999999999</v>
      </c>
      <c r="BM130">
        <v>1.1419999999999999</v>
      </c>
      <c r="BN130">
        <v>36</v>
      </c>
      <c r="CU130" t="s">
        <v>290</v>
      </c>
      <c r="CV130">
        <v>262.24</v>
      </c>
      <c r="CW130">
        <v>204.119</v>
      </c>
      <c r="CX130">
        <v>160.589</v>
      </c>
      <c r="CY130">
        <v>191.03200000000001</v>
      </c>
      <c r="CZ130">
        <v>209.45099999999999</v>
      </c>
      <c r="DA130">
        <v>232.81299999999999</v>
      </c>
      <c r="DB130">
        <v>1028.242</v>
      </c>
      <c r="DC130">
        <v>1.274</v>
      </c>
      <c r="DD130">
        <v>23</v>
      </c>
      <c r="DI130" t="s">
        <v>290</v>
      </c>
      <c r="DJ130">
        <v>4.4329999999999998</v>
      </c>
      <c r="DK130">
        <v>1.34</v>
      </c>
      <c r="DL130">
        <v>1.595</v>
      </c>
      <c r="DM130">
        <v>3.528</v>
      </c>
      <c r="DN130">
        <v>4.4610000000000003</v>
      </c>
      <c r="DO130">
        <v>5.3860000000000001</v>
      </c>
      <c r="DP130">
        <v>6.915</v>
      </c>
      <c r="DQ130">
        <v>1.002</v>
      </c>
      <c r="DR130">
        <v>1800</v>
      </c>
      <c r="DY130" t="s">
        <v>290</v>
      </c>
      <c r="DZ130">
        <v>4.4569999999999999</v>
      </c>
      <c r="EA130">
        <v>1.171</v>
      </c>
      <c r="EB130">
        <v>2.113</v>
      </c>
      <c r="EC130">
        <v>3.6779999999999999</v>
      </c>
      <c r="ED130">
        <v>4.4539999999999997</v>
      </c>
      <c r="EE130">
        <v>5.2869999999999999</v>
      </c>
      <c r="EF130">
        <v>6.7039999999999997</v>
      </c>
      <c r="EG130">
        <v>1.0029999999999999</v>
      </c>
      <c r="EH130">
        <v>1100</v>
      </c>
      <c r="GA130" t="s">
        <v>163</v>
      </c>
      <c r="GB130" t="s">
        <v>164</v>
      </c>
      <c r="GC130" t="s">
        <v>165</v>
      </c>
      <c r="GD130" t="s">
        <v>155</v>
      </c>
      <c r="GE130" t="s">
        <v>166</v>
      </c>
      <c r="GF130" t="s">
        <v>167</v>
      </c>
      <c r="GG130" t="s">
        <v>20</v>
      </c>
      <c r="GH130" t="s">
        <v>168</v>
      </c>
      <c r="HC130" t="s">
        <v>163</v>
      </c>
      <c r="HD130" t="s">
        <v>164</v>
      </c>
      <c r="HE130" t="s">
        <v>165</v>
      </c>
      <c r="HF130" t="s">
        <v>155</v>
      </c>
      <c r="HG130" t="s">
        <v>166</v>
      </c>
      <c r="HH130" t="s">
        <v>167</v>
      </c>
      <c r="HI130" t="s">
        <v>20</v>
      </c>
      <c r="HJ130" t="s">
        <v>168</v>
      </c>
      <c r="HP130" s="7"/>
      <c r="HQ130" s="7" t="s">
        <v>163</v>
      </c>
      <c r="HR130" s="7" t="s">
        <v>164</v>
      </c>
      <c r="HS130" s="7" t="s">
        <v>165</v>
      </c>
      <c r="HT130" s="7" t="s">
        <v>155</v>
      </c>
      <c r="HU130" s="7" t="s">
        <v>166</v>
      </c>
      <c r="HV130" s="7" t="s">
        <v>167</v>
      </c>
      <c r="HW130" s="7" t="s">
        <v>20</v>
      </c>
      <c r="HX130" s="7" t="s">
        <v>168</v>
      </c>
      <c r="HY130" s="7"/>
      <c r="HZ130" s="7"/>
      <c r="IA130" s="7"/>
      <c r="IE130" t="s">
        <v>253</v>
      </c>
      <c r="JT130" t="s">
        <v>163</v>
      </c>
      <c r="JU130" t="s">
        <v>164</v>
      </c>
      <c r="JV130" t="s">
        <v>165</v>
      </c>
      <c r="JW130" t="s">
        <v>155</v>
      </c>
      <c r="JX130" t="s">
        <v>166</v>
      </c>
      <c r="JY130" t="s">
        <v>167</v>
      </c>
      <c r="JZ130" t="s">
        <v>20</v>
      </c>
      <c r="KA130" t="s">
        <v>168</v>
      </c>
      <c r="KH130" t="s">
        <v>163</v>
      </c>
      <c r="KI130" t="s">
        <v>164</v>
      </c>
      <c r="KJ130" t="s">
        <v>165</v>
      </c>
      <c r="KK130" t="s">
        <v>155</v>
      </c>
      <c r="KL130" t="s">
        <v>166</v>
      </c>
      <c r="KM130" t="s">
        <v>167</v>
      </c>
      <c r="KN130" t="s">
        <v>20</v>
      </c>
      <c r="KO130" t="s">
        <v>168</v>
      </c>
      <c r="KV130" t="s">
        <v>167</v>
      </c>
      <c r="KW130" t="s">
        <v>20</v>
      </c>
      <c r="KX130">
        <v>385.7</v>
      </c>
      <c r="KY130" t="s">
        <v>154</v>
      </c>
      <c r="KZ130" t="s">
        <v>163</v>
      </c>
      <c r="LA130" t="s">
        <v>20</v>
      </c>
      <c r="LB130">
        <v>2060</v>
      </c>
      <c r="ML130" t="s">
        <v>167</v>
      </c>
      <c r="MM130" t="s">
        <v>20</v>
      </c>
      <c r="MN130">
        <v>415.3</v>
      </c>
      <c r="MO130" t="s">
        <v>154</v>
      </c>
      <c r="MP130" t="s">
        <v>163</v>
      </c>
      <c r="MQ130" t="s">
        <v>20</v>
      </c>
      <c r="MR130">
        <v>2103.6999999999998</v>
      </c>
      <c r="MZ130" t="s">
        <v>167</v>
      </c>
      <c r="NA130" t="s">
        <v>20</v>
      </c>
      <c r="NB130">
        <v>410.2</v>
      </c>
      <c r="NC130" t="s">
        <v>154</v>
      </c>
      <c r="ND130" t="s">
        <v>163</v>
      </c>
      <c r="NE130" t="s">
        <v>20</v>
      </c>
      <c r="NF130">
        <v>2098.8000000000002</v>
      </c>
      <c r="NM130" t="s">
        <v>163</v>
      </c>
      <c r="NN130" t="s">
        <v>146</v>
      </c>
      <c r="NO130" t="s">
        <v>169</v>
      </c>
      <c r="NP130" t="s">
        <v>170</v>
      </c>
      <c r="NQ130" t="s">
        <v>150</v>
      </c>
      <c r="NR130" t="s">
        <v>171</v>
      </c>
      <c r="NS130" t="s">
        <v>172</v>
      </c>
      <c r="NT130" t="s">
        <v>173</v>
      </c>
      <c r="NU130" t="s">
        <v>174</v>
      </c>
      <c r="NV130" t="s">
        <v>143</v>
      </c>
      <c r="NW130" t="s">
        <v>146</v>
      </c>
      <c r="NX130" t="s">
        <v>175</v>
      </c>
      <c r="NY130" t="s">
        <v>163</v>
      </c>
      <c r="NZ130" t="s">
        <v>146</v>
      </c>
      <c r="OA130" t="s">
        <v>169</v>
      </c>
      <c r="OB130" t="s">
        <v>170</v>
      </c>
      <c r="OC130" t="s">
        <v>150</v>
      </c>
      <c r="OD130" t="s">
        <v>171</v>
      </c>
      <c r="OE130" t="s">
        <v>172</v>
      </c>
      <c r="OF130" t="s">
        <v>173</v>
      </c>
      <c r="OG130" t="s">
        <v>174</v>
      </c>
      <c r="OH130" t="s">
        <v>143</v>
      </c>
      <c r="OI130" t="s">
        <v>146</v>
      </c>
      <c r="OJ130" t="s">
        <v>175</v>
      </c>
      <c r="OP130" t="s">
        <v>163</v>
      </c>
      <c r="OQ130" t="s">
        <v>146</v>
      </c>
      <c r="OR130" t="s">
        <v>169</v>
      </c>
      <c r="OS130" t="s">
        <v>170</v>
      </c>
      <c r="OT130" t="s">
        <v>150</v>
      </c>
      <c r="OU130" t="s">
        <v>171</v>
      </c>
      <c r="OV130" t="s">
        <v>172</v>
      </c>
      <c r="OW130" t="s">
        <v>173</v>
      </c>
      <c r="OX130" t="s">
        <v>174</v>
      </c>
      <c r="OY130" t="s">
        <v>143</v>
      </c>
      <c r="OZ130" t="s">
        <v>146</v>
      </c>
      <c r="PA130" t="s">
        <v>175</v>
      </c>
      <c r="PB130" t="s">
        <v>163</v>
      </c>
      <c r="PC130" t="s">
        <v>146</v>
      </c>
      <c r="PD130" t="s">
        <v>169</v>
      </c>
      <c r="PE130" t="s">
        <v>170</v>
      </c>
      <c r="PF130" t="s">
        <v>150</v>
      </c>
      <c r="PG130" t="s">
        <v>171</v>
      </c>
      <c r="PH130" t="s">
        <v>172</v>
      </c>
      <c r="PI130" t="s">
        <v>173</v>
      </c>
      <c r="PJ130" t="s">
        <v>174</v>
      </c>
      <c r="PK130" t="s">
        <v>143</v>
      </c>
      <c r="PL130" t="s">
        <v>146</v>
      </c>
      <c r="PM130" t="s">
        <v>175</v>
      </c>
      <c r="PN130" t="s">
        <v>163</v>
      </c>
      <c r="PO130" t="s">
        <v>146</v>
      </c>
      <c r="PP130" t="s">
        <v>169</v>
      </c>
      <c r="PQ130" t="s">
        <v>170</v>
      </c>
      <c r="PR130" t="s">
        <v>150</v>
      </c>
      <c r="PS130" t="s">
        <v>171</v>
      </c>
      <c r="PT130" t="s">
        <v>172</v>
      </c>
      <c r="PU130" t="s">
        <v>173</v>
      </c>
      <c r="PV130" t="s">
        <v>174</v>
      </c>
      <c r="PW130" t="s">
        <v>143</v>
      </c>
      <c r="PX130" t="s">
        <v>146</v>
      </c>
      <c r="PY130" t="s">
        <v>175</v>
      </c>
      <c r="QA130" t="s">
        <v>163</v>
      </c>
      <c r="QB130" t="s">
        <v>146</v>
      </c>
      <c r="QC130" t="s">
        <v>169</v>
      </c>
      <c r="QD130" t="s">
        <v>170</v>
      </c>
      <c r="QE130" t="s">
        <v>150</v>
      </c>
      <c r="QF130" t="s">
        <v>171</v>
      </c>
      <c r="QG130" t="s">
        <v>172</v>
      </c>
      <c r="QH130" t="s">
        <v>173</v>
      </c>
      <c r="QI130" t="s">
        <v>174</v>
      </c>
      <c r="QJ130" t="s">
        <v>143</v>
      </c>
      <c r="QK130" t="s">
        <v>146</v>
      </c>
      <c r="QL130" t="s">
        <v>175</v>
      </c>
    </row>
    <row r="131" spans="1:454">
      <c r="A131" t="s">
        <v>144</v>
      </c>
      <c r="B131" t="s">
        <v>14</v>
      </c>
      <c r="C131" t="s">
        <v>145</v>
      </c>
      <c r="D131" t="s">
        <v>26</v>
      </c>
      <c r="E131" t="s">
        <v>146</v>
      </c>
      <c r="F131" t="s">
        <v>147</v>
      </c>
      <c r="G131" t="s">
        <v>148</v>
      </c>
      <c r="H131" t="s">
        <v>149</v>
      </c>
      <c r="I131" t="s">
        <v>150</v>
      </c>
      <c r="J131" t="s">
        <v>151</v>
      </c>
      <c r="K131" t="s">
        <v>152</v>
      </c>
      <c r="L131" t="s">
        <v>153</v>
      </c>
      <c r="O131" t="s">
        <v>144</v>
      </c>
      <c r="P131" t="s">
        <v>14</v>
      </c>
      <c r="Q131" t="s">
        <v>145</v>
      </c>
      <c r="R131" t="s">
        <v>26</v>
      </c>
      <c r="S131" t="s">
        <v>146</v>
      </c>
      <c r="T131" t="s">
        <v>147</v>
      </c>
      <c r="U131" t="s">
        <v>148</v>
      </c>
      <c r="V131" t="s">
        <v>149</v>
      </c>
      <c r="W131" t="s">
        <v>150</v>
      </c>
      <c r="X131" t="s">
        <v>151</v>
      </c>
      <c r="Y131" t="s">
        <v>152</v>
      </c>
      <c r="Z131" t="s">
        <v>153</v>
      </c>
      <c r="AC131" t="s">
        <v>291</v>
      </c>
      <c r="AD131">
        <v>779.41600000000005</v>
      </c>
      <c r="AE131">
        <v>434.48</v>
      </c>
      <c r="AF131">
        <v>89.15</v>
      </c>
      <c r="AG131">
        <v>404.90199999999999</v>
      </c>
      <c r="AH131">
        <v>746.25300000000004</v>
      </c>
      <c r="AI131">
        <v>1140.5250000000001</v>
      </c>
      <c r="AJ131">
        <v>1543.2449999999999</v>
      </c>
      <c r="AK131">
        <v>1.0009999999999999</v>
      </c>
      <c r="AL131">
        <v>3000</v>
      </c>
      <c r="AQ131" t="s">
        <v>291</v>
      </c>
      <c r="AR131">
        <v>819.23800000000006</v>
      </c>
      <c r="AS131">
        <v>444.16300000000001</v>
      </c>
      <c r="AT131">
        <v>84.015000000000001</v>
      </c>
      <c r="AU131">
        <v>442.16500000000002</v>
      </c>
      <c r="AV131">
        <v>803.12300000000005</v>
      </c>
      <c r="AW131">
        <v>1209.703</v>
      </c>
      <c r="AX131">
        <v>1557.5709999999999</v>
      </c>
      <c r="AY131">
        <v>1.0009999999999999</v>
      </c>
      <c r="AZ131">
        <v>3000</v>
      </c>
      <c r="BE131" t="s">
        <v>291</v>
      </c>
      <c r="BF131">
        <v>318.5</v>
      </c>
      <c r="BG131">
        <v>147.27000000000001</v>
      </c>
      <c r="BH131">
        <v>203.07300000000001</v>
      </c>
      <c r="BI131">
        <v>247.30199999999999</v>
      </c>
      <c r="BJ131">
        <v>279.25200000000001</v>
      </c>
      <c r="BK131">
        <v>333.00700000000001</v>
      </c>
      <c r="BL131">
        <v>703.20299999999997</v>
      </c>
      <c r="BM131">
        <v>1.04</v>
      </c>
      <c r="BN131">
        <v>300</v>
      </c>
      <c r="BS131" t="s">
        <v>144</v>
      </c>
      <c r="BT131" t="s">
        <v>14</v>
      </c>
      <c r="BU131" t="s">
        <v>145</v>
      </c>
      <c r="BV131" t="s">
        <v>26</v>
      </c>
      <c r="BW131" t="s">
        <v>146</v>
      </c>
      <c r="BX131" t="s">
        <v>147</v>
      </c>
      <c r="BY131" t="s">
        <v>148</v>
      </c>
      <c r="BZ131" t="s">
        <v>149</v>
      </c>
      <c r="CA131" t="s">
        <v>150</v>
      </c>
      <c r="CB131" t="s">
        <v>151</v>
      </c>
      <c r="CC131" t="s">
        <v>152</v>
      </c>
      <c r="CD131" t="s">
        <v>153</v>
      </c>
      <c r="CG131" t="s">
        <v>144</v>
      </c>
      <c r="CH131" t="s">
        <v>14</v>
      </c>
      <c r="CI131" t="s">
        <v>145</v>
      </c>
      <c r="CJ131" t="s">
        <v>26</v>
      </c>
      <c r="CK131" t="s">
        <v>146</v>
      </c>
      <c r="CL131" t="s">
        <v>147</v>
      </c>
      <c r="CM131" t="s">
        <v>148</v>
      </c>
      <c r="CN131" t="s">
        <v>149</v>
      </c>
      <c r="CO131" t="s">
        <v>150</v>
      </c>
      <c r="CP131" t="s">
        <v>151</v>
      </c>
      <c r="CQ131" t="s">
        <v>152</v>
      </c>
      <c r="CR131" t="s">
        <v>153</v>
      </c>
      <c r="CU131" t="s">
        <v>291</v>
      </c>
      <c r="CV131">
        <v>307.589</v>
      </c>
      <c r="CW131">
        <v>139.06</v>
      </c>
      <c r="CX131">
        <v>204.20599999999999</v>
      </c>
      <c r="CY131">
        <v>247.999</v>
      </c>
      <c r="CZ131">
        <v>274.28500000000003</v>
      </c>
      <c r="DA131">
        <v>309.12299999999999</v>
      </c>
      <c r="DB131">
        <v>741.30399999999997</v>
      </c>
      <c r="DC131">
        <v>1.0720000000000001</v>
      </c>
      <c r="DD131">
        <v>95</v>
      </c>
      <c r="DI131" t="s">
        <v>291</v>
      </c>
      <c r="DJ131">
        <v>4.4349999999999996</v>
      </c>
      <c r="DK131">
        <v>1.323</v>
      </c>
      <c r="DL131">
        <v>1.7849999999999999</v>
      </c>
      <c r="DM131">
        <v>3.5369999999999999</v>
      </c>
      <c r="DN131">
        <v>4.452</v>
      </c>
      <c r="DO131">
        <v>5.3680000000000003</v>
      </c>
      <c r="DP131">
        <v>6.9020000000000001</v>
      </c>
      <c r="DQ131">
        <v>1.0009999999999999</v>
      </c>
      <c r="DR131">
        <v>3000</v>
      </c>
      <c r="DY131" t="s">
        <v>291</v>
      </c>
      <c r="DZ131">
        <v>4.49</v>
      </c>
      <c r="EA131">
        <v>1.1639999999999999</v>
      </c>
      <c r="EB131">
        <v>2.125</v>
      </c>
      <c r="EC131">
        <v>3.72</v>
      </c>
      <c r="ED131">
        <v>4.4960000000000004</v>
      </c>
      <c r="EE131">
        <v>5.2779999999999996</v>
      </c>
      <c r="EF131">
        <v>6.7370000000000001</v>
      </c>
      <c r="EG131">
        <v>1.0009999999999999</v>
      </c>
      <c r="EH131">
        <v>3000</v>
      </c>
      <c r="EK131" t="s">
        <v>144</v>
      </c>
      <c r="EL131" t="s">
        <v>14</v>
      </c>
      <c r="EM131" t="s">
        <v>145</v>
      </c>
      <c r="EN131" t="s">
        <v>26</v>
      </c>
      <c r="EO131" t="s">
        <v>146</v>
      </c>
      <c r="EP131" t="s">
        <v>147</v>
      </c>
      <c r="EQ131" t="s">
        <v>148</v>
      </c>
      <c r="ER131" t="s">
        <v>149</v>
      </c>
      <c r="ES131" t="s">
        <v>150</v>
      </c>
      <c r="ET131" t="s">
        <v>151</v>
      </c>
      <c r="EU131" t="s">
        <v>152</v>
      </c>
      <c r="EV131" t="s">
        <v>153</v>
      </c>
      <c r="EY131" t="s">
        <v>144</v>
      </c>
      <c r="EZ131" t="s">
        <v>14</v>
      </c>
      <c r="FA131" t="s">
        <v>145</v>
      </c>
      <c r="FB131" t="s">
        <v>26</v>
      </c>
      <c r="FC131" t="s">
        <v>146</v>
      </c>
      <c r="FD131" t="s">
        <v>147</v>
      </c>
      <c r="FE131" t="s">
        <v>148</v>
      </c>
      <c r="FF131" t="s">
        <v>149</v>
      </c>
      <c r="FG131" t="s">
        <v>150</v>
      </c>
      <c r="FH131" t="s">
        <v>151</v>
      </c>
      <c r="FI131" t="s">
        <v>152</v>
      </c>
      <c r="FJ131" t="s">
        <v>153</v>
      </c>
      <c r="GA131" t="s">
        <v>167</v>
      </c>
      <c r="GB131" t="s">
        <v>20</v>
      </c>
      <c r="GC131">
        <v>1035.7</v>
      </c>
      <c r="GD131" t="s">
        <v>154</v>
      </c>
      <c r="GE131" t="s">
        <v>163</v>
      </c>
      <c r="GF131" t="s">
        <v>20</v>
      </c>
      <c r="GG131">
        <v>3500.4</v>
      </c>
      <c r="GO131" t="s">
        <v>144</v>
      </c>
      <c r="GP131" t="s">
        <v>14</v>
      </c>
      <c r="GQ131" t="s">
        <v>145</v>
      </c>
      <c r="GR131" t="s">
        <v>26</v>
      </c>
      <c r="GS131" t="s">
        <v>146</v>
      </c>
      <c r="GT131" t="s">
        <v>147</v>
      </c>
      <c r="GU131" t="s">
        <v>148</v>
      </c>
      <c r="GV131" t="s">
        <v>149</v>
      </c>
      <c r="GW131" t="s">
        <v>150</v>
      </c>
      <c r="GX131" t="s">
        <v>151</v>
      </c>
      <c r="GY131" t="s">
        <v>152</v>
      </c>
      <c r="GZ131" t="s">
        <v>153</v>
      </c>
      <c r="HC131" t="s">
        <v>167</v>
      </c>
      <c r="HD131" t="s">
        <v>20</v>
      </c>
      <c r="HE131">
        <v>815.1</v>
      </c>
      <c r="HF131" t="s">
        <v>154</v>
      </c>
      <c r="HG131" t="s">
        <v>163</v>
      </c>
      <c r="HH131" t="s">
        <v>20</v>
      </c>
      <c r="HI131">
        <v>3039.5</v>
      </c>
      <c r="HP131" s="7"/>
      <c r="HQ131" s="7" t="s">
        <v>167</v>
      </c>
      <c r="HR131" s="7" t="s">
        <v>20</v>
      </c>
      <c r="HS131" s="7">
        <v>393.2</v>
      </c>
      <c r="HT131" s="7" t="s">
        <v>154</v>
      </c>
      <c r="HU131" s="7" t="s">
        <v>163</v>
      </c>
      <c r="HV131" s="7" t="s">
        <v>20</v>
      </c>
      <c r="HW131" s="7">
        <v>2065.6</v>
      </c>
      <c r="HX131" s="7"/>
      <c r="HY131" s="7"/>
      <c r="HZ131" s="7"/>
      <c r="IA131" s="7"/>
      <c r="IE131" t="s">
        <v>254</v>
      </c>
      <c r="JT131" t="s">
        <v>167</v>
      </c>
      <c r="JU131" t="s">
        <v>20</v>
      </c>
      <c r="JV131">
        <v>364.7</v>
      </c>
      <c r="JW131" t="s">
        <v>154</v>
      </c>
      <c r="JX131" t="s">
        <v>163</v>
      </c>
      <c r="JY131" t="s">
        <v>20</v>
      </c>
      <c r="JZ131">
        <v>2037.2</v>
      </c>
      <c r="KH131" t="s">
        <v>167</v>
      </c>
      <c r="KI131" t="s">
        <v>20</v>
      </c>
      <c r="KJ131">
        <v>382.1</v>
      </c>
      <c r="KK131" t="s">
        <v>154</v>
      </c>
      <c r="KL131" t="s">
        <v>163</v>
      </c>
      <c r="KM131" t="s">
        <v>20</v>
      </c>
      <c r="KN131">
        <v>2058.1999999999998</v>
      </c>
      <c r="KV131" t="s">
        <v>163</v>
      </c>
      <c r="KW131" t="s">
        <v>146</v>
      </c>
      <c r="KX131" t="s">
        <v>169</v>
      </c>
      <c r="KY131" t="s">
        <v>170</v>
      </c>
      <c r="KZ131" t="s">
        <v>150</v>
      </c>
      <c r="LA131" t="s">
        <v>171</v>
      </c>
      <c r="LB131" t="s">
        <v>172</v>
      </c>
      <c r="LC131" t="s">
        <v>173</v>
      </c>
      <c r="LD131" t="s">
        <v>174</v>
      </c>
      <c r="LE131" t="s">
        <v>143</v>
      </c>
      <c r="LF131" t="s">
        <v>146</v>
      </c>
      <c r="LG131" t="s">
        <v>175</v>
      </c>
      <c r="ML131" t="s">
        <v>163</v>
      </c>
      <c r="MM131" t="s">
        <v>146</v>
      </c>
      <c r="MN131" t="s">
        <v>169</v>
      </c>
      <c r="MO131" t="s">
        <v>170</v>
      </c>
      <c r="MP131" t="s">
        <v>150</v>
      </c>
      <c r="MQ131" t="s">
        <v>171</v>
      </c>
      <c r="MR131" t="s">
        <v>172</v>
      </c>
      <c r="MS131" t="s">
        <v>173</v>
      </c>
      <c r="MT131" t="s">
        <v>174</v>
      </c>
      <c r="MU131" t="s">
        <v>143</v>
      </c>
      <c r="MV131" t="s">
        <v>146</v>
      </c>
      <c r="MW131" t="s">
        <v>175</v>
      </c>
      <c r="MZ131" t="s">
        <v>163</v>
      </c>
      <c r="NA131" t="s">
        <v>146</v>
      </c>
      <c r="NB131" t="s">
        <v>169</v>
      </c>
      <c r="NC131" t="s">
        <v>170</v>
      </c>
      <c r="ND131" t="s">
        <v>150</v>
      </c>
      <c r="NE131" t="s">
        <v>171</v>
      </c>
      <c r="NF131" t="s">
        <v>172</v>
      </c>
      <c r="NG131" t="s">
        <v>173</v>
      </c>
      <c r="NH131" t="s">
        <v>174</v>
      </c>
      <c r="NI131" t="s">
        <v>143</v>
      </c>
      <c r="NJ131" t="s">
        <v>146</v>
      </c>
      <c r="NK131" t="s">
        <v>175</v>
      </c>
    </row>
    <row r="132" spans="1:454">
      <c r="A132" t="s">
        <v>154</v>
      </c>
      <c r="B132" t="s">
        <v>25</v>
      </c>
      <c r="C132" t="s">
        <v>146</v>
      </c>
      <c r="D132" t="s">
        <v>155</v>
      </c>
      <c r="E132" t="s">
        <v>156</v>
      </c>
      <c r="F132" t="s">
        <v>157</v>
      </c>
      <c r="G132" t="s">
        <v>158</v>
      </c>
      <c r="H132" t="s">
        <v>159</v>
      </c>
      <c r="I132" t="s">
        <v>160</v>
      </c>
      <c r="J132" t="s">
        <v>161</v>
      </c>
      <c r="K132" t="s">
        <v>162</v>
      </c>
      <c r="O132" t="s">
        <v>154</v>
      </c>
      <c r="P132" t="s">
        <v>25</v>
      </c>
      <c r="Q132" t="s">
        <v>146</v>
      </c>
      <c r="R132" t="s">
        <v>155</v>
      </c>
      <c r="S132" t="s">
        <v>156</v>
      </c>
      <c r="T132" t="s">
        <v>157</v>
      </c>
      <c r="U132" t="s">
        <v>158</v>
      </c>
      <c r="V132" t="s">
        <v>159</v>
      </c>
      <c r="W132" t="s">
        <v>160</v>
      </c>
      <c r="X132" t="s">
        <v>161</v>
      </c>
      <c r="Y132" t="s">
        <v>162</v>
      </c>
      <c r="AC132" t="s">
        <v>292</v>
      </c>
      <c r="AD132">
        <v>659.78200000000004</v>
      </c>
      <c r="AE132">
        <v>453.83100000000002</v>
      </c>
      <c r="AF132">
        <v>36.698</v>
      </c>
      <c r="AG132">
        <v>262.15100000000001</v>
      </c>
      <c r="AH132">
        <v>579.596</v>
      </c>
      <c r="AI132">
        <v>1021.096</v>
      </c>
      <c r="AJ132">
        <v>1538.6020000000001</v>
      </c>
      <c r="AK132">
        <v>1.004</v>
      </c>
      <c r="AL132">
        <v>600</v>
      </c>
      <c r="AQ132" t="s">
        <v>292</v>
      </c>
      <c r="AR132">
        <v>731.99699999999996</v>
      </c>
      <c r="AS132">
        <v>451.47500000000002</v>
      </c>
      <c r="AT132">
        <v>61.183</v>
      </c>
      <c r="AU132">
        <v>334.42700000000002</v>
      </c>
      <c r="AV132">
        <v>685.24599999999998</v>
      </c>
      <c r="AW132">
        <v>1102.0319999999999</v>
      </c>
      <c r="AX132">
        <v>1543.848</v>
      </c>
      <c r="AY132">
        <v>1.0009999999999999</v>
      </c>
      <c r="AZ132">
        <v>2900</v>
      </c>
      <c r="BE132" t="s">
        <v>292</v>
      </c>
      <c r="BF132">
        <v>340.21100000000001</v>
      </c>
      <c r="BG132">
        <v>207.666</v>
      </c>
      <c r="BH132">
        <v>203.21799999999999</v>
      </c>
      <c r="BI132">
        <v>240.48400000000001</v>
      </c>
      <c r="BJ132">
        <v>271.64100000000002</v>
      </c>
      <c r="BK132">
        <v>340.23899999999998</v>
      </c>
      <c r="BL132">
        <v>1093.8440000000001</v>
      </c>
      <c r="BM132">
        <v>1.075</v>
      </c>
      <c r="BN132">
        <v>78</v>
      </c>
      <c r="BS132" t="s">
        <v>154</v>
      </c>
      <c r="BT132" t="s">
        <v>25</v>
      </c>
      <c r="BU132" t="s">
        <v>146</v>
      </c>
      <c r="BV132" t="s">
        <v>155</v>
      </c>
      <c r="BW132" t="s">
        <v>156</v>
      </c>
      <c r="BX132" t="s">
        <v>157</v>
      </c>
      <c r="BY132" t="s">
        <v>158</v>
      </c>
      <c r="BZ132" t="s">
        <v>159</v>
      </c>
      <c r="CA132" t="s">
        <v>160</v>
      </c>
      <c r="CB132" t="s">
        <v>161</v>
      </c>
      <c r="CC132" t="s">
        <v>162</v>
      </c>
      <c r="CG132" t="s">
        <v>154</v>
      </c>
      <c r="CH132" t="s">
        <v>25</v>
      </c>
      <c r="CI132" t="s">
        <v>146</v>
      </c>
      <c r="CJ132" t="s">
        <v>155</v>
      </c>
      <c r="CK132" t="s">
        <v>156</v>
      </c>
      <c r="CL132" t="s">
        <v>157</v>
      </c>
      <c r="CM132" t="s">
        <v>158</v>
      </c>
      <c r="CN132" t="s">
        <v>159</v>
      </c>
      <c r="CO132" t="s">
        <v>160</v>
      </c>
      <c r="CP132" t="s">
        <v>161</v>
      </c>
      <c r="CQ132" t="s">
        <v>162</v>
      </c>
      <c r="CU132" t="s">
        <v>292</v>
      </c>
      <c r="CV132">
        <v>320.64100000000002</v>
      </c>
      <c r="CW132">
        <v>255.81700000000001</v>
      </c>
      <c r="CX132">
        <v>194.935</v>
      </c>
      <c r="CY132">
        <v>224.05500000000001</v>
      </c>
      <c r="CZ132">
        <v>243.613</v>
      </c>
      <c r="DA132">
        <v>272.36700000000002</v>
      </c>
      <c r="DB132">
        <v>1323.248</v>
      </c>
      <c r="DC132">
        <v>1.1060000000000001</v>
      </c>
      <c r="DD132">
        <v>53</v>
      </c>
      <c r="DI132" t="s">
        <v>292</v>
      </c>
      <c r="DJ132">
        <v>4.4829999999999997</v>
      </c>
      <c r="DK132">
        <v>1.341</v>
      </c>
      <c r="DL132">
        <v>1.6910000000000001</v>
      </c>
      <c r="DM132">
        <v>3.5960000000000001</v>
      </c>
      <c r="DN132">
        <v>4.5359999999999996</v>
      </c>
      <c r="DO132">
        <v>5.4249999999999998</v>
      </c>
      <c r="DP132">
        <v>6.923</v>
      </c>
      <c r="DQ132">
        <v>1.0009999999999999</v>
      </c>
      <c r="DR132">
        <v>3000</v>
      </c>
      <c r="DY132" t="s">
        <v>292</v>
      </c>
      <c r="DZ132">
        <v>4.4420000000000002</v>
      </c>
      <c r="EA132">
        <v>1.1879999999999999</v>
      </c>
      <c r="EB132">
        <v>2.1440000000000001</v>
      </c>
      <c r="EC132">
        <v>3.6480000000000001</v>
      </c>
      <c r="ED132">
        <v>4.4219999999999997</v>
      </c>
      <c r="EE132">
        <v>5.25</v>
      </c>
      <c r="EF132">
        <v>6.798</v>
      </c>
      <c r="EG132">
        <v>1.0009999999999999</v>
      </c>
      <c r="EH132">
        <v>3000</v>
      </c>
      <c r="EK132" t="s">
        <v>154</v>
      </c>
      <c r="EL132" t="s">
        <v>25</v>
      </c>
      <c r="EM132" t="s">
        <v>146</v>
      </c>
      <c r="EN132" t="s">
        <v>155</v>
      </c>
      <c r="EO132" t="s">
        <v>156</v>
      </c>
      <c r="EP132" t="s">
        <v>157</v>
      </c>
      <c r="EQ132" t="s">
        <v>158</v>
      </c>
      <c r="ER132" t="s">
        <v>159</v>
      </c>
      <c r="ES132" t="s">
        <v>160</v>
      </c>
      <c r="ET132" t="s">
        <v>161</v>
      </c>
      <c r="EU132" t="s">
        <v>162</v>
      </c>
      <c r="EY132" t="s">
        <v>154</v>
      </c>
      <c r="EZ132" t="s">
        <v>25</v>
      </c>
      <c r="FA132" t="s">
        <v>146</v>
      </c>
      <c r="FB132" t="s">
        <v>155</v>
      </c>
      <c r="FC132" t="s">
        <v>156</v>
      </c>
      <c r="FD132" t="s">
        <v>157</v>
      </c>
      <c r="FE132" t="s">
        <v>158</v>
      </c>
      <c r="FF132" t="s">
        <v>159</v>
      </c>
      <c r="FG132" t="s">
        <v>160</v>
      </c>
      <c r="FH132" t="s">
        <v>161</v>
      </c>
      <c r="FI132" t="s">
        <v>162</v>
      </c>
      <c r="GA132" t="s">
        <v>163</v>
      </c>
      <c r="GB132" t="s">
        <v>146</v>
      </c>
      <c r="GC132" t="s">
        <v>169</v>
      </c>
      <c r="GD132" t="s">
        <v>170</v>
      </c>
      <c r="GE132" t="s">
        <v>150</v>
      </c>
      <c r="GF132" t="s">
        <v>171</v>
      </c>
      <c r="GG132" t="s">
        <v>172</v>
      </c>
      <c r="GH132" t="s">
        <v>173</v>
      </c>
      <c r="GI132" t="s">
        <v>174</v>
      </c>
      <c r="GJ132" t="s">
        <v>143</v>
      </c>
      <c r="GK132" t="s">
        <v>146</v>
      </c>
      <c r="GL132" t="s">
        <v>175</v>
      </c>
      <c r="GO132" t="s">
        <v>154</v>
      </c>
      <c r="GP132" t="s">
        <v>25</v>
      </c>
      <c r="GQ132" t="s">
        <v>146</v>
      </c>
      <c r="GR132" t="s">
        <v>155</v>
      </c>
      <c r="GS132" t="s">
        <v>156</v>
      </c>
      <c r="GT132" t="s">
        <v>157</v>
      </c>
      <c r="GU132" t="s">
        <v>158</v>
      </c>
      <c r="GV132" t="s">
        <v>159</v>
      </c>
      <c r="GW132" t="s">
        <v>160</v>
      </c>
      <c r="GX132" t="s">
        <v>161</v>
      </c>
      <c r="GY132" t="s">
        <v>162</v>
      </c>
      <c r="HC132" t="s">
        <v>163</v>
      </c>
      <c r="HD132" t="s">
        <v>146</v>
      </c>
      <c r="HE132" t="s">
        <v>169</v>
      </c>
      <c r="HF132" t="s">
        <v>170</v>
      </c>
      <c r="HG132" t="s">
        <v>150</v>
      </c>
      <c r="HH132" t="s">
        <v>171</v>
      </c>
      <c r="HI132" t="s">
        <v>172</v>
      </c>
      <c r="HJ132" t="s">
        <v>173</v>
      </c>
      <c r="HK132" t="s">
        <v>174</v>
      </c>
      <c r="HL132" t="s">
        <v>143</v>
      </c>
      <c r="HM132" t="s">
        <v>146</v>
      </c>
      <c r="HN132" t="s">
        <v>175</v>
      </c>
      <c r="HP132" s="7"/>
      <c r="HQ132" s="7" t="s">
        <v>163</v>
      </c>
      <c r="HR132" s="7" t="s">
        <v>146</v>
      </c>
      <c r="HS132" s="7" t="s">
        <v>169</v>
      </c>
      <c r="HT132" s="7" t="s">
        <v>170</v>
      </c>
      <c r="HU132" s="7" t="s">
        <v>150</v>
      </c>
      <c r="HV132" s="7" t="s">
        <v>171</v>
      </c>
      <c r="HW132" s="7" t="s">
        <v>172</v>
      </c>
      <c r="HX132" s="7" t="s">
        <v>173</v>
      </c>
      <c r="HY132" s="7" t="s">
        <v>174</v>
      </c>
      <c r="HZ132" s="7" t="s">
        <v>143</v>
      </c>
      <c r="IA132" s="7" t="s">
        <v>146</v>
      </c>
      <c r="IB132" t="s">
        <v>175</v>
      </c>
      <c r="JT132" t="s">
        <v>163</v>
      </c>
      <c r="JU132" t="s">
        <v>146</v>
      </c>
      <c r="JV132" t="s">
        <v>169</v>
      </c>
      <c r="JW132" t="s">
        <v>170</v>
      </c>
      <c r="JX132" t="s">
        <v>150</v>
      </c>
      <c r="JY132" t="s">
        <v>171</v>
      </c>
      <c r="JZ132" t="s">
        <v>172</v>
      </c>
      <c r="KA132" t="s">
        <v>173</v>
      </c>
      <c r="KB132" t="s">
        <v>174</v>
      </c>
      <c r="KC132" t="s">
        <v>143</v>
      </c>
      <c r="KD132" t="s">
        <v>146</v>
      </c>
      <c r="KE132" t="s">
        <v>175</v>
      </c>
      <c r="KH132" t="s">
        <v>163</v>
      </c>
      <c r="KI132" t="s">
        <v>146</v>
      </c>
      <c r="KJ132" t="s">
        <v>169</v>
      </c>
      <c r="KK132" t="s">
        <v>170</v>
      </c>
      <c r="KL132" t="s">
        <v>150</v>
      </c>
      <c r="KM132" t="s">
        <v>171</v>
      </c>
      <c r="KN132" t="s">
        <v>172</v>
      </c>
      <c r="KO132" t="s">
        <v>173</v>
      </c>
      <c r="KP132" t="s">
        <v>174</v>
      </c>
      <c r="KQ132" t="s">
        <v>143</v>
      </c>
      <c r="KR132" t="s">
        <v>146</v>
      </c>
      <c r="KS132" t="s">
        <v>175</v>
      </c>
    </row>
    <row r="133" spans="1:454">
      <c r="AC133" t="s">
        <v>293</v>
      </c>
      <c r="AD133">
        <v>779.80200000000002</v>
      </c>
      <c r="AE133">
        <v>442.38200000000001</v>
      </c>
      <c r="AF133">
        <v>84.82</v>
      </c>
      <c r="AG133">
        <v>388.07</v>
      </c>
      <c r="AH133">
        <v>751.68700000000001</v>
      </c>
      <c r="AI133">
        <v>1152.355</v>
      </c>
      <c r="AJ133">
        <v>1554.4110000000001</v>
      </c>
      <c r="AK133">
        <v>1.0009999999999999</v>
      </c>
      <c r="AL133">
        <v>2000</v>
      </c>
      <c r="AQ133" t="s">
        <v>293</v>
      </c>
      <c r="AR133">
        <v>831.78300000000002</v>
      </c>
      <c r="AS133">
        <v>429.97199999999998</v>
      </c>
      <c r="AT133">
        <v>107.38800000000001</v>
      </c>
      <c r="AU133">
        <v>469.97500000000002</v>
      </c>
      <c r="AV133">
        <v>838.553</v>
      </c>
      <c r="AW133">
        <v>1184.848</v>
      </c>
      <c r="AX133">
        <v>1558.3920000000001</v>
      </c>
      <c r="AY133">
        <v>1.0029999999999999</v>
      </c>
      <c r="AZ133">
        <v>1200</v>
      </c>
      <c r="BE133" t="s">
        <v>293</v>
      </c>
      <c r="BF133">
        <v>569.74599999999998</v>
      </c>
      <c r="BG133">
        <v>287.97199999999998</v>
      </c>
      <c r="BH133">
        <v>329.59800000000001</v>
      </c>
      <c r="BI133">
        <v>383.80200000000002</v>
      </c>
      <c r="BJ133">
        <v>438.96600000000001</v>
      </c>
      <c r="BK133">
        <v>641.08199999999999</v>
      </c>
      <c r="BL133">
        <v>1406.0930000000001</v>
      </c>
      <c r="BM133">
        <v>1.0349999999999999</v>
      </c>
      <c r="BN133">
        <v>71</v>
      </c>
      <c r="CU133" t="s">
        <v>293</v>
      </c>
      <c r="CV133">
        <v>465.01499999999999</v>
      </c>
      <c r="CW133">
        <v>221.54400000000001</v>
      </c>
      <c r="CX133">
        <v>322.44600000000003</v>
      </c>
      <c r="CY133">
        <v>362.745</v>
      </c>
      <c r="CZ133">
        <v>390.57</v>
      </c>
      <c r="DA133">
        <v>444.05</v>
      </c>
      <c r="DB133">
        <v>1274.1079999999999</v>
      </c>
      <c r="DC133">
        <v>1.2</v>
      </c>
      <c r="DD133">
        <v>24</v>
      </c>
      <c r="DI133" t="s">
        <v>293</v>
      </c>
      <c r="DJ133">
        <v>4.4669999999999996</v>
      </c>
      <c r="DK133">
        <v>1.3340000000000001</v>
      </c>
      <c r="DL133">
        <v>1.736</v>
      </c>
      <c r="DM133">
        <v>3.5619999999999998</v>
      </c>
      <c r="DN133">
        <v>4.5170000000000003</v>
      </c>
      <c r="DO133">
        <v>5.4359999999999999</v>
      </c>
      <c r="DP133">
        <v>6.9089999999999998</v>
      </c>
      <c r="DQ133">
        <v>1.0129999999999999</v>
      </c>
      <c r="DR133">
        <v>1400</v>
      </c>
      <c r="DY133" t="s">
        <v>293</v>
      </c>
      <c r="DZ133">
        <v>4.45</v>
      </c>
      <c r="EA133">
        <v>1.1579999999999999</v>
      </c>
      <c r="EB133">
        <v>2.1419999999999999</v>
      </c>
      <c r="EC133">
        <v>3.6589999999999998</v>
      </c>
      <c r="ED133">
        <v>4.4619999999999997</v>
      </c>
      <c r="EE133">
        <v>5.2880000000000003</v>
      </c>
      <c r="EF133">
        <v>6.6779999999999999</v>
      </c>
      <c r="EG133">
        <v>1.002</v>
      </c>
      <c r="EH133">
        <v>3000</v>
      </c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E133" t="s">
        <v>255</v>
      </c>
      <c r="KW133" t="s">
        <v>229</v>
      </c>
    </row>
    <row r="134" spans="1:454">
      <c r="A134" t="s">
        <v>163</v>
      </c>
      <c r="B134" t="s">
        <v>164</v>
      </c>
      <c r="C134" t="s">
        <v>165</v>
      </c>
      <c r="D134" t="s">
        <v>155</v>
      </c>
      <c r="E134" t="s">
        <v>166</v>
      </c>
      <c r="F134" t="s">
        <v>167</v>
      </c>
      <c r="G134" t="s">
        <v>20</v>
      </c>
      <c r="H134" t="s">
        <v>168</v>
      </c>
      <c r="O134" t="s">
        <v>163</v>
      </c>
      <c r="P134" t="s">
        <v>164</v>
      </c>
      <c r="Q134" t="s">
        <v>165</v>
      </c>
      <c r="R134" t="s">
        <v>155</v>
      </c>
      <c r="S134" t="s">
        <v>166</v>
      </c>
      <c r="T134" t="s">
        <v>167</v>
      </c>
      <c r="U134" t="s">
        <v>20</v>
      </c>
      <c r="V134" t="s">
        <v>168</v>
      </c>
      <c r="AC134" t="s">
        <v>294</v>
      </c>
      <c r="AD134">
        <v>820.827</v>
      </c>
      <c r="AE134">
        <v>432.81099999999998</v>
      </c>
      <c r="AF134">
        <v>97.022000000000006</v>
      </c>
      <c r="AG134">
        <v>456.02300000000002</v>
      </c>
      <c r="AH134">
        <v>821.37300000000005</v>
      </c>
      <c r="AI134">
        <v>1186.364</v>
      </c>
      <c r="AJ134">
        <v>1556.155</v>
      </c>
      <c r="AK134">
        <v>1.0009999999999999</v>
      </c>
      <c r="AL134">
        <v>3000</v>
      </c>
      <c r="AQ134" t="s">
        <v>294</v>
      </c>
      <c r="AR134">
        <v>876.23</v>
      </c>
      <c r="AS134">
        <v>430.65499999999997</v>
      </c>
      <c r="AT134">
        <v>125.377</v>
      </c>
      <c r="AU134">
        <v>520.73299999999995</v>
      </c>
      <c r="AV134">
        <v>884.22799999999995</v>
      </c>
      <c r="AW134">
        <v>1257.0260000000001</v>
      </c>
      <c r="AX134">
        <v>1562.4690000000001</v>
      </c>
      <c r="AY134">
        <v>1.0009999999999999</v>
      </c>
      <c r="AZ134">
        <v>3000</v>
      </c>
      <c r="BE134" t="s">
        <v>294</v>
      </c>
      <c r="BF134">
        <v>709.04100000000005</v>
      </c>
      <c r="BG134">
        <v>280.221</v>
      </c>
      <c r="BH134">
        <v>416.55599999999998</v>
      </c>
      <c r="BI134">
        <v>517.23099999999999</v>
      </c>
      <c r="BJ134">
        <v>603.16499999999996</v>
      </c>
      <c r="BK134">
        <v>807.79700000000003</v>
      </c>
      <c r="BL134">
        <v>1438.72</v>
      </c>
      <c r="BM134">
        <v>1.0549999999999999</v>
      </c>
      <c r="BN134">
        <v>76</v>
      </c>
      <c r="BS134" t="s">
        <v>163</v>
      </c>
      <c r="BT134" t="s">
        <v>164</v>
      </c>
      <c r="BU134" t="s">
        <v>165</v>
      </c>
      <c r="BV134" t="s">
        <v>155</v>
      </c>
      <c r="BW134" t="s">
        <v>166</v>
      </c>
      <c r="BX134" t="s">
        <v>167</v>
      </c>
      <c r="BY134" t="s">
        <v>20</v>
      </c>
      <c r="BZ134" t="s">
        <v>168</v>
      </c>
      <c r="CG134" t="s">
        <v>163</v>
      </c>
      <c r="CH134" t="s">
        <v>164</v>
      </c>
      <c r="CI134" t="s">
        <v>165</v>
      </c>
      <c r="CJ134" t="s">
        <v>155</v>
      </c>
      <c r="CK134" t="s">
        <v>166</v>
      </c>
      <c r="CL134" t="s">
        <v>167</v>
      </c>
      <c r="CM134" t="s">
        <v>20</v>
      </c>
      <c r="CN134" t="s">
        <v>168</v>
      </c>
      <c r="CU134" t="s">
        <v>294</v>
      </c>
      <c r="CV134">
        <v>652.78899999999999</v>
      </c>
      <c r="CW134">
        <v>226.29900000000001</v>
      </c>
      <c r="CX134">
        <v>424.09500000000003</v>
      </c>
      <c r="CY134">
        <v>520.43100000000004</v>
      </c>
      <c r="CZ134">
        <v>582.178</v>
      </c>
      <c r="DA134">
        <v>686.88699999999994</v>
      </c>
      <c r="DB134">
        <v>1400.4649999999999</v>
      </c>
      <c r="DC134">
        <v>1.018</v>
      </c>
      <c r="DD134">
        <v>260</v>
      </c>
      <c r="DI134" t="s">
        <v>294</v>
      </c>
      <c r="DJ134">
        <v>4.4169999999999998</v>
      </c>
      <c r="DK134">
        <v>1.339</v>
      </c>
      <c r="DL134">
        <v>1.778</v>
      </c>
      <c r="DM134">
        <v>3.488</v>
      </c>
      <c r="DN134">
        <v>4.4349999999999996</v>
      </c>
      <c r="DO134">
        <v>5.3840000000000003</v>
      </c>
      <c r="DP134">
        <v>6.8769999999999998</v>
      </c>
      <c r="DQ134">
        <v>1.0009999999999999</v>
      </c>
      <c r="DR134">
        <v>2400</v>
      </c>
      <c r="DY134" t="s">
        <v>294</v>
      </c>
      <c r="DZ134">
        <v>4.46</v>
      </c>
      <c r="EA134">
        <v>1.177</v>
      </c>
      <c r="EB134">
        <v>2.09</v>
      </c>
      <c r="EC134">
        <v>3.69</v>
      </c>
      <c r="ED134">
        <v>4.4980000000000002</v>
      </c>
      <c r="EE134">
        <v>5.2510000000000003</v>
      </c>
      <c r="EF134">
        <v>6.7169999999999996</v>
      </c>
      <c r="EG134">
        <v>1.0029999999999999</v>
      </c>
      <c r="EH134">
        <v>2500</v>
      </c>
      <c r="EK134" t="s">
        <v>163</v>
      </c>
      <c r="EL134" t="s">
        <v>164</v>
      </c>
      <c r="EM134" t="s">
        <v>165</v>
      </c>
      <c r="EN134" t="s">
        <v>155</v>
      </c>
      <c r="EO134" t="s">
        <v>166</v>
      </c>
      <c r="EP134" t="s">
        <v>167</v>
      </c>
      <c r="EQ134" t="s">
        <v>20</v>
      </c>
      <c r="ER134" t="s">
        <v>168</v>
      </c>
      <c r="EY134" t="s">
        <v>163</v>
      </c>
      <c r="EZ134" t="s">
        <v>164</v>
      </c>
      <c r="FA134" t="s">
        <v>165</v>
      </c>
      <c r="FB134" t="s">
        <v>155</v>
      </c>
      <c r="FC134" t="s">
        <v>166</v>
      </c>
      <c r="FD134" t="s">
        <v>167</v>
      </c>
      <c r="FE134" t="s">
        <v>20</v>
      </c>
      <c r="FF134" t="s">
        <v>168</v>
      </c>
      <c r="GO134" t="s">
        <v>163</v>
      </c>
      <c r="GP134" t="s">
        <v>164</v>
      </c>
      <c r="GQ134" t="s">
        <v>165</v>
      </c>
      <c r="GR134" t="s">
        <v>155</v>
      </c>
      <c r="GS134" t="s">
        <v>166</v>
      </c>
      <c r="GT134" t="s">
        <v>167</v>
      </c>
      <c r="GU134" t="s">
        <v>20</v>
      </c>
      <c r="GV134" t="s">
        <v>168</v>
      </c>
      <c r="HP134" s="7"/>
      <c r="HQ134" s="7" t="s">
        <v>258</v>
      </c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NA134" t="s">
        <v>230</v>
      </c>
    </row>
    <row r="135" spans="1:454">
      <c r="A135" t="s">
        <v>167</v>
      </c>
      <c r="B135" t="s">
        <v>20</v>
      </c>
      <c r="C135">
        <v>1127.4000000000001</v>
      </c>
      <c r="D135" t="s">
        <v>154</v>
      </c>
      <c r="E135" t="s">
        <v>163</v>
      </c>
      <c r="F135" t="s">
        <v>20</v>
      </c>
      <c r="G135">
        <v>3552.2</v>
      </c>
      <c r="O135" t="s">
        <v>167</v>
      </c>
      <c r="P135" t="s">
        <v>20</v>
      </c>
      <c r="Q135">
        <v>1170.3</v>
      </c>
      <c r="R135" t="s">
        <v>154</v>
      </c>
      <c r="S135" t="s">
        <v>163</v>
      </c>
      <c r="T135" t="s">
        <v>20</v>
      </c>
      <c r="U135">
        <v>3664.9</v>
      </c>
      <c r="AC135" t="s">
        <v>295</v>
      </c>
      <c r="AD135">
        <v>751.28200000000004</v>
      </c>
      <c r="AE135">
        <v>441.46800000000002</v>
      </c>
      <c r="AF135">
        <v>69.209000000000003</v>
      </c>
      <c r="AG135">
        <v>375.23899999999998</v>
      </c>
      <c r="AH135">
        <v>716.37300000000005</v>
      </c>
      <c r="AI135">
        <v>1122.7370000000001</v>
      </c>
      <c r="AJ135">
        <v>1540.377</v>
      </c>
      <c r="AK135">
        <v>1.004</v>
      </c>
      <c r="AL135">
        <v>650</v>
      </c>
      <c r="AQ135" t="s">
        <v>295</v>
      </c>
      <c r="AR135">
        <v>814.44899999999996</v>
      </c>
      <c r="AS135">
        <v>435.53399999999999</v>
      </c>
      <c r="AT135">
        <v>84.492999999999995</v>
      </c>
      <c r="AU135">
        <v>443.96</v>
      </c>
      <c r="AV135">
        <v>802.93600000000004</v>
      </c>
      <c r="AW135">
        <v>1183.4880000000001</v>
      </c>
      <c r="AX135">
        <v>1560.896</v>
      </c>
      <c r="AY135">
        <v>1.0009999999999999</v>
      </c>
      <c r="AZ135">
        <v>3000</v>
      </c>
      <c r="BE135" t="s">
        <v>295</v>
      </c>
      <c r="BF135">
        <v>312.92500000000001</v>
      </c>
      <c r="BG135">
        <v>170.33099999999999</v>
      </c>
      <c r="BH135">
        <v>179.619</v>
      </c>
      <c r="BI135">
        <v>212.899</v>
      </c>
      <c r="BJ135">
        <v>241.76300000000001</v>
      </c>
      <c r="BK135">
        <v>332.33699999999999</v>
      </c>
      <c r="BL135">
        <v>811.82600000000002</v>
      </c>
      <c r="BM135">
        <v>1.0369999999999999</v>
      </c>
      <c r="BN135">
        <v>92</v>
      </c>
      <c r="BS135" t="s">
        <v>167</v>
      </c>
      <c r="BT135" t="s">
        <v>20</v>
      </c>
      <c r="BU135">
        <v>1263.5</v>
      </c>
      <c r="BV135" t="s">
        <v>154</v>
      </c>
      <c r="BW135" t="s">
        <v>163</v>
      </c>
      <c r="BX135" t="s">
        <v>20</v>
      </c>
      <c r="BY135">
        <v>4487.8</v>
      </c>
      <c r="CG135" t="s">
        <v>167</v>
      </c>
      <c r="CH135" t="s">
        <v>20</v>
      </c>
      <c r="CI135">
        <v>1235.5</v>
      </c>
      <c r="CJ135" t="s">
        <v>154</v>
      </c>
      <c r="CK135" t="s">
        <v>163</v>
      </c>
      <c r="CL135" t="s">
        <v>20</v>
      </c>
      <c r="CM135">
        <v>4457</v>
      </c>
      <c r="CU135" t="s">
        <v>295</v>
      </c>
      <c r="CV135">
        <v>264.28500000000003</v>
      </c>
      <c r="CW135">
        <v>195.119</v>
      </c>
      <c r="CX135">
        <v>175.38800000000001</v>
      </c>
      <c r="CY135">
        <v>201.75800000000001</v>
      </c>
      <c r="CZ135">
        <v>220.345</v>
      </c>
      <c r="DA135">
        <v>244.23</v>
      </c>
      <c r="DB135">
        <v>1047.69</v>
      </c>
      <c r="DC135">
        <v>1.071</v>
      </c>
      <c r="DD135">
        <v>200</v>
      </c>
      <c r="DI135" t="s">
        <v>295</v>
      </c>
      <c r="DJ135">
        <v>4.4400000000000004</v>
      </c>
      <c r="DK135">
        <v>1.3149999999999999</v>
      </c>
      <c r="DL135">
        <v>1.825</v>
      </c>
      <c r="DM135">
        <v>3.5369999999999999</v>
      </c>
      <c r="DN135">
        <v>4.484</v>
      </c>
      <c r="DO135">
        <v>5.3789999999999996</v>
      </c>
      <c r="DP135">
        <v>6.88</v>
      </c>
      <c r="DQ135">
        <v>1.0049999999999999</v>
      </c>
      <c r="DR135">
        <v>830</v>
      </c>
      <c r="DY135" t="s">
        <v>295</v>
      </c>
      <c r="DZ135">
        <v>4.4509999999999996</v>
      </c>
      <c r="EA135">
        <v>1.173</v>
      </c>
      <c r="EB135">
        <v>2.069</v>
      </c>
      <c r="EC135">
        <v>3.66</v>
      </c>
      <c r="ED135">
        <v>4.4619999999999997</v>
      </c>
      <c r="EE135">
        <v>5.266</v>
      </c>
      <c r="EF135">
        <v>6.6449999999999996</v>
      </c>
      <c r="EG135">
        <v>1.0009999999999999</v>
      </c>
      <c r="EH135">
        <v>3000</v>
      </c>
      <c r="EK135" t="s">
        <v>167</v>
      </c>
      <c r="EL135" t="s">
        <v>20</v>
      </c>
      <c r="EM135">
        <v>1180.5</v>
      </c>
      <c r="EN135" t="s">
        <v>154</v>
      </c>
      <c r="EO135" t="s">
        <v>163</v>
      </c>
      <c r="EP135" t="s">
        <v>20</v>
      </c>
      <c r="EQ135">
        <v>3649.3</v>
      </c>
      <c r="EY135" t="s">
        <v>167</v>
      </c>
      <c r="EZ135" t="s">
        <v>20</v>
      </c>
      <c r="FA135">
        <v>876.6</v>
      </c>
      <c r="FB135" t="s">
        <v>154</v>
      </c>
      <c r="FC135" t="s">
        <v>163</v>
      </c>
      <c r="FD135" t="s">
        <v>20</v>
      </c>
      <c r="FE135">
        <v>3102.8</v>
      </c>
      <c r="GO135" t="s">
        <v>167</v>
      </c>
      <c r="GP135" t="s">
        <v>20</v>
      </c>
      <c r="GQ135">
        <v>850.2</v>
      </c>
      <c r="GR135" t="s">
        <v>154</v>
      </c>
      <c r="GS135" t="s">
        <v>163</v>
      </c>
      <c r="GT135" t="s">
        <v>20</v>
      </c>
      <c r="GU135">
        <v>3074.5</v>
      </c>
      <c r="HP135" s="7"/>
      <c r="HQ135" s="7" t="s">
        <v>259</v>
      </c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NA135" t="s">
        <v>231</v>
      </c>
    </row>
    <row r="136" spans="1:454">
      <c r="A136" t="s">
        <v>163</v>
      </c>
      <c r="B136" t="s">
        <v>146</v>
      </c>
      <c r="C136" t="s">
        <v>169</v>
      </c>
      <c r="D136" t="s">
        <v>170</v>
      </c>
      <c r="E136" t="s">
        <v>150</v>
      </c>
      <c r="F136" t="s">
        <v>171</v>
      </c>
      <c r="G136" t="s">
        <v>172</v>
      </c>
      <c r="H136" t="s">
        <v>173</v>
      </c>
      <c r="I136" t="s">
        <v>174</v>
      </c>
      <c r="J136" t="s">
        <v>143</v>
      </c>
      <c r="K136" t="s">
        <v>146</v>
      </c>
      <c r="L136" t="s">
        <v>175</v>
      </c>
      <c r="O136" t="s">
        <v>163</v>
      </c>
      <c r="P136" t="s">
        <v>146</v>
      </c>
      <c r="Q136" t="s">
        <v>169</v>
      </c>
      <c r="R136" t="s">
        <v>170</v>
      </c>
      <c r="S136" t="s">
        <v>150</v>
      </c>
      <c r="T136" t="s">
        <v>171</v>
      </c>
      <c r="U136" t="s">
        <v>172</v>
      </c>
      <c r="V136" t="s">
        <v>173</v>
      </c>
      <c r="W136" t="s">
        <v>174</v>
      </c>
      <c r="X136" t="s">
        <v>143</v>
      </c>
      <c r="Y136" t="s">
        <v>146</v>
      </c>
      <c r="Z136" t="s">
        <v>175</v>
      </c>
      <c r="AC136" t="s">
        <v>296</v>
      </c>
      <c r="AD136">
        <v>755.21100000000001</v>
      </c>
      <c r="AE136">
        <v>439.95299999999997</v>
      </c>
      <c r="AF136">
        <v>68.325000000000003</v>
      </c>
      <c r="AG136">
        <v>379.96300000000002</v>
      </c>
      <c r="AH136">
        <v>728.22299999999996</v>
      </c>
      <c r="AI136">
        <v>1121.874</v>
      </c>
      <c r="AJ136">
        <v>1548.23</v>
      </c>
      <c r="AK136">
        <v>1.0009999999999999</v>
      </c>
      <c r="AL136">
        <v>2000</v>
      </c>
      <c r="AQ136" t="s">
        <v>296</v>
      </c>
      <c r="AR136">
        <v>806.14700000000005</v>
      </c>
      <c r="AS136">
        <v>436.41300000000001</v>
      </c>
      <c r="AT136">
        <v>90.698999999999998</v>
      </c>
      <c r="AU136">
        <v>434.86599999999999</v>
      </c>
      <c r="AV136">
        <v>785.28499999999997</v>
      </c>
      <c r="AW136">
        <v>1182.2860000000001</v>
      </c>
      <c r="AX136">
        <v>1551.683</v>
      </c>
      <c r="AY136">
        <v>1.002</v>
      </c>
      <c r="AZ136">
        <v>2100</v>
      </c>
      <c r="BE136" t="s">
        <v>296</v>
      </c>
      <c r="BF136">
        <v>130.59200000000001</v>
      </c>
      <c r="BG136">
        <v>317.05399999999997</v>
      </c>
      <c r="BH136">
        <v>1.5289999999999999</v>
      </c>
      <c r="BI136">
        <v>3.8959999999999999</v>
      </c>
      <c r="BJ136">
        <v>6.3019999999999996</v>
      </c>
      <c r="BK136">
        <v>11.002000000000001</v>
      </c>
      <c r="BL136">
        <v>1208.175</v>
      </c>
      <c r="BM136">
        <v>1.875</v>
      </c>
      <c r="BN136">
        <v>6</v>
      </c>
      <c r="BS136" t="s">
        <v>163</v>
      </c>
      <c r="BT136" t="s">
        <v>146</v>
      </c>
      <c r="BU136" t="s">
        <v>169</v>
      </c>
      <c r="BV136" t="s">
        <v>170</v>
      </c>
      <c r="BW136" t="s">
        <v>150</v>
      </c>
      <c r="BX136" t="s">
        <v>171</v>
      </c>
      <c r="BY136" t="s">
        <v>172</v>
      </c>
      <c r="BZ136" t="s">
        <v>173</v>
      </c>
      <c r="CA136" t="s">
        <v>174</v>
      </c>
      <c r="CB136" t="s">
        <v>143</v>
      </c>
      <c r="CC136" t="s">
        <v>146</v>
      </c>
      <c r="CD136" t="s">
        <v>175</v>
      </c>
      <c r="CG136" t="s">
        <v>163</v>
      </c>
      <c r="CH136" t="s">
        <v>146</v>
      </c>
      <c r="CI136" t="s">
        <v>169</v>
      </c>
      <c r="CJ136" t="s">
        <v>170</v>
      </c>
      <c r="CK136" t="s">
        <v>150</v>
      </c>
      <c r="CL136" t="s">
        <v>171</v>
      </c>
      <c r="CM136" t="s">
        <v>172</v>
      </c>
      <c r="CN136" t="s">
        <v>173</v>
      </c>
      <c r="CO136" t="s">
        <v>174</v>
      </c>
      <c r="CP136" t="s">
        <v>143</v>
      </c>
      <c r="CQ136" t="s">
        <v>146</v>
      </c>
      <c r="CR136" t="s">
        <v>175</v>
      </c>
      <c r="CU136" t="s">
        <v>296</v>
      </c>
      <c r="CV136">
        <v>3.6030000000000002</v>
      </c>
      <c r="CW136">
        <v>2.3580000000000001</v>
      </c>
      <c r="CX136">
        <v>1.097</v>
      </c>
      <c r="CY136">
        <v>1.8720000000000001</v>
      </c>
      <c r="CZ136">
        <v>2.9569999999999999</v>
      </c>
      <c r="DA136">
        <v>4.6619999999999999</v>
      </c>
      <c r="DB136">
        <v>9.9169999999999998</v>
      </c>
      <c r="DC136">
        <v>1.0009999999999999</v>
      </c>
      <c r="DD136">
        <v>3000</v>
      </c>
      <c r="DI136" t="s">
        <v>296</v>
      </c>
      <c r="DJ136">
        <v>4.4589999999999996</v>
      </c>
      <c r="DK136">
        <v>1.3080000000000001</v>
      </c>
      <c r="DL136">
        <v>1.86</v>
      </c>
      <c r="DM136">
        <v>3.5609999999999999</v>
      </c>
      <c r="DN136">
        <v>4.4710000000000001</v>
      </c>
      <c r="DO136">
        <v>5.4029999999999996</v>
      </c>
      <c r="DP136">
        <v>6.8959999999999999</v>
      </c>
      <c r="DQ136">
        <v>1.0009999999999999</v>
      </c>
      <c r="DR136">
        <v>3000</v>
      </c>
      <c r="DY136" t="s">
        <v>296</v>
      </c>
      <c r="DZ136">
        <v>4.4550000000000001</v>
      </c>
      <c r="EA136">
        <v>1.1719999999999999</v>
      </c>
      <c r="EB136">
        <v>2.1190000000000002</v>
      </c>
      <c r="EC136">
        <v>3.6579999999999999</v>
      </c>
      <c r="ED136">
        <v>4.4589999999999996</v>
      </c>
      <c r="EE136">
        <v>5.2720000000000002</v>
      </c>
      <c r="EF136">
        <v>6.6929999999999996</v>
      </c>
      <c r="EG136">
        <v>1.0009999999999999</v>
      </c>
      <c r="EH136">
        <v>3000</v>
      </c>
      <c r="EK136" t="s">
        <v>163</v>
      </c>
      <c r="EL136" t="s">
        <v>146</v>
      </c>
      <c r="EM136" t="s">
        <v>169</v>
      </c>
      <c r="EN136" t="s">
        <v>170</v>
      </c>
      <c r="EO136" t="s">
        <v>150</v>
      </c>
      <c r="EP136" t="s">
        <v>171</v>
      </c>
      <c r="EQ136" t="s">
        <v>172</v>
      </c>
      <c r="ER136" t="s">
        <v>173</v>
      </c>
      <c r="ES136" t="s">
        <v>174</v>
      </c>
      <c r="ET136" t="s">
        <v>143</v>
      </c>
      <c r="EU136" t="s">
        <v>146</v>
      </c>
      <c r="EV136" t="s">
        <v>175</v>
      </c>
      <c r="EY136" t="s">
        <v>163</v>
      </c>
      <c r="EZ136" t="s">
        <v>146</v>
      </c>
      <c r="FA136" t="s">
        <v>169</v>
      </c>
      <c r="FB136" t="s">
        <v>170</v>
      </c>
      <c r="FC136" t="s">
        <v>150</v>
      </c>
      <c r="FD136" t="s">
        <v>171</v>
      </c>
      <c r="FE136" t="s">
        <v>172</v>
      </c>
      <c r="FF136" t="s">
        <v>173</v>
      </c>
      <c r="FG136" t="s">
        <v>174</v>
      </c>
      <c r="FH136" t="s">
        <v>143</v>
      </c>
      <c r="FI136" t="s">
        <v>146</v>
      </c>
      <c r="FJ136" t="s">
        <v>175</v>
      </c>
      <c r="GO136" t="s">
        <v>163</v>
      </c>
      <c r="GP136" t="s">
        <v>146</v>
      </c>
      <c r="GQ136" t="s">
        <v>169</v>
      </c>
      <c r="GR136" t="s">
        <v>170</v>
      </c>
      <c r="GS136" t="s">
        <v>150</v>
      </c>
      <c r="GT136" t="s">
        <v>171</v>
      </c>
      <c r="GU136" t="s">
        <v>172</v>
      </c>
      <c r="GV136" t="s">
        <v>173</v>
      </c>
      <c r="GW136" t="s">
        <v>174</v>
      </c>
      <c r="GX136" t="s">
        <v>143</v>
      </c>
      <c r="GY136" t="s">
        <v>146</v>
      </c>
      <c r="GZ136" t="s">
        <v>175</v>
      </c>
      <c r="HC136" t="s">
        <v>281</v>
      </c>
      <c r="HP136" s="7"/>
      <c r="HQ136" s="7" t="s">
        <v>260</v>
      </c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KI136" t="s">
        <v>235</v>
      </c>
      <c r="NA136" t="s">
        <v>232</v>
      </c>
    </row>
    <row r="137" spans="1:454">
      <c r="AC137" t="s">
        <v>297</v>
      </c>
      <c r="AD137">
        <v>803.60799999999995</v>
      </c>
      <c r="AE137">
        <v>440.99599999999998</v>
      </c>
      <c r="AF137">
        <v>77.450999999999993</v>
      </c>
      <c r="AG137">
        <v>422.05200000000002</v>
      </c>
      <c r="AH137">
        <v>784.80499999999995</v>
      </c>
      <c r="AI137">
        <v>1172.9849999999999</v>
      </c>
      <c r="AJ137">
        <v>1552.8969999999999</v>
      </c>
      <c r="AK137">
        <v>1.008</v>
      </c>
      <c r="AL137">
        <v>380</v>
      </c>
      <c r="AQ137" t="s">
        <v>297</v>
      </c>
      <c r="AR137">
        <v>848.75199999999995</v>
      </c>
      <c r="AS137">
        <v>427.12299999999999</v>
      </c>
      <c r="AT137">
        <v>107.25700000000001</v>
      </c>
      <c r="AU137">
        <v>499.137</v>
      </c>
      <c r="AV137">
        <v>849.36199999999997</v>
      </c>
      <c r="AW137">
        <v>1210.4960000000001</v>
      </c>
      <c r="AX137">
        <v>1557.078</v>
      </c>
      <c r="AY137">
        <v>1.0009999999999999</v>
      </c>
      <c r="AZ137">
        <v>2500</v>
      </c>
      <c r="BE137" t="s">
        <v>297</v>
      </c>
      <c r="BF137">
        <v>556.851</v>
      </c>
      <c r="BG137">
        <v>261.89999999999998</v>
      </c>
      <c r="BH137">
        <v>343.92700000000002</v>
      </c>
      <c r="BI137">
        <v>401.25299999999999</v>
      </c>
      <c r="BJ137">
        <v>447.28399999999999</v>
      </c>
      <c r="BK137">
        <v>598.40300000000002</v>
      </c>
      <c r="BL137">
        <v>1389.171</v>
      </c>
      <c r="BM137">
        <v>1.0409999999999999</v>
      </c>
      <c r="BN137">
        <v>88</v>
      </c>
      <c r="CU137" t="s">
        <v>297</v>
      </c>
      <c r="CV137">
        <v>497.90499999999997</v>
      </c>
      <c r="CW137">
        <v>226.827</v>
      </c>
      <c r="CX137">
        <v>343.66699999999997</v>
      </c>
      <c r="CY137">
        <v>389.51499999999999</v>
      </c>
      <c r="CZ137">
        <v>419.78100000000001</v>
      </c>
      <c r="DA137">
        <v>482.87099999999998</v>
      </c>
      <c r="DB137">
        <v>1309.6479999999999</v>
      </c>
      <c r="DC137">
        <v>1.0549999999999999</v>
      </c>
      <c r="DD137">
        <v>77</v>
      </c>
      <c r="DI137" t="s">
        <v>297</v>
      </c>
      <c r="DJ137">
        <v>4.4400000000000004</v>
      </c>
      <c r="DK137">
        <v>1.3460000000000001</v>
      </c>
      <c r="DL137">
        <v>1.722</v>
      </c>
      <c r="DM137">
        <v>3.4929999999999999</v>
      </c>
      <c r="DN137">
        <v>4.4779999999999998</v>
      </c>
      <c r="DO137">
        <v>5.43</v>
      </c>
      <c r="DP137">
        <v>6.9169999999999998</v>
      </c>
      <c r="DQ137">
        <v>1.0029999999999999</v>
      </c>
      <c r="DR137">
        <v>3000</v>
      </c>
      <c r="DY137" t="s">
        <v>297</v>
      </c>
      <c r="DZ137">
        <v>4.4649999999999999</v>
      </c>
      <c r="EA137">
        <v>1.165</v>
      </c>
      <c r="EB137">
        <v>2.1749999999999998</v>
      </c>
      <c r="EC137">
        <v>3.6520000000000001</v>
      </c>
      <c r="ED137">
        <v>4.5019999999999998</v>
      </c>
      <c r="EE137">
        <v>5.2910000000000004</v>
      </c>
      <c r="EF137">
        <v>6.6609999999999996</v>
      </c>
      <c r="EG137">
        <v>1.0029999999999999</v>
      </c>
      <c r="EH137">
        <v>880</v>
      </c>
      <c r="HC137" t="s">
        <v>282</v>
      </c>
      <c r="HP137" s="7"/>
      <c r="HQ137" s="7" t="s">
        <v>261</v>
      </c>
      <c r="HR137" s="7"/>
      <c r="HS137" s="7"/>
      <c r="HT137" s="7"/>
      <c r="HU137" s="7"/>
      <c r="HV137" s="7"/>
      <c r="HW137" s="7"/>
      <c r="HX137" s="7"/>
      <c r="HY137" s="7"/>
      <c r="HZ137" s="7"/>
      <c r="IA137" s="7"/>
    </row>
    <row r="138" spans="1:454">
      <c r="A138" t="s">
        <v>408</v>
      </c>
      <c r="O138" t="s">
        <v>406</v>
      </c>
      <c r="AC138" t="s">
        <v>298</v>
      </c>
      <c r="AD138">
        <v>718.43399999999997</v>
      </c>
      <c r="AE138">
        <v>455.02800000000002</v>
      </c>
      <c r="AF138">
        <v>43.482999999999997</v>
      </c>
      <c r="AG138">
        <v>325.96699999999998</v>
      </c>
      <c r="AH138">
        <v>664.83500000000004</v>
      </c>
      <c r="AI138">
        <v>1099.2919999999999</v>
      </c>
      <c r="AJ138">
        <v>1550.249</v>
      </c>
      <c r="AK138">
        <v>1.0009999999999999</v>
      </c>
      <c r="AL138">
        <v>3000</v>
      </c>
      <c r="AQ138" t="s">
        <v>298</v>
      </c>
      <c r="AR138">
        <v>752.41600000000005</v>
      </c>
      <c r="AS138">
        <v>453.14600000000002</v>
      </c>
      <c r="AT138">
        <v>56.704000000000001</v>
      </c>
      <c r="AU138">
        <v>353.61</v>
      </c>
      <c r="AV138">
        <v>706.298</v>
      </c>
      <c r="AW138">
        <v>1140.374</v>
      </c>
      <c r="AX138">
        <v>1559.604</v>
      </c>
      <c r="AY138">
        <v>1.0069999999999999</v>
      </c>
      <c r="AZ138">
        <v>450</v>
      </c>
      <c r="BE138" t="s">
        <v>298</v>
      </c>
      <c r="BF138">
        <v>72.718000000000004</v>
      </c>
      <c r="BG138">
        <v>101.309</v>
      </c>
      <c r="BH138">
        <v>22.001000000000001</v>
      </c>
      <c r="BI138">
        <v>32.417999999999999</v>
      </c>
      <c r="BJ138">
        <v>40.463999999999999</v>
      </c>
      <c r="BK138">
        <v>53.140999999999998</v>
      </c>
      <c r="BL138">
        <v>431.37900000000002</v>
      </c>
      <c r="BM138">
        <v>1.264</v>
      </c>
      <c r="BN138">
        <v>18</v>
      </c>
      <c r="CU138" t="s">
        <v>298</v>
      </c>
      <c r="CV138">
        <v>37.362000000000002</v>
      </c>
      <c r="CW138">
        <v>10.757999999999999</v>
      </c>
      <c r="CX138">
        <v>20.126000000000001</v>
      </c>
      <c r="CY138">
        <v>30.088999999999999</v>
      </c>
      <c r="CZ138">
        <v>36.146000000000001</v>
      </c>
      <c r="DA138">
        <v>43.631</v>
      </c>
      <c r="DB138">
        <v>59.869</v>
      </c>
      <c r="DC138">
        <v>1.0009999999999999</v>
      </c>
      <c r="DD138">
        <v>3000</v>
      </c>
      <c r="DI138" t="s">
        <v>298</v>
      </c>
      <c r="DJ138">
        <v>4.423</v>
      </c>
      <c r="DK138">
        <v>1.3620000000000001</v>
      </c>
      <c r="DL138">
        <v>1.718</v>
      </c>
      <c r="DM138">
        <v>3.4990000000000001</v>
      </c>
      <c r="DN138">
        <v>4.4720000000000004</v>
      </c>
      <c r="DO138">
        <v>5.4359999999999999</v>
      </c>
      <c r="DP138">
        <v>6.9189999999999996</v>
      </c>
      <c r="DQ138">
        <v>1.0009999999999999</v>
      </c>
      <c r="DR138">
        <v>3000</v>
      </c>
      <c r="DY138" t="s">
        <v>298</v>
      </c>
      <c r="DZ138">
        <v>4.4669999999999996</v>
      </c>
      <c r="EA138">
        <v>1.1559999999999999</v>
      </c>
      <c r="EB138">
        <v>2.1440000000000001</v>
      </c>
      <c r="EC138">
        <v>3.698</v>
      </c>
      <c r="ED138">
        <v>4.4710000000000001</v>
      </c>
      <c r="EE138">
        <v>5.3010000000000002</v>
      </c>
      <c r="EF138">
        <v>6.6340000000000003</v>
      </c>
      <c r="EG138">
        <v>1.0009999999999999</v>
      </c>
      <c r="EH138">
        <v>3000</v>
      </c>
      <c r="EY138" t="s">
        <v>277</v>
      </c>
      <c r="HC138" t="s">
        <v>283</v>
      </c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</row>
    <row r="139" spans="1:454">
      <c r="AC139" t="s">
        <v>299</v>
      </c>
      <c r="AD139">
        <v>701.56600000000003</v>
      </c>
      <c r="AE139">
        <v>451.99200000000002</v>
      </c>
      <c r="AF139">
        <v>47.805999999999997</v>
      </c>
      <c r="AG139">
        <v>309.66199999999998</v>
      </c>
      <c r="AH139">
        <v>644.72400000000005</v>
      </c>
      <c r="AI139">
        <v>1081.1559999999999</v>
      </c>
      <c r="AJ139">
        <v>1535.912</v>
      </c>
      <c r="AK139">
        <v>1.0009999999999999</v>
      </c>
      <c r="AL139">
        <v>2000</v>
      </c>
      <c r="AQ139" t="s">
        <v>299</v>
      </c>
      <c r="AR139">
        <v>772.05899999999997</v>
      </c>
      <c r="AS139">
        <v>445.56900000000002</v>
      </c>
      <c r="AT139">
        <v>66.424999999999997</v>
      </c>
      <c r="AU139">
        <v>380.64299999999997</v>
      </c>
      <c r="AV139">
        <v>740.71600000000001</v>
      </c>
      <c r="AW139">
        <v>1144.0630000000001</v>
      </c>
      <c r="AX139">
        <v>1554.7719999999999</v>
      </c>
      <c r="AY139">
        <v>1.0009999999999999</v>
      </c>
      <c r="AZ139">
        <v>2400</v>
      </c>
      <c r="BE139" t="s">
        <v>299</v>
      </c>
      <c r="BF139">
        <v>146.22200000000001</v>
      </c>
      <c r="BG139">
        <v>75.366</v>
      </c>
      <c r="BH139">
        <v>88.167000000000002</v>
      </c>
      <c r="BI139">
        <v>108.77500000000001</v>
      </c>
      <c r="BJ139">
        <v>122.42</v>
      </c>
      <c r="BK139">
        <v>145.57900000000001</v>
      </c>
      <c r="BL139">
        <v>388.02499999999998</v>
      </c>
      <c r="BM139">
        <v>1.0389999999999999</v>
      </c>
      <c r="BN139">
        <v>150</v>
      </c>
      <c r="CU139" t="s">
        <v>299</v>
      </c>
      <c r="CV139">
        <v>169.04599999999999</v>
      </c>
      <c r="CW139">
        <v>230.82599999999999</v>
      </c>
      <c r="CX139">
        <v>84.138000000000005</v>
      </c>
      <c r="CY139">
        <v>102.755</v>
      </c>
      <c r="CZ139">
        <v>113.7</v>
      </c>
      <c r="DA139">
        <v>127</v>
      </c>
      <c r="DB139">
        <v>1116.954</v>
      </c>
      <c r="DC139">
        <v>1.268</v>
      </c>
      <c r="DD139">
        <v>28</v>
      </c>
      <c r="DI139" t="s">
        <v>299</v>
      </c>
      <c r="DJ139">
        <v>4.4130000000000003</v>
      </c>
      <c r="DK139">
        <v>1.3480000000000001</v>
      </c>
      <c r="DL139">
        <v>1.738</v>
      </c>
      <c r="DM139">
        <v>3.49</v>
      </c>
      <c r="DN139">
        <v>4.4669999999999996</v>
      </c>
      <c r="DO139">
        <v>5.3659999999999997</v>
      </c>
      <c r="DP139">
        <v>6.9089999999999998</v>
      </c>
      <c r="DQ139">
        <v>1.002</v>
      </c>
      <c r="DR139">
        <v>3000</v>
      </c>
      <c r="DY139" t="s">
        <v>299</v>
      </c>
      <c r="DZ139">
        <v>4.4569999999999999</v>
      </c>
      <c r="EA139">
        <v>1.1850000000000001</v>
      </c>
      <c r="EB139">
        <v>2.1110000000000002</v>
      </c>
      <c r="EC139">
        <v>3.6589999999999998</v>
      </c>
      <c r="ED139">
        <v>4.4939999999999998</v>
      </c>
      <c r="EE139">
        <v>5.2809999999999997</v>
      </c>
      <c r="EF139">
        <v>6.68</v>
      </c>
      <c r="EG139">
        <v>1.002</v>
      </c>
      <c r="EH139">
        <v>3000</v>
      </c>
      <c r="EK139" t="s">
        <v>286</v>
      </c>
      <c r="EY139" t="s">
        <v>278</v>
      </c>
      <c r="GO139" t="s">
        <v>273</v>
      </c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</row>
    <row r="140" spans="1:454">
      <c r="A140" t="s">
        <v>410</v>
      </c>
      <c r="AC140" t="s">
        <v>300</v>
      </c>
      <c r="AD140">
        <v>725.03</v>
      </c>
      <c r="AE140">
        <v>452.887</v>
      </c>
      <c r="AF140">
        <v>57.036000000000001</v>
      </c>
      <c r="AG140">
        <v>329.13400000000001</v>
      </c>
      <c r="AH140">
        <v>670.45</v>
      </c>
      <c r="AI140">
        <v>1102.672</v>
      </c>
      <c r="AJ140">
        <v>1555.867</v>
      </c>
      <c r="AK140">
        <v>1.0009999999999999</v>
      </c>
      <c r="AL140">
        <v>3000</v>
      </c>
      <c r="AQ140" t="s">
        <v>300</v>
      </c>
      <c r="AR140">
        <v>781.452</v>
      </c>
      <c r="AS140">
        <v>446.512</v>
      </c>
      <c r="AT140">
        <v>74.064999999999998</v>
      </c>
      <c r="AU140">
        <v>404.60599999999999</v>
      </c>
      <c r="AV140">
        <v>749.53300000000002</v>
      </c>
      <c r="AW140">
        <v>1160.338</v>
      </c>
      <c r="AX140">
        <v>1561.597</v>
      </c>
      <c r="AY140">
        <v>1.0009999999999999</v>
      </c>
      <c r="AZ140">
        <v>2600</v>
      </c>
      <c r="BE140" t="s">
        <v>300</v>
      </c>
      <c r="BF140">
        <v>310.35199999999998</v>
      </c>
      <c r="BG140">
        <v>315.37400000000002</v>
      </c>
      <c r="BH140">
        <v>109.119</v>
      </c>
      <c r="BI140">
        <v>138.249</v>
      </c>
      <c r="BJ140">
        <v>164.10400000000001</v>
      </c>
      <c r="BK140">
        <v>317.15199999999999</v>
      </c>
      <c r="BL140">
        <v>1291.5630000000001</v>
      </c>
      <c r="BM140">
        <v>1.2789999999999999</v>
      </c>
      <c r="BN140">
        <v>13</v>
      </c>
      <c r="CU140" t="s">
        <v>300</v>
      </c>
      <c r="CV140">
        <v>178.316</v>
      </c>
      <c r="CW140">
        <v>165.113</v>
      </c>
      <c r="CX140">
        <v>108.435</v>
      </c>
      <c r="CY140">
        <v>131.26900000000001</v>
      </c>
      <c r="CZ140">
        <v>145.327</v>
      </c>
      <c r="DA140">
        <v>163.22200000000001</v>
      </c>
      <c r="DB140">
        <v>605.35699999999997</v>
      </c>
      <c r="DC140">
        <v>1.079</v>
      </c>
      <c r="DD140">
        <v>120</v>
      </c>
      <c r="DI140" t="s">
        <v>300</v>
      </c>
      <c r="DJ140">
        <v>4.4180000000000001</v>
      </c>
      <c r="DK140">
        <v>1.3420000000000001</v>
      </c>
      <c r="DL140">
        <v>1.6990000000000001</v>
      </c>
      <c r="DM140">
        <v>3.488</v>
      </c>
      <c r="DN140">
        <v>4.5209999999999999</v>
      </c>
      <c r="DO140">
        <v>5.35</v>
      </c>
      <c r="DP140">
        <v>6.8630000000000004</v>
      </c>
      <c r="DQ140">
        <v>1.0009999999999999</v>
      </c>
      <c r="DR140">
        <v>3000</v>
      </c>
      <c r="DY140" t="s">
        <v>300</v>
      </c>
      <c r="DZ140">
        <v>4.4610000000000003</v>
      </c>
      <c r="EA140">
        <v>1.155</v>
      </c>
      <c r="EB140">
        <v>2.1339999999999999</v>
      </c>
      <c r="EC140">
        <v>3.68</v>
      </c>
      <c r="ED140">
        <v>4.4630000000000001</v>
      </c>
      <c r="EE140">
        <v>5.258</v>
      </c>
      <c r="EF140">
        <v>6.7140000000000004</v>
      </c>
      <c r="EG140">
        <v>1.0009999999999999</v>
      </c>
      <c r="EH140">
        <v>3000</v>
      </c>
      <c r="EK140" t="s">
        <v>287</v>
      </c>
      <c r="EY140" t="s">
        <v>279</v>
      </c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</row>
    <row r="141" spans="1:454">
      <c r="A141" t="s">
        <v>411</v>
      </c>
      <c r="AC141" t="s">
        <v>301</v>
      </c>
      <c r="AD141">
        <v>743.58199999999999</v>
      </c>
      <c r="AE141">
        <v>448.262</v>
      </c>
      <c r="AF141">
        <v>57.503</v>
      </c>
      <c r="AG141">
        <v>350.27800000000002</v>
      </c>
      <c r="AH141">
        <v>713.62199999999996</v>
      </c>
      <c r="AI141">
        <v>1121.058</v>
      </c>
      <c r="AJ141">
        <v>1553.9559999999999</v>
      </c>
      <c r="AK141">
        <v>1.0009999999999999</v>
      </c>
      <c r="AL141">
        <v>2000</v>
      </c>
      <c r="AQ141" t="s">
        <v>301</v>
      </c>
      <c r="AR141">
        <v>802.08100000000002</v>
      </c>
      <c r="AS141">
        <v>444.80900000000003</v>
      </c>
      <c r="AT141">
        <v>72.430999999999997</v>
      </c>
      <c r="AU141">
        <v>425.339</v>
      </c>
      <c r="AV141">
        <v>786.64700000000005</v>
      </c>
      <c r="AW141">
        <v>1192.057</v>
      </c>
      <c r="AX141">
        <v>1559.135</v>
      </c>
      <c r="AY141">
        <v>1.002</v>
      </c>
      <c r="AZ141">
        <v>1400</v>
      </c>
      <c r="BE141" t="s">
        <v>301</v>
      </c>
      <c r="BF141">
        <v>163.11199999999999</v>
      </c>
      <c r="BG141">
        <v>329.38499999999999</v>
      </c>
      <c r="BH141">
        <v>4.5609999999999999</v>
      </c>
      <c r="BI141">
        <v>9.7530000000000001</v>
      </c>
      <c r="BJ141">
        <v>14.757</v>
      </c>
      <c r="BK141">
        <v>146.18100000000001</v>
      </c>
      <c r="BL141">
        <v>1326.595</v>
      </c>
      <c r="BM141">
        <v>2.2229999999999999</v>
      </c>
      <c r="BN141">
        <v>5</v>
      </c>
      <c r="CU141" t="s">
        <v>301</v>
      </c>
      <c r="CV141">
        <v>10.343999999999999</v>
      </c>
      <c r="CW141">
        <v>5.2690000000000001</v>
      </c>
      <c r="CX141">
        <v>2.9129999999999998</v>
      </c>
      <c r="CY141">
        <v>6.6239999999999997</v>
      </c>
      <c r="CZ141">
        <v>9.5250000000000004</v>
      </c>
      <c r="DA141">
        <v>13.000999999999999</v>
      </c>
      <c r="DB141">
        <v>23.292999999999999</v>
      </c>
      <c r="DC141">
        <v>1.0009999999999999</v>
      </c>
      <c r="DD141">
        <v>3000</v>
      </c>
      <c r="DI141" t="s">
        <v>301</v>
      </c>
      <c r="DJ141">
        <v>4.4180000000000001</v>
      </c>
      <c r="DK141">
        <v>1.3160000000000001</v>
      </c>
      <c r="DL141">
        <v>1.8520000000000001</v>
      </c>
      <c r="DM141">
        <v>3.5219999999999998</v>
      </c>
      <c r="DN141">
        <v>4.43</v>
      </c>
      <c r="DO141">
        <v>5.3680000000000003</v>
      </c>
      <c r="DP141">
        <v>6.8920000000000003</v>
      </c>
      <c r="DQ141">
        <v>1.002</v>
      </c>
      <c r="DR141">
        <v>1800</v>
      </c>
      <c r="DY141" t="s">
        <v>301</v>
      </c>
      <c r="DZ141">
        <v>4.47</v>
      </c>
      <c r="EA141">
        <v>1.177</v>
      </c>
      <c r="EB141">
        <v>2.0910000000000002</v>
      </c>
      <c r="EC141">
        <v>3.6669999999999998</v>
      </c>
      <c r="ED141">
        <v>4.5190000000000001</v>
      </c>
      <c r="EE141">
        <v>5.319</v>
      </c>
      <c r="EF141">
        <v>6.6970000000000001</v>
      </c>
      <c r="EG141">
        <v>1.0029999999999999</v>
      </c>
      <c r="EH141">
        <v>2900</v>
      </c>
      <c r="EY141" t="s">
        <v>280</v>
      </c>
    </row>
    <row r="142" spans="1:454">
      <c r="A142" t="s">
        <v>412</v>
      </c>
      <c r="AC142" t="s">
        <v>302</v>
      </c>
      <c r="AD142">
        <v>703.78</v>
      </c>
      <c r="AE142">
        <v>448.80500000000001</v>
      </c>
      <c r="AF142">
        <v>54.44</v>
      </c>
      <c r="AG142">
        <v>320.012</v>
      </c>
      <c r="AH142">
        <v>644.62900000000002</v>
      </c>
      <c r="AI142">
        <v>1063.682</v>
      </c>
      <c r="AJ142">
        <v>1536.885</v>
      </c>
      <c r="AK142">
        <v>1.004</v>
      </c>
      <c r="AL142">
        <v>700</v>
      </c>
      <c r="AQ142" t="s">
        <v>302</v>
      </c>
      <c r="AR142">
        <v>737.16200000000003</v>
      </c>
      <c r="AS142">
        <v>442.7</v>
      </c>
      <c r="AT142">
        <v>68.718999999999994</v>
      </c>
      <c r="AU142">
        <v>358.15499999999997</v>
      </c>
      <c r="AV142">
        <v>687.98400000000004</v>
      </c>
      <c r="AW142">
        <v>1110.722</v>
      </c>
      <c r="AX142">
        <v>1536.309</v>
      </c>
      <c r="AY142">
        <v>1.0009999999999999</v>
      </c>
      <c r="AZ142">
        <v>3000</v>
      </c>
      <c r="BE142" t="s">
        <v>302</v>
      </c>
      <c r="BF142">
        <v>323.11399999999998</v>
      </c>
      <c r="BG142">
        <v>188.44800000000001</v>
      </c>
      <c r="BH142">
        <v>198.35</v>
      </c>
      <c r="BI142">
        <v>233.73400000000001</v>
      </c>
      <c r="BJ142">
        <v>261.971</v>
      </c>
      <c r="BK142">
        <v>325.11099999999999</v>
      </c>
      <c r="BL142">
        <v>854.45500000000004</v>
      </c>
      <c r="BM142">
        <v>1.151</v>
      </c>
      <c r="BN142">
        <v>26</v>
      </c>
      <c r="CU142" t="s">
        <v>302</v>
      </c>
      <c r="CV142">
        <v>326.23899999999998</v>
      </c>
      <c r="CW142">
        <v>257.166</v>
      </c>
      <c r="CX142">
        <v>190.38300000000001</v>
      </c>
      <c r="CY142">
        <v>221.452</v>
      </c>
      <c r="CZ142">
        <v>241.35</v>
      </c>
      <c r="DA142">
        <v>274.49799999999999</v>
      </c>
      <c r="DB142">
        <v>1280.5630000000001</v>
      </c>
      <c r="DC142">
        <v>1.1259999999999999</v>
      </c>
      <c r="DD142">
        <v>37</v>
      </c>
      <c r="DI142" t="s">
        <v>302</v>
      </c>
      <c r="DJ142">
        <v>4.4210000000000003</v>
      </c>
      <c r="DK142">
        <v>1.3160000000000001</v>
      </c>
      <c r="DL142">
        <v>1.788</v>
      </c>
      <c r="DM142">
        <v>3.5270000000000001</v>
      </c>
      <c r="DN142">
        <v>4.47</v>
      </c>
      <c r="DO142">
        <v>5.3689999999999998</v>
      </c>
      <c r="DP142">
        <v>6.859</v>
      </c>
      <c r="DQ142">
        <v>1.0009999999999999</v>
      </c>
      <c r="DR142">
        <v>3000</v>
      </c>
      <c r="DY142" t="s">
        <v>302</v>
      </c>
      <c r="DZ142">
        <v>4.492</v>
      </c>
      <c r="EA142">
        <v>1.1339999999999999</v>
      </c>
      <c r="EB142">
        <v>2.2210000000000001</v>
      </c>
      <c r="EC142">
        <v>3.7290000000000001</v>
      </c>
      <c r="ED142">
        <v>4.492</v>
      </c>
      <c r="EE142">
        <v>5.3280000000000003</v>
      </c>
      <c r="EF142">
        <v>6.625</v>
      </c>
      <c r="EG142">
        <v>1.0009999999999999</v>
      </c>
      <c r="EH142">
        <v>3000</v>
      </c>
      <c r="HJ142" t="s">
        <v>383</v>
      </c>
      <c r="HK142" t="s">
        <v>382</v>
      </c>
      <c r="HR142" t="s">
        <v>381</v>
      </c>
    </row>
    <row r="143" spans="1:454">
      <c r="AC143" t="s">
        <v>303</v>
      </c>
      <c r="AD143">
        <v>746.23500000000001</v>
      </c>
      <c r="AE143">
        <v>449.22699999999998</v>
      </c>
      <c r="AF143">
        <v>60.93</v>
      </c>
      <c r="AG143">
        <v>351.22800000000001</v>
      </c>
      <c r="AH143">
        <v>715.29700000000003</v>
      </c>
      <c r="AI143">
        <v>1119.5119999999999</v>
      </c>
      <c r="AJ143">
        <v>1545.1289999999999</v>
      </c>
      <c r="AK143">
        <v>1.0009999999999999</v>
      </c>
      <c r="AL143">
        <v>3000</v>
      </c>
      <c r="AQ143" t="s">
        <v>303</v>
      </c>
      <c r="AR143">
        <v>808.44399999999996</v>
      </c>
      <c r="AS143">
        <v>440.76499999999999</v>
      </c>
      <c r="AT143">
        <v>81.968999999999994</v>
      </c>
      <c r="AU143">
        <v>429.88600000000002</v>
      </c>
      <c r="AV143">
        <v>804.38</v>
      </c>
      <c r="AW143">
        <v>1185.413</v>
      </c>
      <c r="AX143">
        <v>1553.758</v>
      </c>
      <c r="AY143">
        <v>1.0009999999999999</v>
      </c>
      <c r="AZ143">
        <v>3000</v>
      </c>
      <c r="BE143" t="s">
        <v>303</v>
      </c>
      <c r="BF143">
        <v>294.30900000000003</v>
      </c>
      <c r="BG143">
        <v>196.49199999999999</v>
      </c>
      <c r="BH143">
        <v>181.47800000000001</v>
      </c>
      <c r="BI143">
        <v>213.35300000000001</v>
      </c>
      <c r="BJ143">
        <v>233.80099999999999</v>
      </c>
      <c r="BK143">
        <v>275.13600000000002</v>
      </c>
      <c r="BL143">
        <v>1018.7569999999999</v>
      </c>
      <c r="BM143">
        <v>1.091</v>
      </c>
      <c r="BN143">
        <v>69</v>
      </c>
      <c r="CU143" t="s">
        <v>303</v>
      </c>
      <c r="CV143">
        <v>266.51600000000002</v>
      </c>
      <c r="CW143">
        <v>192.048</v>
      </c>
      <c r="CX143">
        <v>176.172</v>
      </c>
      <c r="CY143">
        <v>203.95</v>
      </c>
      <c r="CZ143">
        <v>220.35400000000001</v>
      </c>
      <c r="DA143">
        <v>242.43799999999999</v>
      </c>
      <c r="DB143">
        <v>1087.06</v>
      </c>
      <c r="DC143">
        <v>1.18</v>
      </c>
      <c r="DD143">
        <v>44</v>
      </c>
      <c r="DI143" t="s">
        <v>303</v>
      </c>
      <c r="DJ143">
        <v>4.4290000000000003</v>
      </c>
      <c r="DK143">
        <v>1.3520000000000001</v>
      </c>
      <c r="DL143">
        <v>1.698</v>
      </c>
      <c r="DM143">
        <v>3.5270000000000001</v>
      </c>
      <c r="DN143">
        <v>4.468</v>
      </c>
      <c r="DO143">
        <v>5.3730000000000002</v>
      </c>
      <c r="DP143">
        <v>6.9210000000000003</v>
      </c>
      <c r="DQ143">
        <v>1.004</v>
      </c>
      <c r="DR143">
        <v>3000</v>
      </c>
      <c r="DY143" t="s">
        <v>303</v>
      </c>
      <c r="DZ143">
        <v>4.4850000000000003</v>
      </c>
      <c r="EA143">
        <v>1.1539999999999999</v>
      </c>
      <c r="EB143">
        <v>2.1440000000000001</v>
      </c>
      <c r="EC143">
        <v>3.698</v>
      </c>
      <c r="ED143">
        <v>4.5149999999999997</v>
      </c>
      <c r="EE143">
        <v>5.28</v>
      </c>
      <c r="EF143">
        <v>6.7649999999999997</v>
      </c>
      <c r="EG143">
        <v>1.0009999999999999</v>
      </c>
      <c r="EH143">
        <v>3000</v>
      </c>
    </row>
    <row r="144" spans="1:454">
      <c r="AC144" t="s">
        <v>304</v>
      </c>
      <c r="AD144">
        <v>808.84500000000003</v>
      </c>
      <c r="AE144">
        <v>444.62299999999999</v>
      </c>
      <c r="AF144">
        <v>89.738</v>
      </c>
      <c r="AG144">
        <v>430.137</v>
      </c>
      <c r="AH144">
        <v>785.69100000000003</v>
      </c>
      <c r="AI144">
        <v>1197.7629999999999</v>
      </c>
      <c r="AJ144">
        <v>1559.7059999999999</v>
      </c>
      <c r="AK144">
        <v>1.0009999999999999</v>
      </c>
      <c r="AL144">
        <v>3000</v>
      </c>
      <c r="AQ144" t="s">
        <v>304</v>
      </c>
      <c r="AR144">
        <v>846.87099999999998</v>
      </c>
      <c r="AS144">
        <v>432.33</v>
      </c>
      <c r="AT144">
        <v>107.27800000000001</v>
      </c>
      <c r="AU144">
        <v>479.43099999999998</v>
      </c>
      <c r="AV144">
        <v>849.91</v>
      </c>
      <c r="AW144">
        <v>1205.691</v>
      </c>
      <c r="AX144">
        <v>1567.855</v>
      </c>
      <c r="AY144">
        <v>1.0009999999999999</v>
      </c>
      <c r="AZ144">
        <v>2500</v>
      </c>
      <c r="BE144" t="s">
        <v>304</v>
      </c>
      <c r="BF144">
        <v>810.60900000000004</v>
      </c>
      <c r="BG144">
        <v>262.363</v>
      </c>
      <c r="BH144">
        <v>565.90300000000002</v>
      </c>
      <c r="BI144">
        <v>632.12400000000002</v>
      </c>
      <c r="BJ144">
        <v>698.71900000000005</v>
      </c>
      <c r="BK144">
        <v>901.51300000000003</v>
      </c>
      <c r="BL144">
        <v>1521.394</v>
      </c>
      <c r="BM144">
        <v>1.0149999999999999</v>
      </c>
      <c r="BN144">
        <v>200</v>
      </c>
      <c r="CU144" t="s">
        <v>304</v>
      </c>
      <c r="CV144">
        <v>738.24199999999996</v>
      </c>
      <c r="CW144">
        <v>201.09800000000001</v>
      </c>
      <c r="CX144">
        <v>556.00599999999997</v>
      </c>
      <c r="CY144">
        <v>616.05799999999999</v>
      </c>
      <c r="CZ144">
        <v>665.43499999999995</v>
      </c>
      <c r="DA144">
        <v>773.85500000000002</v>
      </c>
      <c r="DB144">
        <v>1365.394</v>
      </c>
      <c r="DC144">
        <v>1.012</v>
      </c>
      <c r="DD144">
        <v>280</v>
      </c>
      <c r="DI144" t="s">
        <v>304</v>
      </c>
      <c r="DJ144">
        <v>4.4080000000000004</v>
      </c>
      <c r="DK144">
        <v>1.33</v>
      </c>
      <c r="DL144">
        <v>1.6020000000000001</v>
      </c>
      <c r="DM144">
        <v>3.5179999999999998</v>
      </c>
      <c r="DN144">
        <v>4.4450000000000003</v>
      </c>
      <c r="DO144">
        <v>5.3719999999999999</v>
      </c>
      <c r="DP144">
        <v>6.8360000000000003</v>
      </c>
      <c r="DQ144">
        <v>1.002</v>
      </c>
      <c r="DR144">
        <v>3000</v>
      </c>
      <c r="DY144" t="s">
        <v>304</v>
      </c>
      <c r="DZ144">
        <v>4.484</v>
      </c>
      <c r="EA144">
        <v>1.1739999999999999</v>
      </c>
      <c r="EB144">
        <v>2.0630000000000002</v>
      </c>
      <c r="EC144">
        <v>3.6869999999999998</v>
      </c>
      <c r="ED144">
        <v>4.5090000000000003</v>
      </c>
      <c r="EE144">
        <v>5.2919999999999998</v>
      </c>
      <c r="EF144">
        <v>6.69</v>
      </c>
      <c r="EG144">
        <v>1.0029999999999999</v>
      </c>
      <c r="EH144">
        <v>3000</v>
      </c>
    </row>
    <row r="145" spans="29:138">
      <c r="AC145" t="s">
        <v>305</v>
      </c>
      <c r="AD145">
        <v>667.14700000000005</v>
      </c>
      <c r="AE145">
        <v>451.72500000000002</v>
      </c>
      <c r="AF145">
        <v>42.27</v>
      </c>
      <c r="AG145">
        <v>268.05799999999999</v>
      </c>
      <c r="AH145">
        <v>590.01700000000005</v>
      </c>
      <c r="AI145">
        <v>1026.8040000000001</v>
      </c>
      <c r="AJ145">
        <v>1535.5730000000001</v>
      </c>
      <c r="AK145">
        <v>1.0009999999999999</v>
      </c>
      <c r="AL145">
        <v>3000</v>
      </c>
      <c r="AQ145" t="s">
        <v>305</v>
      </c>
      <c r="AR145">
        <v>700.56500000000005</v>
      </c>
      <c r="AS145">
        <v>449.226</v>
      </c>
      <c r="AT145">
        <v>46.889000000000003</v>
      </c>
      <c r="AU145">
        <v>312.69299999999998</v>
      </c>
      <c r="AV145">
        <v>637.18100000000004</v>
      </c>
      <c r="AW145">
        <v>1081.76</v>
      </c>
      <c r="AX145">
        <v>1540.875</v>
      </c>
      <c r="AY145">
        <v>1.0009999999999999</v>
      </c>
      <c r="AZ145">
        <v>3000</v>
      </c>
      <c r="BE145" t="s">
        <v>305</v>
      </c>
      <c r="BF145">
        <v>242.523</v>
      </c>
      <c r="BG145">
        <v>133.89400000000001</v>
      </c>
      <c r="BH145">
        <v>147.93100000000001</v>
      </c>
      <c r="BI145">
        <v>176.65700000000001</v>
      </c>
      <c r="BJ145">
        <v>197.03800000000001</v>
      </c>
      <c r="BK145">
        <v>240.58</v>
      </c>
      <c r="BL145">
        <v>730.49199999999996</v>
      </c>
      <c r="BM145">
        <v>1.1619999999999999</v>
      </c>
      <c r="BN145">
        <v>34</v>
      </c>
      <c r="CU145" t="s">
        <v>305</v>
      </c>
      <c r="CV145">
        <v>241.91200000000001</v>
      </c>
      <c r="CW145">
        <v>201.125</v>
      </c>
      <c r="CX145">
        <v>141.44499999999999</v>
      </c>
      <c r="CY145">
        <v>167.14</v>
      </c>
      <c r="CZ145">
        <v>183.483</v>
      </c>
      <c r="DA145">
        <v>209.78</v>
      </c>
      <c r="DB145">
        <v>998.91899999999998</v>
      </c>
      <c r="DC145">
        <v>1.0269999999999999</v>
      </c>
      <c r="DD145">
        <v>180</v>
      </c>
      <c r="DI145" t="s">
        <v>305</v>
      </c>
      <c r="DJ145">
        <v>4.4290000000000003</v>
      </c>
      <c r="DK145">
        <v>1.3240000000000001</v>
      </c>
      <c r="DL145">
        <v>1.7709999999999999</v>
      </c>
      <c r="DM145">
        <v>3.5209999999999999</v>
      </c>
      <c r="DN145">
        <v>4.4290000000000003</v>
      </c>
      <c r="DO145">
        <v>5.4029999999999996</v>
      </c>
      <c r="DP145">
        <v>6.8570000000000002</v>
      </c>
      <c r="DQ145">
        <v>1.002</v>
      </c>
      <c r="DR145">
        <v>3000</v>
      </c>
      <c r="DY145" t="s">
        <v>305</v>
      </c>
      <c r="DZ145">
        <v>4.4580000000000002</v>
      </c>
      <c r="EA145">
        <v>1.1839999999999999</v>
      </c>
      <c r="EB145">
        <v>2.0539999999999998</v>
      </c>
      <c r="EC145">
        <v>3.6429999999999998</v>
      </c>
      <c r="ED145">
        <v>4.4660000000000002</v>
      </c>
      <c r="EE145">
        <v>5.3040000000000003</v>
      </c>
      <c r="EF145">
        <v>6.7560000000000002</v>
      </c>
      <c r="EG145">
        <v>1.0009999999999999</v>
      </c>
      <c r="EH145">
        <v>3000</v>
      </c>
    </row>
    <row r="146" spans="29:138">
      <c r="AC146" t="s">
        <v>306</v>
      </c>
      <c r="AD146">
        <v>755.45399999999995</v>
      </c>
      <c r="AE146">
        <v>446.28199999999998</v>
      </c>
      <c r="AF146">
        <v>59.87</v>
      </c>
      <c r="AG146">
        <v>369.08600000000001</v>
      </c>
      <c r="AH146">
        <v>725.55600000000004</v>
      </c>
      <c r="AI146">
        <v>1126.277</v>
      </c>
      <c r="AJ146">
        <v>1544.1</v>
      </c>
      <c r="AK146">
        <v>1.0029999999999999</v>
      </c>
      <c r="AL146">
        <v>1800</v>
      </c>
      <c r="AQ146" t="s">
        <v>306</v>
      </c>
      <c r="AR146">
        <v>797.56500000000005</v>
      </c>
      <c r="AS146">
        <v>439.483</v>
      </c>
      <c r="AT146">
        <v>77.5</v>
      </c>
      <c r="AU146">
        <v>424.78500000000003</v>
      </c>
      <c r="AV146">
        <v>782.74300000000005</v>
      </c>
      <c r="AW146">
        <v>1166.0319999999999</v>
      </c>
      <c r="AX146">
        <v>1547.617</v>
      </c>
      <c r="AY146">
        <v>1.002</v>
      </c>
      <c r="AZ146">
        <v>1300</v>
      </c>
      <c r="BE146" t="s">
        <v>306</v>
      </c>
      <c r="BF146">
        <v>32.095999999999997</v>
      </c>
      <c r="BG146">
        <v>57.371000000000002</v>
      </c>
      <c r="BH146">
        <v>8.36</v>
      </c>
      <c r="BI146">
        <v>14.32</v>
      </c>
      <c r="BJ146">
        <v>18.248999999999999</v>
      </c>
      <c r="BK146">
        <v>23.468</v>
      </c>
      <c r="BL146">
        <v>232.30699999999999</v>
      </c>
      <c r="BM146">
        <v>1.117</v>
      </c>
      <c r="BN146">
        <v>61</v>
      </c>
      <c r="CU146" t="s">
        <v>306</v>
      </c>
      <c r="CV146">
        <v>15.331</v>
      </c>
      <c r="CW146">
        <v>5.4340000000000002</v>
      </c>
      <c r="CX146">
        <v>6.6840000000000002</v>
      </c>
      <c r="CY146">
        <v>11.403</v>
      </c>
      <c r="CZ146">
        <v>14.702</v>
      </c>
      <c r="DA146">
        <v>18.527999999999999</v>
      </c>
      <c r="DB146">
        <v>27.452999999999999</v>
      </c>
      <c r="DC146">
        <v>1.0009999999999999</v>
      </c>
      <c r="DD146">
        <v>3000</v>
      </c>
      <c r="DI146" t="s">
        <v>306</v>
      </c>
      <c r="DJ146">
        <v>4.4420000000000002</v>
      </c>
      <c r="DK146">
        <v>1.31</v>
      </c>
      <c r="DL146">
        <v>1.7929999999999999</v>
      </c>
      <c r="DM146">
        <v>3.532</v>
      </c>
      <c r="DN146">
        <v>4.4669999999999996</v>
      </c>
      <c r="DO146">
        <v>5.3810000000000002</v>
      </c>
      <c r="DP146">
        <v>6.8380000000000001</v>
      </c>
      <c r="DQ146">
        <v>1.0009999999999999</v>
      </c>
      <c r="DR146">
        <v>2100</v>
      </c>
      <c r="DY146" t="s">
        <v>306</v>
      </c>
      <c r="DZ146">
        <v>4.4530000000000003</v>
      </c>
      <c r="EA146">
        <v>1.1579999999999999</v>
      </c>
      <c r="EB146">
        <v>2.169</v>
      </c>
      <c r="EC146">
        <v>3.6549999999999998</v>
      </c>
      <c r="ED146">
        <v>4.4660000000000002</v>
      </c>
      <c r="EE146">
        <v>5.258</v>
      </c>
      <c r="EF146">
        <v>6.7350000000000003</v>
      </c>
      <c r="EG146">
        <v>1.002</v>
      </c>
      <c r="EH146">
        <v>3000</v>
      </c>
    </row>
    <row r="147" spans="29:138">
      <c r="AC147" t="s">
        <v>307</v>
      </c>
      <c r="AD147">
        <v>740.98699999999997</v>
      </c>
      <c r="AE147">
        <v>450.08</v>
      </c>
      <c r="AF147">
        <v>61.601999999999997</v>
      </c>
      <c r="AG147">
        <v>345.98099999999999</v>
      </c>
      <c r="AH147">
        <v>695.61400000000003</v>
      </c>
      <c r="AI147">
        <v>1111.557</v>
      </c>
      <c r="AJ147">
        <v>1545.502</v>
      </c>
      <c r="AK147">
        <v>1.0029999999999999</v>
      </c>
      <c r="AL147">
        <v>940</v>
      </c>
      <c r="AQ147" t="s">
        <v>307</v>
      </c>
      <c r="AR147">
        <v>779.09900000000005</v>
      </c>
      <c r="AS147">
        <v>450.31200000000001</v>
      </c>
      <c r="AT147">
        <v>69.403999999999996</v>
      </c>
      <c r="AU147">
        <v>382.50400000000002</v>
      </c>
      <c r="AV147">
        <v>745.99599999999998</v>
      </c>
      <c r="AW147">
        <v>1162.877</v>
      </c>
      <c r="AX147">
        <v>1560.8150000000001</v>
      </c>
      <c r="AY147">
        <v>1.0009999999999999</v>
      </c>
      <c r="AZ147">
        <v>3000</v>
      </c>
      <c r="BE147" t="s">
        <v>307</v>
      </c>
      <c r="BF147">
        <v>177.93299999999999</v>
      </c>
      <c r="BG147">
        <v>353.803</v>
      </c>
      <c r="BH147">
        <v>1.6719999999999999</v>
      </c>
      <c r="BI147">
        <v>4.2320000000000002</v>
      </c>
      <c r="BJ147">
        <v>6.702</v>
      </c>
      <c r="BK147">
        <v>37.841000000000001</v>
      </c>
      <c r="BL147">
        <v>1218.827</v>
      </c>
      <c r="BM147">
        <v>1.9079999999999999</v>
      </c>
      <c r="BN147">
        <v>6</v>
      </c>
      <c r="CU147" t="s">
        <v>307</v>
      </c>
      <c r="CV147">
        <v>3.8690000000000002</v>
      </c>
      <c r="CW147">
        <v>2.3559999999999999</v>
      </c>
      <c r="CX147">
        <v>1.1100000000000001</v>
      </c>
      <c r="CY147">
        <v>2.145</v>
      </c>
      <c r="CZ147">
        <v>3.2810000000000001</v>
      </c>
      <c r="DA147">
        <v>4.9870000000000001</v>
      </c>
      <c r="DB147">
        <v>9.8119999999999994</v>
      </c>
      <c r="DC147">
        <v>1.0009999999999999</v>
      </c>
      <c r="DD147">
        <v>3000</v>
      </c>
      <c r="DI147" t="s">
        <v>307</v>
      </c>
      <c r="DJ147">
        <v>4.415</v>
      </c>
      <c r="DK147">
        <v>1.3460000000000001</v>
      </c>
      <c r="DL147">
        <v>1.7</v>
      </c>
      <c r="DM147">
        <v>3.4809999999999999</v>
      </c>
      <c r="DN147">
        <v>4.4429999999999996</v>
      </c>
      <c r="DO147">
        <v>5.415</v>
      </c>
      <c r="DP147">
        <v>6.8940000000000001</v>
      </c>
      <c r="DQ147">
        <v>1.002</v>
      </c>
      <c r="DR147">
        <v>3000</v>
      </c>
      <c r="DY147" t="s">
        <v>307</v>
      </c>
      <c r="DZ147">
        <v>4.4820000000000002</v>
      </c>
      <c r="EA147">
        <v>1.1599999999999999</v>
      </c>
      <c r="EB147">
        <v>2.1520000000000001</v>
      </c>
      <c r="EC147">
        <v>3.6960000000000002</v>
      </c>
      <c r="ED147">
        <v>4.4749999999999996</v>
      </c>
      <c r="EE147">
        <v>5.3369999999999997</v>
      </c>
      <c r="EF147">
        <v>6.7089999999999996</v>
      </c>
      <c r="EG147">
        <v>1.002</v>
      </c>
      <c r="EH147">
        <v>3000</v>
      </c>
    </row>
    <row r="148" spans="29:138">
      <c r="AC148" t="s">
        <v>308</v>
      </c>
      <c r="AD148">
        <v>674.54100000000005</v>
      </c>
      <c r="AE148">
        <v>446.471</v>
      </c>
      <c r="AF148">
        <v>42.933</v>
      </c>
      <c r="AG148">
        <v>287.142</v>
      </c>
      <c r="AH148">
        <v>612.85299999999995</v>
      </c>
      <c r="AI148">
        <v>1023.475</v>
      </c>
      <c r="AJ148">
        <v>1537.0050000000001</v>
      </c>
      <c r="AK148">
        <v>1.0009999999999999</v>
      </c>
      <c r="AL148">
        <v>3000</v>
      </c>
      <c r="AQ148" t="s">
        <v>308</v>
      </c>
      <c r="AR148">
        <v>739.08799999999997</v>
      </c>
      <c r="AS148">
        <v>454.06599999999997</v>
      </c>
      <c r="AT148">
        <v>59.207000000000001</v>
      </c>
      <c r="AU148">
        <v>331.661</v>
      </c>
      <c r="AV148">
        <v>696.53</v>
      </c>
      <c r="AW148">
        <v>1119.0229999999999</v>
      </c>
      <c r="AX148">
        <v>1553.0170000000001</v>
      </c>
      <c r="AY148">
        <v>1.0009999999999999</v>
      </c>
      <c r="AZ148">
        <v>3000</v>
      </c>
      <c r="BE148" t="s">
        <v>308</v>
      </c>
      <c r="BF148">
        <v>144.38800000000001</v>
      </c>
      <c r="BG148">
        <v>91.231999999999999</v>
      </c>
      <c r="BH148">
        <v>80.822999999999993</v>
      </c>
      <c r="BI148">
        <v>102.92700000000001</v>
      </c>
      <c r="BJ148">
        <v>118.90600000000001</v>
      </c>
      <c r="BK148">
        <v>147.732</v>
      </c>
      <c r="BL148">
        <v>377.49400000000003</v>
      </c>
      <c r="BM148">
        <v>1.077</v>
      </c>
      <c r="BN148">
        <v>100</v>
      </c>
      <c r="CU148" t="s">
        <v>308</v>
      </c>
      <c r="CV148">
        <v>131.16</v>
      </c>
      <c r="CW148">
        <v>146.23500000000001</v>
      </c>
      <c r="CX148">
        <v>77.497</v>
      </c>
      <c r="CY148">
        <v>94.465000000000003</v>
      </c>
      <c r="CZ148">
        <v>105.096</v>
      </c>
      <c r="DA148">
        <v>118.71899999999999</v>
      </c>
      <c r="DB148">
        <v>401.71699999999998</v>
      </c>
      <c r="DC148">
        <v>1.23</v>
      </c>
      <c r="DD148">
        <v>38</v>
      </c>
      <c r="DI148" t="s">
        <v>308</v>
      </c>
      <c r="DJ148">
        <v>4.4219999999999997</v>
      </c>
      <c r="DK148">
        <v>1.3340000000000001</v>
      </c>
      <c r="DL148">
        <v>1.756</v>
      </c>
      <c r="DM148">
        <v>3.516</v>
      </c>
      <c r="DN148">
        <v>4.4379999999999997</v>
      </c>
      <c r="DO148">
        <v>5.4009999999999998</v>
      </c>
      <c r="DP148">
        <v>6.8920000000000003</v>
      </c>
      <c r="DQ148">
        <v>1.0009999999999999</v>
      </c>
      <c r="DR148">
        <v>3000</v>
      </c>
      <c r="DY148" t="s">
        <v>308</v>
      </c>
      <c r="DZ148">
        <v>4.4610000000000003</v>
      </c>
      <c r="EA148">
        <v>1.1819999999999999</v>
      </c>
      <c r="EB148">
        <v>2.1560000000000001</v>
      </c>
      <c r="EC148">
        <v>3.6560000000000001</v>
      </c>
      <c r="ED148">
        <v>4.4669999999999996</v>
      </c>
      <c r="EE148">
        <v>5.3079999999999998</v>
      </c>
      <c r="EF148">
        <v>6.742</v>
      </c>
      <c r="EG148">
        <v>1.002</v>
      </c>
      <c r="EH148">
        <v>1700</v>
      </c>
    </row>
    <row r="149" spans="29:138">
      <c r="AC149" t="s">
        <v>309</v>
      </c>
      <c r="AD149">
        <v>811.04600000000005</v>
      </c>
      <c r="AE149">
        <v>436.166</v>
      </c>
      <c r="AF149">
        <v>95.111000000000004</v>
      </c>
      <c r="AG149">
        <v>436.80799999999999</v>
      </c>
      <c r="AH149">
        <v>808.38300000000004</v>
      </c>
      <c r="AI149">
        <v>1180.7860000000001</v>
      </c>
      <c r="AJ149">
        <v>1561.1890000000001</v>
      </c>
      <c r="AK149">
        <v>1.002</v>
      </c>
      <c r="AL149">
        <v>1100</v>
      </c>
      <c r="AQ149" t="s">
        <v>309</v>
      </c>
      <c r="AR149">
        <v>875.08299999999997</v>
      </c>
      <c r="AS149">
        <v>424.95299999999997</v>
      </c>
      <c r="AT149">
        <v>122.261</v>
      </c>
      <c r="AU149">
        <v>518.54399999999998</v>
      </c>
      <c r="AV149">
        <v>890.85599999999999</v>
      </c>
      <c r="AW149">
        <v>1236.74</v>
      </c>
      <c r="AX149">
        <v>1563.5550000000001</v>
      </c>
      <c r="AY149">
        <v>1.0029999999999999</v>
      </c>
      <c r="AZ149">
        <v>1200</v>
      </c>
      <c r="BE149" t="s">
        <v>309</v>
      </c>
      <c r="BF149">
        <v>509.32900000000001</v>
      </c>
      <c r="BG149">
        <v>204.44499999999999</v>
      </c>
      <c r="BH149">
        <v>311.33600000000001</v>
      </c>
      <c r="BI149">
        <v>384.69600000000003</v>
      </c>
      <c r="BJ149">
        <v>435.85899999999998</v>
      </c>
      <c r="BK149">
        <v>552.43700000000001</v>
      </c>
      <c r="BL149">
        <v>1088.06</v>
      </c>
      <c r="BM149">
        <v>1.133</v>
      </c>
      <c r="BN149">
        <v>27</v>
      </c>
      <c r="CU149" t="s">
        <v>309</v>
      </c>
      <c r="CV149">
        <v>508.18200000000002</v>
      </c>
      <c r="CW149">
        <v>211.51</v>
      </c>
      <c r="CX149">
        <v>326.59699999999998</v>
      </c>
      <c r="CY149">
        <v>393.62599999999998</v>
      </c>
      <c r="CZ149">
        <v>438.36</v>
      </c>
      <c r="DA149">
        <v>517.64700000000005</v>
      </c>
      <c r="DB149">
        <v>1192.6769999999999</v>
      </c>
      <c r="DC149">
        <v>1.0329999999999999</v>
      </c>
      <c r="DD149">
        <v>130</v>
      </c>
      <c r="DI149" t="s">
        <v>309</v>
      </c>
      <c r="DJ149">
        <v>4.45</v>
      </c>
      <c r="DK149">
        <v>1.319</v>
      </c>
      <c r="DL149">
        <v>1.669</v>
      </c>
      <c r="DM149">
        <v>3.5409999999999999</v>
      </c>
      <c r="DN149">
        <v>4.4930000000000003</v>
      </c>
      <c r="DO149">
        <v>5.3920000000000003</v>
      </c>
      <c r="DP149">
        <v>6.8639999999999999</v>
      </c>
      <c r="DQ149">
        <v>1.0029999999999999</v>
      </c>
      <c r="DR149">
        <v>1300</v>
      </c>
      <c r="DY149" t="s">
        <v>309</v>
      </c>
      <c r="DZ149">
        <v>4.4619999999999997</v>
      </c>
      <c r="EA149">
        <v>1.155</v>
      </c>
      <c r="EB149">
        <v>2.1589999999999998</v>
      </c>
      <c r="EC149">
        <v>3.65</v>
      </c>
      <c r="ED149">
        <v>4.4859999999999998</v>
      </c>
      <c r="EE149">
        <v>5.298</v>
      </c>
      <c r="EF149">
        <v>6.6420000000000003</v>
      </c>
      <c r="EG149">
        <v>1.0009999999999999</v>
      </c>
      <c r="EH149">
        <v>3000</v>
      </c>
    </row>
    <row r="150" spans="29:138">
      <c r="AC150" t="s">
        <v>310</v>
      </c>
      <c r="AD150">
        <v>711.88699999999994</v>
      </c>
      <c r="AE150">
        <v>451.07299999999998</v>
      </c>
      <c r="AF150">
        <v>49.088000000000001</v>
      </c>
      <c r="AG150">
        <v>325.20800000000003</v>
      </c>
      <c r="AH150">
        <v>657.49900000000002</v>
      </c>
      <c r="AI150">
        <v>1081.835</v>
      </c>
      <c r="AJ150">
        <v>1544.3989999999999</v>
      </c>
      <c r="AK150">
        <v>1.0009999999999999</v>
      </c>
      <c r="AL150">
        <v>3000</v>
      </c>
      <c r="AQ150" t="s">
        <v>310</v>
      </c>
      <c r="AR150">
        <v>731.40700000000004</v>
      </c>
      <c r="AS150">
        <v>449.98899999999998</v>
      </c>
      <c r="AT150">
        <v>52.767000000000003</v>
      </c>
      <c r="AU150">
        <v>333.11399999999998</v>
      </c>
      <c r="AV150">
        <v>695.40800000000002</v>
      </c>
      <c r="AW150">
        <v>1107.319</v>
      </c>
      <c r="AX150">
        <v>1547.2349999999999</v>
      </c>
      <c r="AY150">
        <v>1.002</v>
      </c>
      <c r="AZ150">
        <v>1400</v>
      </c>
      <c r="BE150" t="s">
        <v>310</v>
      </c>
      <c r="BF150">
        <v>96.7</v>
      </c>
      <c r="BG150">
        <v>67.965999999999994</v>
      </c>
      <c r="BH150">
        <v>54.930999999999997</v>
      </c>
      <c r="BI150">
        <v>70.447999999999993</v>
      </c>
      <c r="BJ150">
        <v>80.870999999999995</v>
      </c>
      <c r="BK150">
        <v>95.968999999999994</v>
      </c>
      <c r="BL150">
        <v>246.14</v>
      </c>
      <c r="BM150">
        <v>1.119</v>
      </c>
      <c r="BN150">
        <v>61</v>
      </c>
      <c r="CU150" t="s">
        <v>310</v>
      </c>
      <c r="CV150">
        <v>95.92</v>
      </c>
      <c r="CW150">
        <v>124.41200000000001</v>
      </c>
      <c r="CX150">
        <v>51.674999999999997</v>
      </c>
      <c r="CY150">
        <v>65.512</v>
      </c>
      <c r="CZ150">
        <v>73.995000000000005</v>
      </c>
      <c r="DA150">
        <v>84.039000000000001</v>
      </c>
      <c r="DB150">
        <v>422.54500000000002</v>
      </c>
      <c r="DC150">
        <v>1.056</v>
      </c>
      <c r="DD150">
        <v>210</v>
      </c>
      <c r="DI150" t="s">
        <v>310</v>
      </c>
      <c r="DJ150">
        <v>4.4130000000000003</v>
      </c>
      <c r="DK150">
        <v>1.3420000000000001</v>
      </c>
      <c r="DL150">
        <v>1.7370000000000001</v>
      </c>
      <c r="DM150">
        <v>3.51</v>
      </c>
      <c r="DN150">
        <v>4.4480000000000004</v>
      </c>
      <c r="DO150">
        <v>5.3929999999999998</v>
      </c>
      <c r="DP150">
        <v>6.931</v>
      </c>
      <c r="DQ150">
        <v>1.0009999999999999</v>
      </c>
      <c r="DR150">
        <v>3000</v>
      </c>
      <c r="DY150" t="s">
        <v>310</v>
      </c>
      <c r="DZ150">
        <v>4.4530000000000003</v>
      </c>
      <c r="EA150">
        <v>1.169</v>
      </c>
      <c r="EB150">
        <v>2.1669999999999998</v>
      </c>
      <c r="EC150">
        <v>3.6440000000000001</v>
      </c>
      <c r="ED150">
        <v>4.4800000000000004</v>
      </c>
      <c r="EE150">
        <v>5.2549999999999999</v>
      </c>
      <c r="EF150">
        <v>6.702</v>
      </c>
      <c r="EG150">
        <v>1.0009999999999999</v>
      </c>
      <c r="EH150">
        <v>3000</v>
      </c>
    </row>
    <row r="151" spans="29:138">
      <c r="AC151" t="s">
        <v>311</v>
      </c>
      <c r="AD151">
        <v>814.28399999999999</v>
      </c>
      <c r="AE151">
        <v>435.92</v>
      </c>
      <c r="AF151">
        <v>100.7</v>
      </c>
      <c r="AG151">
        <v>441.03800000000001</v>
      </c>
      <c r="AH151">
        <v>795.45899999999995</v>
      </c>
      <c r="AI151">
        <v>1189.221</v>
      </c>
      <c r="AJ151">
        <v>1557.07</v>
      </c>
      <c r="AK151">
        <v>1.0009999999999999</v>
      </c>
      <c r="AL151">
        <v>3000</v>
      </c>
      <c r="AQ151" t="s">
        <v>311</v>
      </c>
      <c r="AR151">
        <v>844.36300000000006</v>
      </c>
      <c r="AS151">
        <v>431.00900000000001</v>
      </c>
      <c r="AT151">
        <v>122.77800000000001</v>
      </c>
      <c r="AU151">
        <v>484.23700000000002</v>
      </c>
      <c r="AV151">
        <v>837.46299999999997</v>
      </c>
      <c r="AW151">
        <v>1213.001</v>
      </c>
      <c r="AX151">
        <v>1563.7739999999999</v>
      </c>
      <c r="AY151">
        <v>1.0009999999999999</v>
      </c>
      <c r="AZ151">
        <v>3000</v>
      </c>
      <c r="BE151" t="s">
        <v>311</v>
      </c>
      <c r="BF151">
        <v>527.05200000000002</v>
      </c>
      <c r="BG151">
        <v>223.62299999999999</v>
      </c>
      <c r="BH151">
        <v>341.05700000000002</v>
      </c>
      <c r="BI151">
        <v>389.98200000000003</v>
      </c>
      <c r="BJ151">
        <v>438.27300000000002</v>
      </c>
      <c r="BK151">
        <v>565.70500000000004</v>
      </c>
      <c r="BL151">
        <v>1193.9770000000001</v>
      </c>
      <c r="BM151">
        <v>1.1850000000000001</v>
      </c>
      <c r="BN151">
        <v>22</v>
      </c>
      <c r="CU151" t="s">
        <v>311</v>
      </c>
      <c r="CV151">
        <v>451.76600000000002</v>
      </c>
      <c r="CW151">
        <v>177.429</v>
      </c>
      <c r="CX151">
        <v>332.05500000000001</v>
      </c>
      <c r="CY151">
        <v>372.94499999999999</v>
      </c>
      <c r="CZ151">
        <v>400.43200000000002</v>
      </c>
      <c r="DA151">
        <v>443.77499999999998</v>
      </c>
      <c r="DB151">
        <v>1017.675</v>
      </c>
      <c r="DC151">
        <v>1.0469999999999999</v>
      </c>
      <c r="DD151">
        <v>120</v>
      </c>
      <c r="DI151" t="s">
        <v>311</v>
      </c>
      <c r="DJ151">
        <v>4.4130000000000003</v>
      </c>
      <c r="DK151">
        <v>1.333</v>
      </c>
      <c r="DL151">
        <v>1.756</v>
      </c>
      <c r="DM151">
        <v>3.468</v>
      </c>
      <c r="DN151">
        <v>4.4470000000000001</v>
      </c>
      <c r="DO151">
        <v>5.399</v>
      </c>
      <c r="DP151">
        <v>6.8710000000000004</v>
      </c>
      <c r="DQ151">
        <v>1.002</v>
      </c>
      <c r="DR151">
        <v>1700</v>
      </c>
      <c r="DY151" t="s">
        <v>311</v>
      </c>
      <c r="DZ151">
        <v>4.4119999999999999</v>
      </c>
      <c r="EA151">
        <v>1.1830000000000001</v>
      </c>
      <c r="EB151">
        <v>2.0350000000000001</v>
      </c>
      <c r="EC151">
        <v>3.601</v>
      </c>
      <c r="ED151">
        <v>4.4340000000000002</v>
      </c>
      <c r="EE151">
        <v>5.2329999999999997</v>
      </c>
      <c r="EF151">
        <v>6.6120000000000001</v>
      </c>
      <c r="EG151">
        <v>1.002</v>
      </c>
      <c r="EH151">
        <v>1900</v>
      </c>
    </row>
    <row r="152" spans="29:138">
      <c r="AC152" t="s">
        <v>312</v>
      </c>
      <c r="AD152">
        <v>641.18299999999999</v>
      </c>
      <c r="AE152">
        <v>439.178</v>
      </c>
      <c r="AF152">
        <v>44.871000000000002</v>
      </c>
      <c r="AG152">
        <v>262.19900000000001</v>
      </c>
      <c r="AH152">
        <v>558.51300000000003</v>
      </c>
      <c r="AI152">
        <v>972.34199999999998</v>
      </c>
      <c r="AJ152">
        <v>1516.4739999999999</v>
      </c>
      <c r="AK152">
        <v>1.0009999999999999</v>
      </c>
      <c r="AL152">
        <v>3000</v>
      </c>
      <c r="AQ152" t="s">
        <v>312</v>
      </c>
      <c r="AR152">
        <v>644.66</v>
      </c>
      <c r="AS152">
        <v>438.02600000000001</v>
      </c>
      <c r="AT152">
        <v>48.365000000000002</v>
      </c>
      <c r="AU152">
        <v>267.45600000000002</v>
      </c>
      <c r="AV152">
        <v>557.56700000000001</v>
      </c>
      <c r="AW152">
        <v>985.59199999999998</v>
      </c>
      <c r="AX152">
        <v>1521.751</v>
      </c>
      <c r="AY152">
        <v>1.002</v>
      </c>
      <c r="AZ152">
        <v>1000</v>
      </c>
      <c r="BE152" t="s">
        <v>312</v>
      </c>
      <c r="BF152">
        <v>509.78500000000003</v>
      </c>
      <c r="BG152">
        <v>227.08</v>
      </c>
      <c r="BH152">
        <v>309.428</v>
      </c>
      <c r="BI152">
        <v>378.488</v>
      </c>
      <c r="BJ152">
        <v>433.46600000000001</v>
      </c>
      <c r="BK152">
        <v>551.44200000000001</v>
      </c>
      <c r="BL152">
        <v>1312.606</v>
      </c>
      <c r="BM152">
        <v>1.2749999999999999</v>
      </c>
      <c r="BN152">
        <v>15</v>
      </c>
      <c r="CU152" t="s">
        <v>312</v>
      </c>
      <c r="CV152">
        <v>501.25299999999999</v>
      </c>
      <c r="CW152">
        <v>237.762</v>
      </c>
      <c r="CX152">
        <v>311.86799999999999</v>
      </c>
      <c r="CY152">
        <v>371.18</v>
      </c>
      <c r="CZ152">
        <v>418.18299999999999</v>
      </c>
      <c r="DA152">
        <v>515.80999999999995</v>
      </c>
      <c r="DB152">
        <v>1299.2539999999999</v>
      </c>
      <c r="DC152">
        <v>1.028</v>
      </c>
      <c r="DD152">
        <v>120</v>
      </c>
      <c r="DI152" t="s">
        <v>312</v>
      </c>
      <c r="DJ152">
        <v>4.4269999999999996</v>
      </c>
      <c r="DK152">
        <v>1.32</v>
      </c>
      <c r="DL152">
        <v>1.8220000000000001</v>
      </c>
      <c r="DM152">
        <v>3.52</v>
      </c>
      <c r="DN152">
        <v>4.4480000000000004</v>
      </c>
      <c r="DO152">
        <v>5.3879999999999999</v>
      </c>
      <c r="DP152">
        <v>6.883</v>
      </c>
      <c r="DQ152">
        <v>1.0009999999999999</v>
      </c>
      <c r="DR152">
        <v>3000</v>
      </c>
      <c r="DY152" t="s">
        <v>312</v>
      </c>
      <c r="DZ152">
        <v>4.4379999999999997</v>
      </c>
      <c r="EA152">
        <v>1.179</v>
      </c>
      <c r="EB152">
        <v>2.04</v>
      </c>
      <c r="EC152">
        <v>3.6150000000000002</v>
      </c>
      <c r="ED152">
        <v>4.4969999999999999</v>
      </c>
      <c r="EE152">
        <v>5.258</v>
      </c>
      <c r="EF152">
        <v>6.6669999999999998</v>
      </c>
      <c r="EG152">
        <v>1.002</v>
      </c>
      <c r="EH152">
        <v>1900</v>
      </c>
    </row>
    <row r="153" spans="29:138">
      <c r="AC153" t="s">
        <v>313</v>
      </c>
      <c r="AD153">
        <v>381.04700000000003</v>
      </c>
      <c r="AE153">
        <v>392.47399999999999</v>
      </c>
      <c r="AF153">
        <v>7.9059999999999997</v>
      </c>
      <c r="AG153">
        <v>78.364000000000004</v>
      </c>
      <c r="AH153">
        <v>225.62799999999999</v>
      </c>
      <c r="AI153">
        <v>574.08600000000001</v>
      </c>
      <c r="AJ153">
        <v>1387.578</v>
      </c>
      <c r="AK153">
        <v>1.0009999999999999</v>
      </c>
      <c r="AL153">
        <v>3000</v>
      </c>
      <c r="AQ153" t="s">
        <v>313</v>
      </c>
      <c r="AR153">
        <v>397.40499999999997</v>
      </c>
      <c r="AS153">
        <v>402.39100000000002</v>
      </c>
      <c r="AT153">
        <v>10.92</v>
      </c>
      <c r="AU153">
        <v>88.167000000000002</v>
      </c>
      <c r="AV153">
        <v>240.679</v>
      </c>
      <c r="AW153">
        <v>606.10900000000004</v>
      </c>
      <c r="AX153">
        <v>1431.6969999999999</v>
      </c>
      <c r="AY153">
        <v>1.0009999999999999</v>
      </c>
      <c r="AZ153">
        <v>3000</v>
      </c>
      <c r="BE153" t="s">
        <v>313</v>
      </c>
      <c r="BF153">
        <v>47.16</v>
      </c>
      <c r="BG153">
        <v>115.235</v>
      </c>
      <c r="BH153">
        <v>7.7359999999999998</v>
      </c>
      <c r="BI153">
        <v>13.478</v>
      </c>
      <c r="BJ153">
        <v>18.353000000000002</v>
      </c>
      <c r="BK153">
        <v>27.963999999999999</v>
      </c>
      <c r="BL153">
        <v>288.14800000000002</v>
      </c>
      <c r="BM153">
        <v>1.05</v>
      </c>
      <c r="BN153">
        <v>210</v>
      </c>
      <c r="CU153" t="s">
        <v>313</v>
      </c>
      <c r="CV153">
        <v>48.39</v>
      </c>
      <c r="CW153">
        <v>170.74700000000001</v>
      </c>
      <c r="CX153">
        <v>6.069</v>
      </c>
      <c r="CY153">
        <v>11.571999999999999</v>
      </c>
      <c r="CZ153">
        <v>15.398999999999999</v>
      </c>
      <c r="DA153">
        <v>20.547000000000001</v>
      </c>
      <c r="DB153">
        <v>395.78</v>
      </c>
      <c r="DC153">
        <v>1.214</v>
      </c>
      <c r="DD153">
        <v>32</v>
      </c>
      <c r="DI153" t="s">
        <v>313</v>
      </c>
      <c r="DJ153">
        <v>4.4660000000000002</v>
      </c>
      <c r="DK153">
        <v>1.3280000000000001</v>
      </c>
      <c r="DL153">
        <v>1.7849999999999999</v>
      </c>
      <c r="DM153">
        <v>3.5419999999999998</v>
      </c>
      <c r="DN153">
        <v>4.5030000000000001</v>
      </c>
      <c r="DO153">
        <v>5.4169999999999998</v>
      </c>
      <c r="DP153">
        <v>6.9420000000000002</v>
      </c>
      <c r="DQ153">
        <v>1.0009999999999999</v>
      </c>
      <c r="DR153">
        <v>3000</v>
      </c>
      <c r="DY153" t="s">
        <v>313</v>
      </c>
      <c r="DZ153">
        <v>4.4329999999999998</v>
      </c>
      <c r="EA153">
        <v>1.1870000000000001</v>
      </c>
      <c r="EB153">
        <v>2.0489999999999999</v>
      </c>
      <c r="EC153">
        <v>3.613</v>
      </c>
      <c r="ED153">
        <v>4.4379999999999997</v>
      </c>
      <c r="EE153">
        <v>5.2759999999999998</v>
      </c>
      <c r="EF153">
        <v>6.6769999999999996</v>
      </c>
      <c r="EG153">
        <v>1.0009999999999999</v>
      </c>
      <c r="EH153">
        <v>3000</v>
      </c>
    </row>
    <row r="154" spans="29:138">
      <c r="AC154" t="s">
        <v>314</v>
      </c>
      <c r="AD154">
        <v>611.44899999999996</v>
      </c>
      <c r="AE154">
        <v>435.32799999999997</v>
      </c>
      <c r="AF154">
        <v>36.878</v>
      </c>
      <c r="AG154">
        <v>238.45699999999999</v>
      </c>
      <c r="AH154">
        <v>519.12</v>
      </c>
      <c r="AI154">
        <v>928.84500000000003</v>
      </c>
      <c r="AJ154">
        <v>1510.2239999999999</v>
      </c>
      <c r="AK154">
        <v>1.002</v>
      </c>
      <c r="AL154">
        <v>1400</v>
      </c>
      <c r="AQ154" t="s">
        <v>314</v>
      </c>
      <c r="AR154">
        <v>615.33500000000004</v>
      </c>
      <c r="AS154">
        <v>444.80099999999999</v>
      </c>
      <c r="AT154">
        <v>34.235999999999997</v>
      </c>
      <c r="AU154">
        <v>229.56200000000001</v>
      </c>
      <c r="AV154">
        <v>523.94399999999996</v>
      </c>
      <c r="AW154">
        <v>951.06200000000001</v>
      </c>
      <c r="AX154">
        <v>1531.41</v>
      </c>
      <c r="AY154">
        <v>1.0009999999999999</v>
      </c>
      <c r="AZ154">
        <v>3000</v>
      </c>
      <c r="BE154" t="s">
        <v>314</v>
      </c>
      <c r="BF154">
        <v>51.076999999999998</v>
      </c>
      <c r="BG154">
        <v>74.754999999999995</v>
      </c>
      <c r="BH154">
        <v>17.681000000000001</v>
      </c>
      <c r="BI154">
        <v>26.977</v>
      </c>
      <c r="BJ154">
        <v>32.987000000000002</v>
      </c>
      <c r="BK154">
        <v>41.191000000000003</v>
      </c>
      <c r="BL154">
        <v>326.30900000000003</v>
      </c>
      <c r="BM154">
        <v>1.0680000000000001</v>
      </c>
      <c r="BN154">
        <v>87</v>
      </c>
      <c r="CU154" t="s">
        <v>314</v>
      </c>
      <c r="CV154">
        <v>32.728000000000002</v>
      </c>
      <c r="CW154">
        <v>17.3</v>
      </c>
      <c r="CX154">
        <v>16.707000000000001</v>
      </c>
      <c r="CY154">
        <v>25.135000000000002</v>
      </c>
      <c r="CZ154">
        <v>30.292999999999999</v>
      </c>
      <c r="DA154">
        <v>36.576999999999998</v>
      </c>
      <c r="DB154">
        <v>55.901000000000003</v>
      </c>
      <c r="DC154">
        <v>1.0029999999999999</v>
      </c>
      <c r="DD154">
        <v>3000</v>
      </c>
      <c r="DI154" t="s">
        <v>314</v>
      </c>
      <c r="DJ154">
        <v>4.4180000000000001</v>
      </c>
      <c r="DK154">
        <v>1.3460000000000001</v>
      </c>
      <c r="DL154">
        <v>1.671</v>
      </c>
      <c r="DM154">
        <v>3.488</v>
      </c>
      <c r="DN154">
        <v>4.4779999999999998</v>
      </c>
      <c r="DO154">
        <v>5.4130000000000003</v>
      </c>
      <c r="DP154">
        <v>6.8490000000000002</v>
      </c>
      <c r="DQ154">
        <v>1.0009999999999999</v>
      </c>
      <c r="DR154">
        <v>3000</v>
      </c>
      <c r="DY154" t="s">
        <v>314</v>
      </c>
      <c r="DZ154">
        <v>4.4989999999999997</v>
      </c>
      <c r="EA154">
        <v>1.1739999999999999</v>
      </c>
      <c r="EB154">
        <v>2.1139999999999999</v>
      </c>
      <c r="EC154">
        <v>3.706</v>
      </c>
      <c r="ED154">
        <v>4.5149999999999997</v>
      </c>
      <c r="EE154">
        <v>5.319</v>
      </c>
      <c r="EF154">
        <v>6.7510000000000003</v>
      </c>
      <c r="EG154">
        <v>1.0009999999999999</v>
      </c>
      <c r="EH154">
        <v>2600</v>
      </c>
    </row>
    <row r="155" spans="29:138">
      <c r="AC155" t="s">
        <v>315</v>
      </c>
      <c r="AD155">
        <v>469.33499999999998</v>
      </c>
      <c r="AE155">
        <v>422.03399999999999</v>
      </c>
      <c r="AF155">
        <v>13.102</v>
      </c>
      <c r="AG155">
        <v>122.631</v>
      </c>
      <c r="AH155">
        <v>328.68299999999999</v>
      </c>
      <c r="AI155">
        <v>732.15800000000002</v>
      </c>
      <c r="AJ155">
        <v>1470.527</v>
      </c>
      <c r="AK155">
        <v>1.004</v>
      </c>
      <c r="AL155">
        <v>830</v>
      </c>
      <c r="AQ155" t="s">
        <v>315</v>
      </c>
      <c r="AR155">
        <v>488.01100000000002</v>
      </c>
      <c r="AS155">
        <v>428.274</v>
      </c>
      <c r="AT155">
        <v>13.55</v>
      </c>
      <c r="AU155">
        <v>138.459</v>
      </c>
      <c r="AV155">
        <v>356.86200000000002</v>
      </c>
      <c r="AW155">
        <v>764.28899999999999</v>
      </c>
      <c r="AX155">
        <v>1498.3979999999999</v>
      </c>
      <c r="AY155">
        <v>1.0009999999999999</v>
      </c>
      <c r="AZ155">
        <v>3000</v>
      </c>
      <c r="BE155" t="s">
        <v>315</v>
      </c>
      <c r="BF155">
        <v>13.6</v>
      </c>
      <c r="BG155">
        <v>22.254000000000001</v>
      </c>
      <c r="BH155">
        <v>2.3730000000000002</v>
      </c>
      <c r="BI155">
        <v>5.2409999999999997</v>
      </c>
      <c r="BJ155">
        <v>7.7240000000000002</v>
      </c>
      <c r="BK155">
        <v>11.478999999999999</v>
      </c>
      <c r="BL155">
        <v>89.977999999999994</v>
      </c>
      <c r="BM155">
        <v>1.0589999999999999</v>
      </c>
      <c r="BN155">
        <v>110</v>
      </c>
      <c r="CU155" t="s">
        <v>315</v>
      </c>
      <c r="CV155">
        <v>7.5590000000000002</v>
      </c>
      <c r="CW155">
        <v>18.138000000000002</v>
      </c>
      <c r="CX155">
        <v>1.389</v>
      </c>
      <c r="CY155">
        <v>3.5070000000000001</v>
      </c>
      <c r="CZ155">
        <v>5.5</v>
      </c>
      <c r="DA155">
        <v>7.8769999999999998</v>
      </c>
      <c r="DB155">
        <v>16.113</v>
      </c>
      <c r="DC155">
        <v>1.01</v>
      </c>
      <c r="DD155">
        <v>640</v>
      </c>
      <c r="DI155" t="s">
        <v>315</v>
      </c>
      <c r="DJ155">
        <v>4.43</v>
      </c>
      <c r="DK155">
        <v>1.306</v>
      </c>
      <c r="DL155">
        <v>1.7529999999999999</v>
      </c>
      <c r="DM155">
        <v>3.5369999999999999</v>
      </c>
      <c r="DN155">
        <v>4.4720000000000004</v>
      </c>
      <c r="DO155">
        <v>5.3979999999999997</v>
      </c>
      <c r="DP155">
        <v>6.8319999999999999</v>
      </c>
      <c r="DQ155">
        <v>1.0009999999999999</v>
      </c>
      <c r="DR155">
        <v>2800</v>
      </c>
      <c r="DY155" t="s">
        <v>315</v>
      </c>
      <c r="DZ155">
        <v>4.4720000000000004</v>
      </c>
      <c r="EA155">
        <v>1.1579999999999999</v>
      </c>
      <c r="EB155">
        <v>2.101</v>
      </c>
      <c r="EC155">
        <v>3.702</v>
      </c>
      <c r="ED155">
        <v>4.5060000000000002</v>
      </c>
      <c r="EE155">
        <v>5.2759999999999998</v>
      </c>
      <c r="EF155">
        <v>6.6749999999999998</v>
      </c>
      <c r="EG155">
        <v>1.0009999999999999</v>
      </c>
      <c r="EH155">
        <v>3000</v>
      </c>
    </row>
    <row r="156" spans="29:138">
      <c r="AC156" t="s">
        <v>316</v>
      </c>
      <c r="AD156">
        <v>613.99099999999999</v>
      </c>
      <c r="AE156">
        <v>441.78199999999998</v>
      </c>
      <c r="AF156">
        <v>41.124000000000002</v>
      </c>
      <c r="AG156">
        <v>227.7</v>
      </c>
      <c r="AH156">
        <v>527.15599999999995</v>
      </c>
      <c r="AI156">
        <v>954.92399999999998</v>
      </c>
      <c r="AJ156">
        <v>1516.5029999999999</v>
      </c>
      <c r="AK156">
        <v>1.0009999999999999</v>
      </c>
      <c r="AL156">
        <v>3000</v>
      </c>
      <c r="AQ156" t="s">
        <v>316</v>
      </c>
      <c r="AR156">
        <v>614.76900000000001</v>
      </c>
      <c r="AS156">
        <v>432.50900000000001</v>
      </c>
      <c r="AT156">
        <v>39.777999999999999</v>
      </c>
      <c r="AU156">
        <v>245.273</v>
      </c>
      <c r="AV156">
        <v>517.20299999999997</v>
      </c>
      <c r="AW156">
        <v>930.54</v>
      </c>
      <c r="AX156">
        <v>1512.973</v>
      </c>
      <c r="AY156">
        <v>1.0009999999999999</v>
      </c>
      <c r="AZ156">
        <v>3000</v>
      </c>
      <c r="BE156" t="s">
        <v>316</v>
      </c>
      <c r="BF156">
        <v>382.25299999999999</v>
      </c>
      <c r="BG156">
        <v>301.238</v>
      </c>
      <c r="BH156">
        <v>153.63399999999999</v>
      </c>
      <c r="BI156">
        <v>192.72200000000001</v>
      </c>
      <c r="BJ156">
        <v>234.249</v>
      </c>
      <c r="BK156">
        <v>449.62799999999999</v>
      </c>
      <c r="BL156">
        <v>1208.039</v>
      </c>
      <c r="BM156">
        <v>1.266</v>
      </c>
      <c r="BN156">
        <v>13</v>
      </c>
      <c r="CU156" t="s">
        <v>316</v>
      </c>
      <c r="CV156">
        <v>259.68700000000001</v>
      </c>
      <c r="CW156">
        <v>215.62200000000001</v>
      </c>
      <c r="CX156">
        <v>148.672</v>
      </c>
      <c r="CY156">
        <v>174.495</v>
      </c>
      <c r="CZ156">
        <v>194.36600000000001</v>
      </c>
      <c r="DA156">
        <v>232.13800000000001</v>
      </c>
      <c r="DB156">
        <v>1054.7750000000001</v>
      </c>
      <c r="DC156">
        <v>1.208</v>
      </c>
      <c r="DD156">
        <v>31</v>
      </c>
      <c r="DI156" t="s">
        <v>316</v>
      </c>
      <c r="DJ156">
        <v>4.46</v>
      </c>
      <c r="DK156">
        <v>1.3089999999999999</v>
      </c>
      <c r="DL156">
        <v>1.821</v>
      </c>
      <c r="DM156">
        <v>3.5409999999999999</v>
      </c>
      <c r="DN156">
        <v>4.5039999999999996</v>
      </c>
      <c r="DO156">
        <v>5.3840000000000003</v>
      </c>
      <c r="DP156">
        <v>6.9470000000000001</v>
      </c>
      <c r="DQ156">
        <v>1.002</v>
      </c>
      <c r="DR156">
        <v>3000</v>
      </c>
      <c r="DY156" t="s">
        <v>316</v>
      </c>
      <c r="DZ156">
        <v>4.4820000000000002</v>
      </c>
      <c r="EA156">
        <v>1.1679999999999999</v>
      </c>
      <c r="EB156">
        <v>2.222</v>
      </c>
      <c r="EC156">
        <v>3.6749999999999998</v>
      </c>
      <c r="ED156">
        <v>4.4770000000000003</v>
      </c>
      <c r="EE156">
        <v>5.3109999999999999</v>
      </c>
      <c r="EF156">
        <v>6.75</v>
      </c>
      <c r="EG156">
        <v>1.0009999999999999</v>
      </c>
      <c r="EH156">
        <v>3000</v>
      </c>
    </row>
    <row r="157" spans="29:138">
      <c r="AC157" t="s">
        <v>317</v>
      </c>
      <c r="AD157">
        <v>344.601</v>
      </c>
      <c r="AE157">
        <v>382.98700000000002</v>
      </c>
      <c r="AF157">
        <v>6.1710000000000003</v>
      </c>
      <c r="AG157">
        <v>58.055999999999997</v>
      </c>
      <c r="AH157">
        <v>188.017</v>
      </c>
      <c r="AI157">
        <v>505.47</v>
      </c>
      <c r="AJ157">
        <v>1381.6780000000001</v>
      </c>
      <c r="AK157">
        <v>1.0009999999999999</v>
      </c>
      <c r="AL157">
        <v>3000</v>
      </c>
      <c r="AQ157" t="s">
        <v>317</v>
      </c>
      <c r="AR157">
        <v>368.42599999999999</v>
      </c>
      <c r="AS157">
        <v>395.07100000000003</v>
      </c>
      <c r="AT157">
        <v>5.9429999999999996</v>
      </c>
      <c r="AU157">
        <v>66.718999999999994</v>
      </c>
      <c r="AV157">
        <v>205.928</v>
      </c>
      <c r="AW157">
        <v>555.94000000000005</v>
      </c>
      <c r="AX157">
        <v>1394.856</v>
      </c>
      <c r="AY157">
        <v>1.0029999999999999</v>
      </c>
      <c r="AZ157">
        <v>1200</v>
      </c>
      <c r="BE157" t="s">
        <v>317</v>
      </c>
      <c r="BF157">
        <v>284.37</v>
      </c>
      <c r="BG157">
        <v>361.411</v>
      </c>
      <c r="BH157">
        <v>1.1040000000000001</v>
      </c>
      <c r="BI157">
        <v>2.9769999999999999</v>
      </c>
      <c r="BJ157">
        <v>131.786</v>
      </c>
      <c r="BK157">
        <v>434.91800000000001</v>
      </c>
      <c r="BL157">
        <v>1250.5440000000001</v>
      </c>
      <c r="BM157">
        <v>1.3280000000000001</v>
      </c>
      <c r="BN157">
        <v>10</v>
      </c>
      <c r="CU157" t="s">
        <v>317</v>
      </c>
      <c r="CV157">
        <v>289.447</v>
      </c>
      <c r="CW157">
        <v>463.404</v>
      </c>
      <c r="CX157">
        <v>1.0349999999999999</v>
      </c>
      <c r="CY157">
        <v>1.4039999999999999</v>
      </c>
      <c r="CZ157">
        <v>2.2749999999999999</v>
      </c>
      <c r="DA157">
        <v>549.39499999999998</v>
      </c>
      <c r="DB157">
        <v>1452.028</v>
      </c>
      <c r="DC157">
        <v>1.3859999999999999</v>
      </c>
      <c r="DD157">
        <v>9</v>
      </c>
      <c r="DI157" t="s">
        <v>317</v>
      </c>
      <c r="DJ157">
        <v>4.4509999999999996</v>
      </c>
      <c r="DK157">
        <v>1.3029999999999999</v>
      </c>
      <c r="DL157">
        <v>1.7410000000000001</v>
      </c>
      <c r="DM157">
        <v>3.5649999999999999</v>
      </c>
      <c r="DN157">
        <v>4.4669999999999996</v>
      </c>
      <c r="DO157">
        <v>5.3849999999999998</v>
      </c>
      <c r="DP157">
        <v>6.7850000000000001</v>
      </c>
      <c r="DQ157">
        <v>1.0009999999999999</v>
      </c>
      <c r="DR157">
        <v>3000</v>
      </c>
      <c r="DY157" t="s">
        <v>317</v>
      </c>
      <c r="DZ157">
        <v>4.5170000000000003</v>
      </c>
      <c r="EA157">
        <v>1.1759999999999999</v>
      </c>
      <c r="EB157">
        <v>2.1219999999999999</v>
      </c>
      <c r="EC157">
        <v>3.7370000000000001</v>
      </c>
      <c r="ED157">
        <v>4.5449999999999999</v>
      </c>
      <c r="EE157">
        <v>5.3620000000000001</v>
      </c>
      <c r="EF157">
        <v>6.7439999999999998</v>
      </c>
      <c r="EG157">
        <v>1.002</v>
      </c>
      <c r="EH157">
        <v>1600</v>
      </c>
    </row>
    <row r="158" spans="29:138">
      <c r="AC158" t="s">
        <v>318</v>
      </c>
      <c r="AD158">
        <v>398.30200000000002</v>
      </c>
      <c r="AE158">
        <v>402.66399999999999</v>
      </c>
      <c r="AF158">
        <v>8.9949999999999992</v>
      </c>
      <c r="AG158">
        <v>83.355999999999995</v>
      </c>
      <c r="AH158">
        <v>242.898</v>
      </c>
      <c r="AI158">
        <v>598.47199999999998</v>
      </c>
      <c r="AJ158">
        <v>1422.818</v>
      </c>
      <c r="AK158">
        <v>1.002</v>
      </c>
      <c r="AL158">
        <v>1500</v>
      </c>
      <c r="AQ158" t="s">
        <v>318</v>
      </c>
      <c r="AR158">
        <v>425.01900000000001</v>
      </c>
      <c r="AS158">
        <v>408.464</v>
      </c>
      <c r="AT158">
        <v>11.987</v>
      </c>
      <c r="AU158">
        <v>100.90300000000001</v>
      </c>
      <c r="AV158">
        <v>282.24099999999999</v>
      </c>
      <c r="AW158">
        <v>635.67100000000005</v>
      </c>
      <c r="AX158">
        <v>1449.835</v>
      </c>
      <c r="AY158">
        <v>1.0029999999999999</v>
      </c>
      <c r="AZ158">
        <v>980</v>
      </c>
      <c r="BE158" t="s">
        <v>318</v>
      </c>
      <c r="BF158">
        <v>21.343</v>
      </c>
      <c r="BG158">
        <v>42.491999999999997</v>
      </c>
      <c r="BH158">
        <v>4.9000000000000004</v>
      </c>
      <c r="BI158">
        <v>9.1419999999999995</v>
      </c>
      <c r="BJ158">
        <v>12.596</v>
      </c>
      <c r="BK158">
        <v>17.515000000000001</v>
      </c>
      <c r="BL158">
        <v>102.48699999999999</v>
      </c>
      <c r="BM158">
        <v>1.1319999999999999</v>
      </c>
      <c r="BN158">
        <v>46</v>
      </c>
      <c r="CU158" t="s">
        <v>318</v>
      </c>
      <c r="CV158">
        <v>20.675999999999998</v>
      </c>
      <c r="CW158">
        <v>61.567</v>
      </c>
      <c r="CX158">
        <v>3.4380000000000002</v>
      </c>
      <c r="CY158">
        <v>7.5209999999999999</v>
      </c>
      <c r="CZ158">
        <v>10.449</v>
      </c>
      <c r="DA158">
        <v>14.214</v>
      </c>
      <c r="DB158">
        <v>139.25399999999999</v>
      </c>
      <c r="DC158">
        <v>1.0669999999999999</v>
      </c>
      <c r="DD158">
        <v>190</v>
      </c>
      <c r="DI158" t="s">
        <v>318</v>
      </c>
      <c r="DJ158">
        <v>4.3869999999999996</v>
      </c>
      <c r="DK158">
        <v>1.337</v>
      </c>
      <c r="DL158">
        <v>1.649</v>
      </c>
      <c r="DM158">
        <v>3.492</v>
      </c>
      <c r="DN158">
        <v>4.4489999999999998</v>
      </c>
      <c r="DO158">
        <v>5.359</v>
      </c>
      <c r="DP158">
        <v>6.8120000000000003</v>
      </c>
      <c r="DQ158">
        <v>1.0029999999999999</v>
      </c>
      <c r="DR158">
        <v>3000</v>
      </c>
      <c r="DY158" t="s">
        <v>318</v>
      </c>
      <c r="DZ158">
        <v>4.4850000000000003</v>
      </c>
      <c r="EA158">
        <v>1.1499999999999999</v>
      </c>
      <c r="EB158">
        <v>2.1640000000000001</v>
      </c>
      <c r="EC158">
        <v>3.7130000000000001</v>
      </c>
      <c r="ED158">
        <v>4.5019999999999998</v>
      </c>
      <c r="EE158">
        <v>5.2889999999999997</v>
      </c>
      <c r="EF158">
        <v>6.67</v>
      </c>
      <c r="EG158">
        <v>1.012</v>
      </c>
      <c r="EH158">
        <v>2900</v>
      </c>
    </row>
    <row r="159" spans="29:138">
      <c r="AC159" t="s">
        <v>319</v>
      </c>
      <c r="AD159">
        <v>636.49199999999996</v>
      </c>
      <c r="AE159">
        <v>440.935</v>
      </c>
      <c r="AF159">
        <v>41.02</v>
      </c>
      <c r="AG159">
        <v>246.417</v>
      </c>
      <c r="AH159">
        <v>561.55700000000002</v>
      </c>
      <c r="AI159">
        <v>961.72500000000002</v>
      </c>
      <c r="AJ159">
        <v>1536.21</v>
      </c>
      <c r="AK159">
        <v>1.0009999999999999</v>
      </c>
      <c r="AL159">
        <v>3000</v>
      </c>
      <c r="AQ159" t="s">
        <v>319</v>
      </c>
      <c r="AR159">
        <v>633.78499999999997</v>
      </c>
      <c r="AS159">
        <v>432.303</v>
      </c>
      <c r="AT159">
        <v>42.982999999999997</v>
      </c>
      <c r="AU159">
        <v>256.185</v>
      </c>
      <c r="AV159">
        <v>553.91700000000003</v>
      </c>
      <c r="AW159">
        <v>967.03899999999999</v>
      </c>
      <c r="AX159">
        <v>1518.979</v>
      </c>
      <c r="AY159">
        <v>1.0009999999999999</v>
      </c>
      <c r="AZ159">
        <v>3000</v>
      </c>
      <c r="BE159" t="s">
        <v>319</v>
      </c>
      <c r="BF159">
        <v>128.071</v>
      </c>
      <c r="BG159">
        <v>104.511</v>
      </c>
      <c r="BH159">
        <v>61.408999999999999</v>
      </c>
      <c r="BI159">
        <v>82.805999999999997</v>
      </c>
      <c r="BJ159">
        <v>97.932000000000002</v>
      </c>
      <c r="BK159">
        <v>120.98</v>
      </c>
      <c r="BL159">
        <v>455.43700000000001</v>
      </c>
      <c r="BM159">
        <v>1.0900000000000001</v>
      </c>
      <c r="BN159">
        <v>46</v>
      </c>
      <c r="CU159" t="s">
        <v>319</v>
      </c>
      <c r="CV159">
        <v>152.76400000000001</v>
      </c>
      <c r="CW159">
        <v>205.31800000000001</v>
      </c>
      <c r="CX159">
        <v>60.762999999999998</v>
      </c>
      <c r="CY159">
        <v>83.638000000000005</v>
      </c>
      <c r="CZ159">
        <v>97.09</v>
      </c>
      <c r="DA159">
        <v>116.48699999999999</v>
      </c>
      <c r="DB159">
        <v>932.32299999999998</v>
      </c>
      <c r="DC159">
        <v>1.0780000000000001</v>
      </c>
      <c r="DD159">
        <v>96</v>
      </c>
      <c r="DI159" t="s">
        <v>319</v>
      </c>
      <c r="DJ159">
        <v>4.4219999999999997</v>
      </c>
      <c r="DK159">
        <v>1.3149999999999999</v>
      </c>
      <c r="DL159">
        <v>1.7869999999999999</v>
      </c>
      <c r="DM159">
        <v>3.5089999999999999</v>
      </c>
      <c r="DN159">
        <v>4.4279999999999999</v>
      </c>
      <c r="DO159">
        <v>5.3559999999999999</v>
      </c>
      <c r="DP159">
        <v>6.9320000000000004</v>
      </c>
      <c r="DQ159">
        <v>1.0009999999999999</v>
      </c>
      <c r="DR159">
        <v>2900</v>
      </c>
      <c r="DY159" t="s">
        <v>319</v>
      </c>
      <c r="DZ159">
        <v>4.4569999999999999</v>
      </c>
      <c r="EA159">
        <v>1.165</v>
      </c>
      <c r="EB159">
        <v>2.048</v>
      </c>
      <c r="EC159">
        <v>3.6840000000000002</v>
      </c>
      <c r="ED159">
        <v>4.468</v>
      </c>
      <c r="EE159">
        <v>5.2469999999999999</v>
      </c>
      <c r="EF159">
        <v>6.6619999999999999</v>
      </c>
      <c r="EG159">
        <v>1.0009999999999999</v>
      </c>
      <c r="EH159">
        <v>3000</v>
      </c>
    </row>
    <row r="160" spans="29:138">
      <c r="AC160" t="s">
        <v>320</v>
      </c>
      <c r="AD160">
        <v>258.649</v>
      </c>
      <c r="AE160">
        <v>333.15600000000001</v>
      </c>
      <c r="AF160">
        <v>3.4980000000000002</v>
      </c>
      <c r="AG160">
        <v>33.664999999999999</v>
      </c>
      <c r="AH160">
        <v>114.667</v>
      </c>
      <c r="AI160">
        <v>347.11500000000001</v>
      </c>
      <c r="AJ160">
        <v>1258.992</v>
      </c>
      <c r="AK160">
        <v>1.002</v>
      </c>
      <c r="AL160">
        <v>1600</v>
      </c>
      <c r="AQ160" t="s">
        <v>320</v>
      </c>
      <c r="AR160">
        <v>254.40799999999999</v>
      </c>
      <c r="AS160">
        <v>335.74400000000003</v>
      </c>
      <c r="AT160">
        <v>3.4660000000000002</v>
      </c>
      <c r="AU160">
        <v>35.082999999999998</v>
      </c>
      <c r="AV160">
        <v>112.145</v>
      </c>
      <c r="AW160">
        <v>325.52199999999999</v>
      </c>
      <c r="AX160">
        <v>1309.2170000000001</v>
      </c>
      <c r="AY160">
        <v>1.0009999999999999</v>
      </c>
      <c r="AZ160">
        <v>3000</v>
      </c>
      <c r="BE160" t="s">
        <v>320</v>
      </c>
      <c r="BF160">
        <v>21.722999999999999</v>
      </c>
      <c r="BG160">
        <v>22.923999999999999</v>
      </c>
      <c r="BH160">
        <v>5.6989999999999998</v>
      </c>
      <c r="BI160">
        <v>11.042999999999999</v>
      </c>
      <c r="BJ160">
        <v>15.25</v>
      </c>
      <c r="BK160">
        <v>22.042999999999999</v>
      </c>
      <c r="BL160">
        <v>95.125</v>
      </c>
      <c r="BM160">
        <v>1.0169999999999999</v>
      </c>
      <c r="BN160">
        <v>260</v>
      </c>
      <c r="CU160" t="s">
        <v>320</v>
      </c>
      <c r="CV160">
        <v>77.429000000000002</v>
      </c>
      <c r="CW160">
        <v>221.32900000000001</v>
      </c>
      <c r="CX160">
        <v>5.1630000000000003</v>
      </c>
      <c r="CY160">
        <v>10.564</v>
      </c>
      <c r="CZ160">
        <v>14.728999999999999</v>
      </c>
      <c r="DA160">
        <v>23.774000000000001</v>
      </c>
      <c r="DB160">
        <v>1019.309</v>
      </c>
      <c r="DC160">
        <v>1.1439999999999999</v>
      </c>
      <c r="DD160">
        <v>41</v>
      </c>
      <c r="DI160" t="s">
        <v>320</v>
      </c>
      <c r="DJ160">
        <v>4.4260000000000002</v>
      </c>
      <c r="DK160">
        <v>1.345</v>
      </c>
      <c r="DL160">
        <v>1.7689999999999999</v>
      </c>
      <c r="DM160">
        <v>3.5230000000000001</v>
      </c>
      <c r="DN160">
        <v>4.4589999999999996</v>
      </c>
      <c r="DO160">
        <v>5.4269999999999996</v>
      </c>
      <c r="DP160">
        <v>6.8940000000000001</v>
      </c>
      <c r="DQ160">
        <v>1.0009999999999999</v>
      </c>
      <c r="DR160">
        <v>3000</v>
      </c>
      <c r="DY160" t="s">
        <v>320</v>
      </c>
      <c r="DZ160">
        <v>4.4729999999999999</v>
      </c>
      <c r="EA160">
        <v>1.173</v>
      </c>
      <c r="EB160">
        <v>2.1</v>
      </c>
      <c r="EC160">
        <v>3.69</v>
      </c>
      <c r="ED160">
        <v>4.4939999999999998</v>
      </c>
      <c r="EE160">
        <v>5.2539999999999996</v>
      </c>
      <c r="EF160">
        <v>6.7839999999999998</v>
      </c>
      <c r="EG160">
        <v>1.002</v>
      </c>
      <c r="EH160">
        <v>3000</v>
      </c>
    </row>
    <row r="161" spans="29:138">
      <c r="AC161" t="s">
        <v>321</v>
      </c>
      <c r="AD161">
        <v>587.53800000000001</v>
      </c>
      <c r="AE161">
        <v>437.54399999999998</v>
      </c>
      <c r="AF161">
        <v>34.39</v>
      </c>
      <c r="AG161">
        <v>215.88399999999999</v>
      </c>
      <c r="AH161">
        <v>485.60300000000001</v>
      </c>
      <c r="AI161">
        <v>894.87400000000002</v>
      </c>
      <c r="AJ161">
        <v>1525.3710000000001</v>
      </c>
      <c r="AK161">
        <v>1.002</v>
      </c>
      <c r="AL161">
        <v>2000</v>
      </c>
      <c r="AQ161" t="s">
        <v>321</v>
      </c>
      <c r="AR161">
        <v>605.42600000000004</v>
      </c>
      <c r="AS161">
        <v>440.95699999999999</v>
      </c>
      <c r="AT161">
        <v>33.468000000000004</v>
      </c>
      <c r="AU161">
        <v>221.27</v>
      </c>
      <c r="AV161">
        <v>507.02600000000001</v>
      </c>
      <c r="AW161">
        <v>943.04899999999998</v>
      </c>
      <c r="AX161">
        <v>1519.0709999999999</v>
      </c>
      <c r="AY161">
        <v>1.0009999999999999</v>
      </c>
      <c r="AZ161">
        <v>3000</v>
      </c>
      <c r="BE161" t="s">
        <v>321</v>
      </c>
      <c r="BF161">
        <v>49.393000000000001</v>
      </c>
      <c r="BG161">
        <v>116.60299999999999</v>
      </c>
      <c r="BH161">
        <v>7.4749999999999996</v>
      </c>
      <c r="BI161">
        <v>12.893000000000001</v>
      </c>
      <c r="BJ161">
        <v>16.837</v>
      </c>
      <c r="BK161">
        <v>22.977</v>
      </c>
      <c r="BL161">
        <v>482.79300000000001</v>
      </c>
      <c r="BM161">
        <v>1.0980000000000001</v>
      </c>
      <c r="BN161">
        <v>52</v>
      </c>
      <c r="CU161" t="s">
        <v>321</v>
      </c>
      <c r="CV161">
        <v>17.401</v>
      </c>
      <c r="CW161">
        <v>23.353000000000002</v>
      </c>
      <c r="CX161">
        <v>6.2380000000000004</v>
      </c>
      <c r="CY161">
        <v>10.958</v>
      </c>
      <c r="CZ161">
        <v>14.311999999999999</v>
      </c>
      <c r="DA161">
        <v>18.321999999999999</v>
      </c>
      <c r="DB161">
        <v>34.521999999999998</v>
      </c>
      <c r="DC161">
        <v>1.0129999999999999</v>
      </c>
      <c r="DD161">
        <v>680</v>
      </c>
      <c r="DI161" t="s">
        <v>321</v>
      </c>
      <c r="DJ161">
        <v>4.4429999999999996</v>
      </c>
      <c r="DK161">
        <v>1.34</v>
      </c>
      <c r="DL161">
        <v>1.758</v>
      </c>
      <c r="DM161">
        <v>3.4929999999999999</v>
      </c>
      <c r="DN161">
        <v>4.4729999999999999</v>
      </c>
      <c r="DO161">
        <v>5.4139999999999997</v>
      </c>
      <c r="DP161">
        <v>6.9390000000000001</v>
      </c>
      <c r="DQ161">
        <v>1.0029999999999999</v>
      </c>
      <c r="DR161">
        <v>3000</v>
      </c>
      <c r="DY161" t="s">
        <v>321</v>
      </c>
      <c r="DZ161">
        <v>4.4649999999999999</v>
      </c>
      <c r="EA161">
        <v>1.1819999999999999</v>
      </c>
      <c r="EB161">
        <v>2.0979999999999999</v>
      </c>
      <c r="EC161">
        <v>3.6739999999999999</v>
      </c>
      <c r="ED161">
        <v>4.4720000000000004</v>
      </c>
      <c r="EE161">
        <v>5.27</v>
      </c>
      <c r="EF161">
        <v>6.7590000000000003</v>
      </c>
      <c r="EG161">
        <v>1.0029999999999999</v>
      </c>
      <c r="EH161">
        <v>2800</v>
      </c>
    </row>
    <row r="162" spans="29:138">
      <c r="AC162" t="s">
        <v>322</v>
      </c>
      <c r="AD162">
        <v>315.166</v>
      </c>
      <c r="AE162">
        <v>359.03300000000002</v>
      </c>
      <c r="AF162">
        <v>5.6269999999999998</v>
      </c>
      <c r="AG162">
        <v>55.441000000000003</v>
      </c>
      <c r="AH162">
        <v>169.249</v>
      </c>
      <c r="AI162">
        <v>438.40100000000001</v>
      </c>
      <c r="AJ162">
        <v>1346.798</v>
      </c>
      <c r="AK162">
        <v>1.0009999999999999</v>
      </c>
      <c r="AL162">
        <v>3000</v>
      </c>
      <c r="AQ162" t="s">
        <v>322</v>
      </c>
      <c r="AR162">
        <v>319.67700000000002</v>
      </c>
      <c r="AS162">
        <v>363.55799999999999</v>
      </c>
      <c r="AT162">
        <v>6.1230000000000002</v>
      </c>
      <c r="AU162">
        <v>57.401000000000003</v>
      </c>
      <c r="AV162">
        <v>168.42</v>
      </c>
      <c r="AW162">
        <v>450.26299999999998</v>
      </c>
      <c r="AX162">
        <v>1348.575</v>
      </c>
      <c r="AY162">
        <v>1.0009999999999999</v>
      </c>
      <c r="AZ162">
        <v>3000</v>
      </c>
      <c r="BE162" t="s">
        <v>322</v>
      </c>
      <c r="BF162">
        <v>120.27200000000001</v>
      </c>
      <c r="BG162">
        <v>155.97200000000001</v>
      </c>
      <c r="BH162">
        <v>41.116</v>
      </c>
      <c r="BI162">
        <v>57.534999999999997</v>
      </c>
      <c r="BJ162">
        <v>72.531000000000006</v>
      </c>
      <c r="BK162">
        <v>107.01300000000001</v>
      </c>
      <c r="BL162">
        <v>577.98699999999997</v>
      </c>
      <c r="BM162">
        <v>1.2390000000000001</v>
      </c>
      <c r="BN162">
        <v>20</v>
      </c>
      <c r="CU162" t="s">
        <v>322</v>
      </c>
      <c r="CV162">
        <v>104.977</v>
      </c>
      <c r="CW162">
        <v>151.471</v>
      </c>
      <c r="CX162">
        <v>38.731000000000002</v>
      </c>
      <c r="CY162">
        <v>52.643000000000001</v>
      </c>
      <c r="CZ162">
        <v>63.106000000000002</v>
      </c>
      <c r="DA162">
        <v>83.676000000000002</v>
      </c>
      <c r="DB162">
        <v>548.69100000000003</v>
      </c>
      <c r="DC162">
        <v>1.0880000000000001</v>
      </c>
      <c r="DD162">
        <v>60</v>
      </c>
      <c r="DI162" t="s">
        <v>322</v>
      </c>
      <c r="DJ162">
        <v>4.4379999999999997</v>
      </c>
      <c r="DK162">
        <v>1.3160000000000001</v>
      </c>
      <c r="DL162">
        <v>1.7709999999999999</v>
      </c>
      <c r="DM162">
        <v>3.5459999999999998</v>
      </c>
      <c r="DN162">
        <v>4.4649999999999999</v>
      </c>
      <c r="DO162">
        <v>5.3710000000000004</v>
      </c>
      <c r="DP162">
        <v>6.867</v>
      </c>
      <c r="DQ162">
        <v>1.012</v>
      </c>
      <c r="DR162">
        <v>1000</v>
      </c>
      <c r="DY162" t="s">
        <v>322</v>
      </c>
      <c r="DZ162">
        <v>4.4859999999999998</v>
      </c>
      <c r="EA162">
        <v>1.153</v>
      </c>
      <c r="EB162">
        <v>2.2149999999999999</v>
      </c>
      <c r="EC162">
        <v>3.6960000000000002</v>
      </c>
      <c r="ED162">
        <v>4.5049999999999999</v>
      </c>
      <c r="EE162">
        <v>5.28</v>
      </c>
      <c r="EF162">
        <v>6.6920000000000002</v>
      </c>
      <c r="EG162">
        <v>1.0009999999999999</v>
      </c>
      <c r="EH162">
        <v>3000</v>
      </c>
    </row>
    <row r="163" spans="29:138">
      <c r="AC163" t="s">
        <v>323</v>
      </c>
      <c r="AD163">
        <v>496.41</v>
      </c>
      <c r="AE163">
        <v>430.13099999999997</v>
      </c>
      <c r="AF163">
        <v>17.923999999999999</v>
      </c>
      <c r="AG163">
        <v>138.251</v>
      </c>
      <c r="AH163">
        <v>357.91</v>
      </c>
      <c r="AI163">
        <v>762.88800000000003</v>
      </c>
      <c r="AJ163">
        <v>1490.204</v>
      </c>
      <c r="AK163">
        <v>1.002</v>
      </c>
      <c r="AL163">
        <v>1600</v>
      </c>
      <c r="AQ163" t="s">
        <v>323</v>
      </c>
      <c r="AR163">
        <v>514.08799999999997</v>
      </c>
      <c r="AS163">
        <v>435.71199999999999</v>
      </c>
      <c r="AT163">
        <v>16.579999999999998</v>
      </c>
      <c r="AU163">
        <v>148.584</v>
      </c>
      <c r="AV163">
        <v>380.12799999999999</v>
      </c>
      <c r="AW163">
        <v>802.053</v>
      </c>
      <c r="AX163">
        <v>1506.759</v>
      </c>
      <c r="AY163">
        <v>1.002</v>
      </c>
      <c r="AZ163">
        <v>1200</v>
      </c>
      <c r="BE163" t="s">
        <v>323</v>
      </c>
      <c r="BF163">
        <v>63.164000000000001</v>
      </c>
      <c r="BG163">
        <v>174.375</v>
      </c>
      <c r="BH163">
        <v>3.851</v>
      </c>
      <c r="BI163">
        <v>7.8609999999999998</v>
      </c>
      <c r="BJ163">
        <v>11.16</v>
      </c>
      <c r="BK163">
        <v>17.675999999999998</v>
      </c>
      <c r="BL163">
        <v>692.024</v>
      </c>
      <c r="BM163">
        <v>1.4370000000000001</v>
      </c>
      <c r="BN163">
        <v>11</v>
      </c>
      <c r="CU163" t="s">
        <v>323</v>
      </c>
      <c r="CV163">
        <v>163.89599999999999</v>
      </c>
      <c r="CW163">
        <v>373.334</v>
      </c>
      <c r="CX163">
        <v>2.7490000000000001</v>
      </c>
      <c r="CY163">
        <v>6.5720000000000001</v>
      </c>
      <c r="CZ163">
        <v>9.65</v>
      </c>
      <c r="DA163">
        <v>15.263999999999999</v>
      </c>
      <c r="DB163">
        <v>1395.95</v>
      </c>
      <c r="DC163">
        <v>1.2390000000000001</v>
      </c>
      <c r="DD163">
        <v>16</v>
      </c>
      <c r="DI163" t="s">
        <v>323</v>
      </c>
      <c r="DJ163">
        <v>4.45</v>
      </c>
      <c r="DK163">
        <v>1.33</v>
      </c>
      <c r="DL163">
        <v>1.679</v>
      </c>
      <c r="DM163">
        <v>3.5659999999999998</v>
      </c>
      <c r="DN163">
        <v>4.4690000000000003</v>
      </c>
      <c r="DO163">
        <v>5.4279999999999999</v>
      </c>
      <c r="DP163">
        <v>6.9050000000000002</v>
      </c>
      <c r="DQ163">
        <v>1.0029999999999999</v>
      </c>
      <c r="DR163">
        <v>920</v>
      </c>
      <c r="DY163" t="s">
        <v>323</v>
      </c>
      <c r="DZ163">
        <v>4.5030000000000001</v>
      </c>
      <c r="EA163">
        <v>1.1739999999999999</v>
      </c>
      <c r="EB163">
        <v>2.1459999999999999</v>
      </c>
      <c r="EC163">
        <v>3.73</v>
      </c>
      <c r="ED163">
        <v>4.516</v>
      </c>
      <c r="EE163">
        <v>5.3090000000000002</v>
      </c>
      <c r="EF163">
        <v>6.7409999999999997</v>
      </c>
      <c r="EG163">
        <v>1.0009999999999999</v>
      </c>
      <c r="EH163">
        <v>3000</v>
      </c>
    </row>
    <row r="164" spans="29:138">
      <c r="AC164" t="s">
        <v>324</v>
      </c>
      <c r="AD164">
        <v>404.63400000000001</v>
      </c>
      <c r="AE164">
        <v>404.11200000000002</v>
      </c>
      <c r="AF164">
        <v>10.169</v>
      </c>
      <c r="AG164">
        <v>88.382999999999996</v>
      </c>
      <c r="AH164">
        <v>251.99700000000001</v>
      </c>
      <c r="AI164">
        <v>605.13300000000004</v>
      </c>
      <c r="AJ164">
        <v>1434.5340000000001</v>
      </c>
      <c r="AK164">
        <v>1.0009999999999999</v>
      </c>
      <c r="AL164">
        <v>2200</v>
      </c>
      <c r="AQ164" t="s">
        <v>324</v>
      </c>
      <c r="AR164">
        <v>410.51900000000001</v>
      </c>
      <c r="AS164">
        <v>400.69600000000003</v>
      </c>
      <c r="AT164">
        <v>11.331</v>
      </c>
      <c r="AU164">
        <v>94.744</v>
      </c>
      <c r="AV164">
        <v>260.91000000000003</v>
      </c>
      <c r="AW164">
        <v>617.22799999999995</v>
      </c>
      <c r="AX164">
        <v>1422.7850000000001</v>
      </c>
      <c r="AY164">
        <v>1.0009999999999999</v>
      </c>
      <c r="AZ164">
        <v>3000</v>
      </c>
      <c r="BE164" t="s">
        <v>324</v>
      </c>
      <c r="BF164">
        <v>46.249000000000002</v>
      </c>
      <c r="BG164">
        <v>34.655999999999999</v>
      </c>
      <c r="BH164">
        <v>17.827999999999999</v>
      </c>
      <c r="BI164">
        <v>27.515000000000001</v>
      </c>
      <c r="BJ164">
        <v>35.765999999999998</v>
      </c>
      <c r="BK164">
        <v>48.762999999999998</v>
      </c>
      <c r="BL164">
        <v>157.63499999999999</v>
      </c>
      <c r="BM164">
        <v>1.0229999999999999</v>
      </c>
      <c r="BN164">
        <v>150</v>
      </c>
      <c r="CU164" t="s">
        <v>324</v>
      </c>
      <c r="CV164">
        <v>49.469000000000001</v>
      </c>
      <c r="CW164">
        <v>71.105000000000004</v>
      </c>
      <c r="CX164">
        <v>16.742000000000001</v>
      </c>
      <c r="CY164">
        <v>26.344999999999999</v>
      </c>
      <c r="CZ164">
        <v>32.122</v>
      </c>
      <c r="DA164">
        <v>40.862000000000002</v>
      </c>
      <c r="DB164">
        <v>266.58699999999999</v>
      </c>
      <c r="DC164">
        <v>1.125</v>
      </c>
      <c r="DD164">
        <v>51</v>
      </c>
      <c r="DI164" t="s">
        <v>324</v>
      </c>
      <c r="DJ164">
        <v>4.4020000000000001</v>
      </c>
      <c r="DK164">
        <v>1.3140000000000001</v>
      </c>
      <c r="DL164">
        <v>1.746</v>
      </c>
      <c r="DM164">
        <v>3.51</v>
      </c>
      <c r="DN164">
        <v>4.4249999999999998</v>
      </c>
      <c r="DO164">
        <v>5.3049999999999997</v>
      </c>
      <c r="DP164">
        <v>6.8419999999999996</v>
      </c>
      <c r="DQ164">
        <v>1.002</v>
      </c>
      <c r="DR164">
        <v>1900</v>
      </c>
      <c r="DY164" t="s">
        <v>324</v>
      </c>
      <c r="DZ164">
        <v>4.4550000000000001</v>
      </c>
      <c r="EA164">
        <v>1.157</v>
      </c>
      <c r="EB164">
        <v>2.2010000000000001</v>
      </c>
      <c r="EC164">
        <v>3.6640000000000001</v>
      </c>
      <c r="ED164">
        <v>4.49</v>
      </c>
      <c r="EE164">
        <v>5.2409999999999997</v>
      </c>
      <c r="EF164">
        <v>6.7190000000000003</v>
      </c>
      <c r="EG164">
        <v>1.002</v>
      </c>
      <c r="EH164">
        <v>1700</v>
      </c>
    </row>
    <row r="165" spans="29:138">
      <c r="AC165" t="s">
        <v>325</v>
      </c>
      <c r="AD165">
        <v>516.48400000000004</v>
      </c>
      <c r="AE165">
        <v>429.476</v>
      </c>
      <c r="AF165">
        <v>19.783999999999999</v>
      </c>
      <c r="AG165">
        <v>153.16800000000001</v>
      </c>
      <c r="AH165">
        <v>393.85899999999998</v>
      </c>
      <c r="AI165">
        <v>813.779</v>
      </c>
      <c r="AJ165">
        <v>1479.2</v>
      </c>
      <c r="AK165">
        <v>1.0009999999999999</v>
      </c>
      <c r="AL165">
        <v>3000</v>
      </c>
      <c r="AQ165" t="s">
        <v>325</v>
      </c>
      <c r="AR165">
        <v>525.55799999999999</v>
      </c>
      <c r="AS165">
        <v>428.83499999999998</v>
      </c>
      <c r="AT165">
        <v>19.23</v>
      </c>
      <c r="AU165">
        <v>170.13900000000001</v>
      </c>
      <c r="AV165">
        <v>401.78699999999998</v>
      </c>
      <c r="AW165">
        <v>808.00400000000002</v>
      </c>
      <c r="AX165">
        <v>1486.0989999999999</v>
      </c>
      <c r="AY165">
        <v>1.002</v>
      </c>
      <c r="AZ165">
        <v>1200</v>
      </c>
      <c r="BE165" t="s">
        <v>325</v>
      </c>
      <c r="BF165">
        <v>174.80799999999999</v>
      </c>
      <c r="BG165">
        <v>364.68400000000003</v>
      </c>
      <c r="BH165">
        <v>1.3069999999999999</v>
      </c>
      <c r="BI165">
        <v>3.137</v>
      </c>
      <c r="BJ165">
        <v>5.508</v>
      </c>
      <c r="BK165">
        <v>37.534999999999997</v>
      </c>
      <c r="BL165">
        <v>1397.0709999999999</v>
      </c>
      <c r="BM165">
        <v>2.363</v>
      </c>
      <c r="BN165">
        <v>4</v>
      </c>
      <c r="CU165" t="s">
        <v>325</v>
      </c>
      <c r="CV165">
        <v>175.59700000000001</v>
      </c>
      <c r="CW165">
        <v>390.20100000000002</v>
      </c>
      <c r="CX165">
        <v>1.0920000000000001</v>
      </c>
      <c r="CY165">
        <v>1.9670000000000001</v>
      </c>
      <c r="CZ165">
        <v>3.3540000000000001</v>
      </c>
      <c r="DA165">
        <v>7.5970000000000004</v>
      </c>
      <c r="DB165">
        <v>1414.4480000000001</v>
      </c>
      <c r="DC165">
        <v>1.22</v>
      </c>
      <c r="DD165">
        <v>16</v>
      </c>
      <c r="DI165" t="s">
        <v>325</v>
      </c>
      <c r="DJ165">
        <v>4.4349999999999996</v>
      </c>
      <c r="DK165">
        <v>1.33</v>
      </c>
      <c r="DL165">
        <v>1.714</v>
      </c>
      <c r="DM165">
        <v>3.4889999999999999</v>
      </c>
      <c r="DN165">
        <v>4.4870000000000001</v>
      </c>
      <c r="DO165">
        <v>5.3890000000000002</v>
      </c>
      <c r="DP165">
        <v>6.9139999999999997</v>
      </c>
      <c r="DQ165">
        <v>1.0009999999999999</v>
      </c>
      <c r="DR165">
        <v>3000</v>
      </c>
      <c r="DY165" t="s">
        <v>325</v>
      </c>
      <c r="DZ165">
        <v>4.4640000000000004</v>
      </c>
      <c r="EA165">
        <v>1.1659999999999999</v>
      </c>
      <c r="EB165">
        <v>2.0979999999999999</v>
      </c>
      <c r="EC165">
        <v>3.6970000000000001</v>
      </c>
      <c r="ED165">
        <v>4.4690000000000003</v>
      </c>
      <c r="EE165">
        <v>5.26</v>
      </c>
      <c r="EF165">
        <v>6.742</v>
      </c>
      <c r="EG165">
        <v>1.002</v>
      </c>
      <c r="EH165">
        <v>1100</v>
      </c>
    </row>
    <row r="166" spans="29:138">
      <c r="AC166" t="s">
        <v>326</v>
      </c>
      <c r="AD166">
        <v>324.084</v>
      </c>
      <c r="AE166">
        <v>376.45600000000002</v>
      </c>
      <c r="AF166">
        <v>6.7690000000000001</v>
      </c>
      <c r="AG166">
        <v>52.954999999999998</v>
      </c>
      <c r="AH166">
        <v>170.13900000000001</v>
      </c>
      <c r="AI166">
        <v>453.84800000000001</v>
      </c>
      <c r="AJ166">
        <v>1424.99</v>
      </c>
      <c r="AK166">
        <v>1.0009999999999999</v>
      </c>
      <c r="AL166">
        <v>3000</v>
      </c>
      <c r="AQ166" t="s">
        <v>326</v>
      </c>
      <c r="AR166">
        <v>342.101</v>
      </c>
      <c r="AS166">
        <v>377.59800000000001</v>
      </c>
      <c r="AT166">
        <v>6.6449999999999996</v>
      </c>
      <c r="AU166">
        <v>64.22</v>
      </c>
      <c r="AV166">
        <v>186.01</v>
      </c>
      <c r="AW166">
        <v>480.60700000000003</v>
      </c>
      <c r="AX166">
        <v>1368.6980000000001</v>
      </c>
      <c r="AY166">
        <v>1.002</v>
      </c>
      <c r="AZ166">
        <v>2000</v>
      </c>
      <c r="BE166" t="s">
        <v>326</v>
      </c>
      <c r="BF166">
        <v>111.878</v>
      </c>
      <c r="BG166">
        <v>116.345</v>
      </c>
      <c r="BH166">
        <v>40.329000000000001</v>
      </c>
      <c r="BI166">
        <v>56.427999999999997</v>
      </c>
      <c r="BJ166">
        <v>70.03</v>
      </c>
      <c r="BK166">
        <v>107.629</v>
      </c>
      <c r="BL166">
        <v>509.71899999999999</v>
      </c>
      <c r="BM166">
        <v>1.01</v>
      </c>
      <c r="BN166">
        <v>730</v>
      </c>
      <c r="CU166" t="s">
        <v>326</v>
      </c>
      <c r="CV166">
        <v>279.38099999999997</v>
      </c>
      <c r="CW166">
        <v>399.09899999999999</v>
      </c>
      <c r="CX166">
        <v>39.212000000000003</v>
      </c>
      <c r="CY166">
        <v>55.515000000000001</v>
      </c>
      <c r="CZ166">
        <v>71.441000000000003</v>
      </c>
      <c r="DA166">
        <v>292.75400000000002</v>
      </c>
      <c r="DB166">
        <v>1429.645</v>
      </c>
      <c r="DC166">
        <v>1.2889999999999999</v>
      </c>
      <c r="DD166">
        <v>12</v>
      </c>
      <c r="DI166" t="s">
        <v>326</v>
      </c>
      <c r="DJ166">
        <v>4.4480000000000004</v>
      </c>
      <c r="DK166">
        <v>1.304</v>
      </c>
      <c r="DL166">
        <v>1.86</v>
      </c>
      <c r="DM166">
        <v>3.5369999999999999</v>
      </c>
      <c r="DN166">
        <v>4.4660000000000002</v>
      </c>
      <c r="DO166">
        <v>5.3730000000000002</v>
      </c>
      <c r="DP166">
        <v>6.923</v>
      </c>
      <c r="DQ166">
        <v>1.0009999999999999</v>
      </c>
      <c r="DR166">
        <v>3000</v>
      </c>
      <c r="DY166" t="s">
        <v>326</v>
      </c>
      <c r="DZ166">
        <v>4.4480000000000004</v>
      </c>
      <c r="EA166">
        <v>1.1679999999999999</v>
      </c>
      <c r="EB166">
        <v>2.1890000000000001</v>
      </c>
      <c r="EC166">
        <v>3.649</v>
      </c>
      <c r="ED166">
        <v>4.45</v>
      </c>
      <c r="EE166">
        <v>5.2389999999999999</v>
      </c>
      <c r="EF166">
        <v>6.71</v>
      </c>
      <c r="EG166">
        <v>1.006</v>
      </c>
      <c r="EH166">
        <v>1100</v>
      </c>
    </row>
    <row r="167" spans="29:138">
      <c r="AC167" t="s">
        <v>327</v>
      </c>
      <c r="AD167">
        <v>455.291</v>
      </c>
      <c r="AE167">
        <v>419.05900000000003</v>
      </c>
      <c r="AF167">
        <v>16.317</v>
      </c>
      <c r="AG167">
        <v>115.764</v>
      </c>
      <c r="AH167">
        <v>299.59300000000002</v>
      </c>
      <c r="AI167">
        <v>692.33699999999999</v>
      </c>
      <c r="AJ167">
        <v>1470.9870000000001</v>
      </c>
      <c r="AK167">
        <v>1.0009999999999999</v>
      </c>
      <c r="AL167">
        <v>3000</v>
      </c>
      <c r="AQ167" t="s">
        <v>327</v>
      </c>
      <c r="AR167">
        <v>472.08699999999999</v>
      </c>
      <c r="AS167">
        <v>419.06599999999997</v>
      </c>
      <c r="AT167">
        <v>18.658999999999999</v>
      </c>
      <c r="AU167">
        <v>133.119</v>
      </c>
      <c r="AV167">
        <v>330.90800000000002</v>
      </c>
      <c r="AW167">
        <v>724.35699999999997</v>
      </c>
      <c r="AX167">
        <v>1464.143</v>
      </c>
      <c r="AY167">
        <v>1.0009999999999999</v>
      </c>
      <c r="AZ167">
        <v>3000</v>
      </c>
      <c r="BE167" t="s">
        <v>327</v>
      </c>
      <c r="BF167">
        <v>406.93</v>
      </c>
      <c r="BG167">
        <v>247.15799999999999</v>
      </c>
      <c r="BH167">
        <v>195.09299999999999</v>
      </c>
      <c r="BI167">
        <v>238.61099999999999</v>
      </c>
      <c r="BJ167">
        <v>300.041</v>
      </c>
      <c r="BK167">
        <v>483.68599999999998</v>
      </c>
      <c r="BL167">
        <v>1071.816</v>
      </c>
      <c r="BM167">
        <v>1.024</v>
      </c>
      <c r="BN167">
        <v>95</v>
      </c>
      <c r="CU167" t="s">
        <v>327</v>
      </c>
      <c r="CV167">
        <v>393.62</v>
      </c>
      <c r="CW167">
        <v>297.86399999999998</v>
      </c>
      <c r="CX167">
        <v>190.27</v>
      </c>
      <c r="CY167">
        <v>226.54900000000001</v>
      </c>
      <c r="CZ167">
        <v>262.79599999999999</v>
      </c>
      <c r="DA167">
        <v>394.75200000000001</v>
      </c>
      <c r="DB167">
        <v>1333.27</v>
      </c>
      <c r="DC167">
        <v>1.0329999999999999</v>
      </c>
      <c r="DD167">
        <v>110</v>
      </c>
      <c r="DI167" t="s">
        <v>327</v>
      </c>
      <c r="DJ167">
        <v>4.4710000000000001</v>
      </c>
      <c r="DK167">
        <v>1.343</v>
      </c>
      <c r="DL167">
        <v>1.663</v>
      </c>
      <c r="DM167">
        <v>3.5659999999999998</v>
      </c>
      <c r="DN167">
        <v>4.55</v>
      </c>
      <c r="DO167">
        <v>5.4370000000000003</v>
      </c>
      <c r="DP167">
        <v>6.8659999999999997</v>
      </c>
      <c r="DQ167">
        <v>1.002</v>
      </c>
      <c r="DR167">
        <v>1200</v>
      </c>
      <c r="DY167" t="s">
        <v>327</v>
      </c>
      <c r="DZ167">
        <v>4.4489999999999998</v>
      </c>
      <c r="EA167">
        <v>1.171</v>
      </c>
      <c r="EB167">
        <v>2.14</v>
      </c>
      <c r="EC167">
        <v>3.6349999999999998</v>
      </c>
      <c r="ED167">
        <v>4.4550000000000001</v>
      </c>
      <c r="EE167">
        <v>5.282</v>
      </c>
      <c r="EF167">
        <v>6.7190000000000003</v>
      </c>
      <c r="EG167">
        <v>1.002</v>
      </c>
      <c r="EH167">
        <v>1400</v>
      </c>
    </row>
    <row r="168" spans="29:138">
      <c r="AC168" t="s">
        <v>328</v>
      </c>
      <c r="AD168">
        <v>641.73900000000003</v>
      </c>
      <c r="AE168">
        <v>436.86200000000002</v>
      </c>
      <c r="AF168">
        <v>48.317999999999998</v>
      </c>
      <c r="AG168">
        <v>266.495</v>
      </c>
      <c r="AH168">
        <v>556.803</v>
      </c>
      <c r="AI168">
        <v>978.976</v>
      </c>
      <c r="AJ168">
        <v>1507.931</v>
      </c>
      <c r="AK168">
        <v>1.0009999999999999</v>
      </c>
      <c r="AL168">
        <v>3000</v>
      </c>
      <c r="AQ168" t="s">
        <v>328</v>
      </c>
      <c r="AR168">
        <v>638.20100000000002</v>
      </c>
      <c r="AS168">
        <v>438.37599999999998</v>
      </c>
      <c r="AT168">
        <v>45.241999999999997</v>
      </c>
      <c r="AU168">
        <v>266.46499999999997</v>
      </c>
      <c r="AV168">
        <v>547.58299999999997</v>
      </c>
      <c r="AW168">
        <v>962.94500000000005</v>
      </c>
      <c r="AX168">
        <v>1533.7650000000001</v>
      </c>
      <c r="AY168">
        <v>1.0009999999999999</v>
      </c>
      <c r="AZ168">
        <v>2300</v>
      </c>
      <c r="BE168" t="s">
        <v>328</v>
      </c>
      <c r="BF168">
        <v>351.11399999999998</v>
      </c>
      <c r="BG168">
        <v>205.876</v>
      </c>
      <c r="BH168">
        <v>197.749</v>
      </c>
      <c r="BI168">
        <v>234.696</v>
      </c>
      <c r="BJ168">
        <v>270.25400000000002</v>
      </c>
      <c r="BK168">
        <v>370.46499999999997</v>
      </c>
      <c r="BL168">
        <v>982.851</v>
      </c>
      <c r="BM168">
        <v>1.08</v>
      </c>
      <c r="BN168">
        <v>56</v>
      </c>
      <c r="CU168" t="s">
        <v>328</v>
      </c>
      <c r="CV168">
        <v>402.31</v>
      </c>
      <c r="CW168">
        <v>323.82400000000001</v>
      </c>
      <c r="CX168">
        <v>194.94200000000001</v>
      </c>
      <c r="CY168">
        <v>228.56200000000001</v>
      </c>
      <c r="CZ168">
        <v>258.88499999999999</v>
      </c>
      <c r="DA168">
        <v>374.12299999999999</v>
      </c>
      <c r="DB168">
        <v>1426.393</v>
      </c>
      <c r="DC168">
        <v>1.1259999999999999</v>
      </c>
      <c r="DD168">
        <v>28</v>
      </c>
      <c r="DI168" t="s">
        <v>328</v>
      </c>
      <c r="DJ168">
        <v>4.4400000000000004</v>
      </c>
      <c r="DK168">
        <v>1.3480000000000001</v>
      </c>
      <c r="DL168">
        <v>1.7809999999999999</v>
      </c>
      <c r="DM168">
        <v>3.5390000000000001</v>
      </c>
      <c r="DN168">
        <v>4.4509999999999996</v>
      </c>
      <c r="DO168">
        <v>5.4009999999999998</v>
      </c>
      <c r="DP168">
        <v>6.9290000000000003</v>
      </c>
      <c r="DQ168">
        <v>1.0009999999999999</v>
      </c>
      <c r="DR168">
        <v>2900</v>
      </c>
      <c r="DY168" t="s">
        <v>328</v>
      </c>
      <c r="DZ168">
        <v>4.4660000000000002</v>
      </c>
      <c r="EA168">
        <v>1.1679999999999999</v>
      </c>
      <c r="EB168">
        <v>2.09</v>
      </c>
      <c r="EC168">
        <v>3.6829999999999998</v>
      </c>
      <c r="ED168">
        <v>4.4779999999999998</v>
      </c>
      <c r="EE168">
        <v>5.2960000000000003</v>
      </c>
      <c r="EF168">
        <v>6.6520000000000001</v>
      </c>
      <c r="EG168">
        <v>1.0009999999999999</v>
      </c>
      <c r="EH168">
        <v>3000</v>
      </c>
    </row>
    <row r="169" spans="29:138">
      <c r="AC169" t="s">
        <v>329</v>
      </c>
      <c r="AD169">
        <v>569.01</v>
      </c>
      <c r="AE169">
        <v>439.08800000000002</v>
      </c>
      <c r="AF169">
        <v>29.518999999999998</v>
      </c>
      <c r="AG169">
        <v>197.911</v>
      </c>
      <c r="AH169">
        <v>451.15</v>
      </c>
      <c r="AI169">
        <v>879.19200000000001</v>
      </c>
      <c r="AJ169">
        <v>1522.6279999999999</v>
      </c>
      <c r="AK169">
        <v>1.002</v>
      </c>
      <c r="AL169">
        <v>1500</v>
      </c>
      <c r="AQ169" t="s">
        <v>329</v>
      </c>
      <c r="AR169">
        <v>572.10199999999998</v>
      </c>
      <c r="AS169">
        <v>439.31900000000002</v>
      </c>
      <c r="AT169">
        <v>28.931999999999999</v>
      </c>
      <c r="AU169">
        <v>201.02</v>
      </c>
      <c r="AV169">
        <v>452.01600000000002</v>
      </c>
      <c r="AW169">
        <v>881.27200000000005</v>
      </c>
      <c r="AX169">
        <v>1519.68</v>
      </c>
      <c r="AY169">
        <v>1.002</v>
      </c>
      <c r="AZ169">
        <v>1400</v>
      </c>
      <c r="BE169" t="s">
        <v>329</v>
      </c>
      <c r="BF169">
        <v>295.59300000000002</v>
      </c>
      <c r="BG169">
        <v>412.49599999999998</v>
      </c>
      <c r="BH169">
        <v>47.133000000000003</v>
      </c>
      <c r="BI169">
        <v>62.082999999999998</v>
      </c>
      <c r="BJ169">
        <v>77.48</v>
      </c>
      <c r="BK169">
        <v>311.38099999999997</v>
      </c>
      <c r="BL169">
        <v>1411.2729999999999</v>
      </c>
      <c r="BM169">
        <v>2.286</v>
      </c>
      <c r="BN169">
        <v>5</v>
      </c>
      <c r="CU169" t="s">
        <v>329</v>
      </c>
      <c r="CV169">
        <v>89.658000000000001</v>
      </c>
      <c r="CW169">
        <v>135.07499999999999</v>
      </c>
      <c r="CX169">
        <v>41.374000000000002</v>
      </c>
      <c r="CY169">
        <v>55.054000000000002</v>
      </c>
      <c r="CZ169">
        <v>63.298999999999999</v>
      </c>
      <c r="DA169">
        <v>74.034000000000006</v>
      </c>
      <c r="DB169">
        <v>406.923</v>
      </c>
      <c r="DC169">
        <v>1.1459999999999999</v>
      </c>
      <c r="DD169">
        <v>91</v>
      </c>
      <c r="DI169" t="s">
        <v>329</v>
      </c>
      <c r="DJ169">
        <v>4.4480000000000004</v>
      </c>
      <c r="DK169">
        <v>1.325</v>
      </c>
      <c r="DL169">
        <v>1.706</v>
      </c>
      <c r="DM169">
        <v>3.536</v>
      </c>
      <c r="DN169">
        <v>4.4850000000000003</v>
      </c>
      <c r="DO169">
        <v>5.3959999999999999</v>
      </c>
      <c r="DP169">
        <v>6.85</v>
      </c>
      <c r="DQ169">
        <v>1.0009999999999999</v>
      </c>
      <c r="DR169">
        <v>3000</v>
      </c>
      <c r="DY169" t="s">
        <v>329</v>
      </c>
      <c r="DZ169">
        <v>4.4550000000000001</v>
      </c>
      <c r="EA169">
        <v>1.163</v>
      </c>
      <c r="EB169">
        <v>2.1469999999999998</v>
      </c>
      <c r="EC169">
        <v>3.653</v>
      </c>
      <c r="ED169">
        <v>4.4589999999999996</v>
      </c>
      <c r="EE169">
        <v>5.2729999999999997</v>
      </c>
      <c r="EF169">
        <v>6.74</v>
      </c>
      <c r="EG169">
        <v>1.0009999999999999</v>
      </c>
      <c r="EH169">
        <v>3000</v>
      </c>
    </row>
    <row r="170" spans="29:138">
      <c r="AC170" t="s">
        <v>330</v>
      </c>
      <c r="AD170">
        <v>653.47699999999998</v>
      </c>
      <c r="AE170">
        <v>442.89299999999997</v>
      </c>
      <c r="AF170">
        <v>48.826000000000001</v>
      </c>
      <c r="AG170">
        <v>264.48599999999999</v>
      </c>
      <c r="AH170">
        <v>568.88699999999994</v>
      </c>
      <c r="AI170">
        <v>997.85299999999995</v>
      </c>
      <c r="AJ170">
        <v>1528.777</v>
      </c>
      <c r="AK170">
        <v>1.0009999999999999</v>
      </c>
      <c r="AL170">
        <v>2700</v>
      </c>
      <c r="AQ170" t="s">
        <v>330</v>
      </c>
      <c r="AR170">
        <v>658.10299999999995</v>
      </c>
      <c r="AS170">
        <v>440.22300000000001</v>
      </c>
      <c r="AT170">
        <v>46.182000000000002</v>
      </c>
      <c r="AU170">
        <v>276.98</v>
      </c>
      <c r="AV170">
        <v>583.56500000000005</v>
      </c>
      <c r="AW170">
        <v>996.803</v>
      </c>
      <c r="AX170">
        <v>1524.81</v>
      </c>
      <c r="AY170">
        <v>1.002</v>
      </c>
      <c r="AZ170">
        <v>2100</v>
      </c>
      <c r="BE170" t="s">
        <v>330</v>
      </c>
      <c r="BF170">
        <v>593.14599999999996</v>
      </c>
      <c r="BG170">
        <v>240.43199999999999</v>
      </c>
      <c r="BH170">
        <v>366.26499999999999</v>
      </c>
      <c r="BI170">
        <v>428.642</v>
      </c>
      <c r="BJ170">
        <v>503.31900000000002</v>
      </c>
      <c r="BK170">
        <v>676.03099999999995</v>
      </c>
      <c r="BL170">
        <v>1279.0940000000001</v>
      </c>
      <c r="BM170">
        <v>1.0920000000000001</v>
      </c>
      <c r="BN170">
        <v>40</v>
      </c>
      <c r="CU170" t="s">
        <v>330</v>
      </c>
      <c r="CV170">
        <v>613.28</v>
      </c>
      <c r="CW170">
        <v>297.85899999999998</v>
      </c>
      <c r="CX170">
        <v>357.44400000000002</v>
      </c>
      <c r="CY170">
        <v>411.62</v>
      </c>
      <c r="CZ170">
        <v>474.62099999999998</v>
      </c>
      <c r="DA170">
        <v>718.06500000000005</v>
      </c>
      <c r="DB170">
        <v>1457.1289999999999</v>
      </c>
      <c r="DC170">
        <v>1.028</v>
      </c>
      <c r="DD170">
        <v>94</v>
      </c>
      <c r="DI170" t="s">
        <v>330</v>
      </c>
      <c r="DJ170">
        <v>4.4610000000000003</v>
      </c>
      <c r="DK170">
        <v>1.294</v>
      </c>
      <c r="DL170">
        <v>1.869</v>
      </c>
      <c r="DM170">
        <v>3.5779999999999998</v>
      </c>
      <c r="DN170">
        <v>4.4829999999999997</v>
      </c>
      <c r="DO170">
        <v>5.41</v>
      </c>
      <c r="DP170">
        <v>6.8559999999999999</v>
      </c>
      <c r="DQ170">
        <v>1.0009999999999999</v>
      </c>
      <c r="DR170">
        <v>3000</v>
      </c>
      <c r="DY170" t="s">
        <v>330</v>
      </c>
      <c r="DZ170">
        <v>4.4770000000000003</v>
      </c>
      <c r="EA170">
        <v>1.1679999999999999</v>
      </c>
      <c r="EB170">
        <v>2.117</v>
      </c>
      <c r="EC170">
        <v>3.68</v>
      </c>
      <c r="ED170">
        <v>4.5069999999999997</v>
      </c>
      <c r="EE170">
        <v>5.2759999999999998</v>
      </c>
      <c r="EF170">
        <v>6.6890000000000001</v>
      </c>
      <c r="EG170">
        <v>1.0009999999999999</v>
      </c>
      <c r="EH170">
        <v>3000</v>
      </c>
    </row>
    <row r="171" spans="29:138">
      <c r="AC171" t="s">
        <v>331</v>
      </c>
      <c r="AD171">
        <v>494.892</v>
      </c>
      <c r="AE171">
        <v>428.846</v>
      </c>
      <c r="AF171">
        <v>14.231999999999999</v>
      </c>
      <c r="AG171">
        <v>141.70400000000001</v>
      </c>
      <c r="AH171">
        <v>357.86099999999999</v>
      </c>
      <c r="AI171">
        <v>770.72900000000004</v>
      </c>
      <c r="AJ171">
        <v>1472.345</v>
      </c>
      <c r="AK171">
        <v>1.0009999999999999</v>
      </c>
      <c r="AL171">
        <v>3000</v>
      </c>
      <c r="AQ171" t="s">
        <v>331</v>
      </c>
      <c r="AR171">
        <v>497.57600000000002</v>
      </c>
      <c r="AS171">
        <v>430.88299999999998</v>
      </c>
      <c r="AT171">
        <v>15.553000000000001</v>
      </c>
      <c r="AU171">
        <v>133.773</v>
      </c>
      <c r="AV171">
        <v>358.774</v>
      </c>
      <c r="AW171">
        <v>786.56799999999998</v>
      </c>
      <c r="AX171">
        <v>1479.18</v>
      </c>
      <c r="AY171">
        <v>1.0009999999999999</v>
      </c>
      <c r="AZ171">
        <v>3000</v>
      </c>
      <c r="BE171" t="s">
        <v>331</v>
      </c>
      <c r="BF171">
        <v>30.013999999999999</v>
      </c>
      <c r="BG171">
        <v>39.905999999999999</v>
      </c>
      <c r="BH171">
        <v>9.2840000000000007</v>
      </c>
      <c r="BI171">
        <v>15.718999999999999</v>
      </c>
      <c r="BJ171">
        <v>20.279</v>
      </c>
      <c r="BK171">
        <v>26.95</v>
      </c>
      <c r="BL171">
        <v>130.84800000000001</v>
      </c>
      <c r="BM171">
        <v>1.016</v>
      </c>
      <c r="BN171">
        <v>320</v>
      </c>
      <c r="CU171" t="s">
        <v>331</v>
      </c>
      <c r="CV171">
        <v>54.13</v>
      </c>
      <c r="CW171">
        <v>154.31299999999999</v>
      </c>
      <c r="CX171">
        <v>8.0069999999999997</v>
      </c>
      <c r="CY171">
        <v>13.907</v>
      </c>
      <c r="CZ171">
        <v>17.844999999999999</v>
      </c>
      <c r="DA171">
        <v>23.495000000000001</v>
      </c>
      <c r="DB171">
        <v>514.20000000000005</v>
      </c>
      <c r="DC171">
        <v>1.0780000000000001</v>
      </c>
      <c r="DD171">
        <v>89</v>
      </c>
      <c r="DI171" t="s">
        <v>331</v>
      </c>
      <c r="DJ171">
        <v>4.4279999999999999</v>
      </c>
      <c r="DK171">
        <v>1.3320000000000001</v>
      </c>
      <c r="DL171">
        <v>1.8220000000000001</v>
      </c>
      <c r="DM171">
        <v>3.5110000000000001</v>
      </c>
      <c r="DN171">
        <v>4.47</v>
      </c>
      <c r="DO171">
        <v>5.3680000000000003</v>
      </c>
      <c r="DP171">
        <v>6.9720000000000004</v>
      </c>
      <c r="DQ171">
        <v>1.0009999999999999</v>
      </c>
      <c r="DR171">
        <v>3000</v>
      </c>
      <c r="DY171" t="s">
        <v>331</v>
      </c>
      <c r="DZ171">
        <v>4.4610000000000003</v>
      </c>
      <c r="EA171">
        <v>1.1619999999999999</v>
      </c>
      <c r="EB171">
        <v>2.1819999999999999</v>
      </c>
      <c r="EC171">
        <v>3.6659999999999999</v>
      </c>
      <c r="ED171">
        <v>4.4550000000000001</v>
      </c>
      <c r="EE171">
        <v>5.2720000000000002</v>
      </c>
      <c r="EF171">
        <v>6.6509999999999998</v>
      </c>
      <c r="EG171">
        <v>1.002</v>
      </c>
      <c r="EH171">
        <v>1900</v>
      </c>
    </row>
    <row r="172" spans="29:138">
      <c r="AC172" t="s">
        <v>332</v>
      </c>
      <c r="AD172">
        <v>369.39</v>
      </c>
      <c r="AE172">
        <v>392.84500000000003</v>
      </c>
      <c r="AF172">
        <v>7.742</v>
      </c>
      <c r="AG172">
        <v>72.278999999999996</v>
      </c>
      <c r="AH172">
        <v>215.684</v>
      </c>
      <c r="AI172">
        <v>549.00099999999998</v>
      </c>
      <c r="AJ172">
        <v>1417</v>
      </c>
      <c r="AK172">
        <v>1.0009999999999999</v>
      </c>
      <c r="AL172">
        <v>3000</v>
      </c>
      <c r="AQ172" t="s">
        <v>332</v>
      </c>
      <c r="AR172">
        <v>390.11399999999998</v>
      </c>
      <c r="AS172">
        <v>396.28100000000001</v>
      </c>
      <c r="AT172">
        <v>8.6</v>
      </c>
      <c r="AU172">
        <v>77.054000000000002</v>
      </c>
      <c r="AV172">
        <v>242.80699999999999</v>
      </c>
      <c r="AW172">
        <v>595.22199999999998</v>
      </c>
      <c r="AX172">
        <v>1419.4069999999999</v>
      </c>
      <c r="AY172">
        <v>1.0009999999999999</v>
      </c>
      <c r="AZ172">
        <v>3000</v>
      </c>
      <c r="BE172" t="s">
        <v>332</v>
      </c>
      <c r="BF172">
        <v>218.91399999999999</v>
      </c>
      <c r="BG172">
        <v>329.05500000000001</v>
      </c>
      <c r="BH172">
        <v>12.076000000000001</v>
      </c>
      <c r="BI172">
        <v>20.829000000000001</v>
      </c>
      <c r="BJ172">
        <v>32.262999999999998</v>
      </c>
      <c r="BK172">
        <v>325.81700000000001</v>
      </c>
      <c r="BL172">
        <v>1186.0509999999999</v>
      </c>
      <c r="BM172">
        <v>1.0109999999999999</v>
      </c>
      <c r="BN172">
        <v>530</v>
      </c>
      <c r="CU172" t="s">
        <v>332</v>
      </c>
      <c r="CV172">
        <v>168.01499999999999</v>
      </c>
      <c r="CW172">
        <v>338.685</v>
      </c>
      <c r="CX172">
        <v>10.558999999999999</v>
      </c>
      <c r="CY172">
        <v>18.102</v>
      </c>
      <c r="CZ172">
        <v>24.564</v>
      </c>
      <c r="DA172">
        <v>52.387999999999998</v>
      </c>
      <c r="DB172">
        <v>1368.9359999999999</v>
      </c>
      <c r="DC172">
        <v>1.514</v>
      </c>
      <c r="DD172">
        <v>8</v>
      </c>
      <c r="DI172" t="s">
        <v>332</v>
      </c>
      <c r="DJ172">
        <v>4.4690000000000003</v>
      </c>
      <c r="DK172">
        <v>1.31</v>
      </c>
      <c r="DL172">
        <v>1.8480000000000001</v>
      </c>
      <c r="DM172">
        <v>3.573</v>
      </c>
      <c r="DN172">
        <v>4.4889999999999999</v>
      </c>
      <c r="DO172">
        <v>5.41</v>
      </c>
      <c r="DP172">
        <v>6.9189999999999996</v>
      </c>
      <c r="DQ172">
        <v>1.0009999999999999</v>
      </c>
      <c r="DR172">
        <v>3000</v>
      </c>
      <c r="DY172" t="s">
        <v>332</v>
      </c>
      <c r="DZ172">
        <v>4.4880000000000004</v>
      </c>
      <c r="EA172">
        <v>1.1619999999999999</v>
      </c>
      <c r="EB172">
        <v>2.1659999999999999</v>
      </c>
      <c r="EC172">
        <v>3.6920000000000002</v>
      </c>
      <c r="ED172">
        <v>4.5049999999999999</v>
      </c>
      <c r="EE172">
        <v>5.2990000000000004</v>
      </c>
      <c r="EF172">
        <v>6.8040000000000003</v>
      </c>
      <c r="EG172">
        <v>1.004</v>
      </c>
      <c r="EH172">
        <v>1000</v>
      </c>
    </row>
    <row r="173" spans="29:138">
      <c r="AC173" t="s">
        <v>333</v>
      </c>
      <c r="AD173">
        <v>642.88800000000003</v>
      </c>
      <c r="AE173">
        <v>440.07400000000001</v>
      </c>
      <c r="AF173">
        <v>43.459000000000003</v>
      </c>
      <c r="AG173">
        <v>260.012</v>
      </c>
      <c r="AH173">
        <v>562.06899999999996</v>
      </c>
      <c r="AI173">
        <v>985.505</v>
      </c>
      <c r="AJ173">
        <v>1519.3989999999999</v>
      </c>
      <c r="AK173">
        <v>1.002</v>
      </c>
      <c r="AL173">
        <v>1100</v>
      </c>
      <c r="AQ173" t="s">
        <v>333</v>
      </c>
      <c r="AR173">
        <v>656.65099999999995</v>
      </c>
      <c r="AS173">
        <v>441.68099999999998</v>
      </c>
      <c r="AT173">
        <v>46.206000000000003</v>
      </c>
      <c r="AU173">
        <v>272.52100000000002</v>
      </c>
      <c r="AV173">
        <v>579.13300000000004</v>
      </c>
      <c r="AW173">
        <v>992.78099999999995</v>
      </c>
      <c r="AX173">
        <v>1531.2149999999999</v>
      </c>
      <c r="AY173">
        <v>1.0009999999999999</v>
      </c>
      <c r="AZ173">
        <v>2100</v>
      </c>
      <c r="BE173" t="s">
        <v>333</v>
      </c>
      <c r="BF173">
        <v>815.43299999999999</v>
      </c>
      <c r="BG173">
        <v>254.26900000000001</v>
      </c>
      <c r="BH173">
        <v>544.39499999999998</v>
      </c>
      <c r="BI173">
        <v>625.41300000000001</v>
      </c>
      <c r="BJ173">
        <v>722</v>
      </c>
      <c r="BK173">
        <v>951.58600000000001</v>
      </c>
      <c r="BL173">
        <v>1471.6189999999999</v>
      </c>
      <c r="BM173">
        <v>1.0760000000000001</v>
      </c>
      <c r="BN173">
        <v>36</v>
      </c>
      <c r="CU173" t="s">
        <v>333</v>
      </c>
      <c r="CV173">
        <v>766.17600000000004</v>
      </c>
      <c r="CW173">
        <v>232.852</v>
      </c>
      <c r="CX173">
        <v>535.04</v>
      </c>
      <c r="CY173">
        <v>606.54999999999995</v>
      </c>
      <c r="CZ173">
        <v>676.30200000000002</v>
      </c>
      <c r="DA173">
        <v>843.548</v>
      </c>
      <c r="DB173">
        <v>1424.9390000000001</v>
      </c>
      <c r="DC173">
        <v>1.002</v>
      </c>
      <c r="DD173">
        <v>1500</v>
      </c>
      <c r="DI173" t="s">
        <v>333</v>
      </c>
      <c r="DJ173">
        <v>4.4249999999999998</v>
      </c>
      <c r="DK173">
        <v>1.329</v>
      </c>
      <c r="DL173">
        <v>1.821</v>
      </c>
      <c r="DM173">
        <v>3.4780000000000002</v>
      </c>
      <c r="DN173">
        <v>4.4459999999999997</v>
      </c>
      <c r="DO173">
        <v>5.3849999999999998</v>
      </c>
      <c r="DP173">
        <v>6.8550000000000004</v>
      </c>
      <c r="DQ173">
        <v>1.002</v>
      </c>
      <c r="DR173">
        <v>3000</v>
      </c>
      <c r="DY173" t="s">
        <v>333</v>
      </c>
      <c r="DZ173">
        <v>4.4870000000000001</v>
      </c>
      <c r="EA173">
        <v>1.1679999999999999</v>
      </c>
      <c r="EB173">
        <v>2.234</v>
      </c>
      <c r="EC173">
        <v>3.673</v>
      </c>
      <c r="ED173">
        <v>4.484</v>
      </c>
      <c r="EE173">
        <v>5.3010000000000002</v>
      </c>
      <c r="EF173">
        <v>6.7489999999999997</v>
      </c>
      <c r="EG173">
        <v>1.006</v>
      </c>
      <c r="EH173">
        <v>410</v>
      </c>
    </row>
    <row r="174" spans="29:138">
      <c r="AC174" t="s">
        <v>334</v>
      </c>
      <c r="AD174">
        <v>588.27599999999995</v>
      </c>
      <c r="AE174">
        <v>431.66</v>
      </c>
      <c r="AF174">
        <v>32.066000000000003</v>
      </c>
      <c r="AG174">
        <v>224.983</v>
      </c>
      <c r="AH174">
        <v>481.81900000000002</v>
      </c>
      <c r="AI174">
        <v>886.07299999999998</v>
      </c>
      <c r="AJ174">
        <v>1518.604</v>
      </c>
      <c r="AK174">
        <v>1.0009999999999999</v>
      </c>
      <c r="AL174">
        <v>3000</v>
      </c>
      <c r="AQ174" t="s">
        <v>334</v>
      </c>
      <c r="AR174">
        <v>615.63499999999999</v>
      </c>
      <c r="AS174">
        <v>445.08800000000002</v>
      </c>
      <c r="AT174">
        <v>38.274000000000001</v>
      </c>
      <c r="AU174">
        <v>239.64500000000001</v>
      </c>
      <c r="AV174">
        <v>517.95000000000005</v>
      </c>
      <c r="AW174">
        <v>934.59400000000005</v>
      </c>
      <c r="AX174">
        <v>1545.1110000000001</v>
      </c>
      <c r="AY174">
        <v>1.0009999999999999</v>
      </c>
      <c r="AZ174">
        <v>2600</v>
      </c>
      <c r="BE174" t="s">
        <v>334</v>
      </c>
      <c r="BF174">
        <v>279.03199999999998</v>
      </c>
      <c r="BG174">
        <v>311.17099999999999</v>
      </c>
      <c r="BH174">
        <v>63.082000000000001</v>
      </c>
      <c r="BI174">
        <v>83.084000000000003</v>
      </c>
      <c r="BJ174">
        <v>106.001</v>
      </c>
      <c r="BK174">
        <v>382.66699999999997</v>
      </c>
      <c r="BL174">
        <v>1110.626</v>
      </c>
      <c r="BM174">
        <v>1.3959999999999999</v>
      </c>
      <c r="BN174">
        <v>9</v>
      </c>
      <c r="CU174" t="s">
        <v>334</v>
      </c>
      <c r="CV174">
        <v>114.30500000000001</v>
      </c>
      <c r="CW174">
        <v>141.99</v>
      </c>
      <c r="CX174">
        <v>58.347999999999999</v>
      </c>
      <c r="CY174">
        <v>75.287000000000006</v>
      </c>
      <c r="CZ174">
        <v>84.674999999999997</v>
      </c>
      <c r="DA174">
        <v>98.417000000000002</v>
      </c>
      <c r="DB174">
        <v>433.666</v>
      </c>
      <c r="DC174">
        <v>1.135</v>
      </c>
      <c r="DD174">
        <v>85</v>
      </c>
      <c r="DI174" t="s">
        <v>334</v>
      </c>
      <c r="DJ174">
        <v>4.4269999999999996</v>
      </c>
      <c r="DK174">
        <v>1.3440000000000001</v>
      </c>
      <c r="DL174">
        <v>1.6679999999999999</v>
      </c>
      <c r="DM174">
        <v>3.5030000000000001</v>
      </c>
      <c r="DN174">
        <v>4.42</v>
      </c>
      <c r="DO174">
        <v>5.4080000000000004</v>
      </c>
      <c r="DP174">
        <v>6.8419999999999996</v>
      </c>
      <c r="DQ174">
        <v>1.0009999999999999</v>
      </c>
      <c r="DR174">
        <v>2300</v>
      </c>
      <c r="DY174" t="s">
        <v>334</v>
      </c>
      <c r="DZ174">
        <v>4.4790000000000001</v>
      </c>
      <c r="EA174">
        <v>1.1779999999999999</v>
      </c>
      <c r="EB174">
        <v>2.0920000000000001</v>
      </c>
      <c r="EC174">
        <v>3.6869999999999998</v>
      </c>
      <c r="ED174">
        <v>4.4889999999999999</v>
      </c>
      <c r="EE174">
        <v>5.2869999999999999</v>
      </c>
      <c r="EF174">
        <v>6.7279999999999998</v>
      </c>
      <c r="EG174">
        <v>1.0009999999999999</v>
      </c>
      <c r="EH174">
        <v>3000</v>
      </c>
    </row>
    <row r="175" spans="29:138">
      <c r="AC175" t="s">
        <v>335</v>
      </c>
      <c r="AD175">
        <v>274.06099999999998</v>
      </c>
      <c r="AE175">
        <v>340.67399999999998</v>
      </c>
      <c r="AF175">
        <v>4.7300000000000004</v>
      </c>
      <c r="AG175">
        <v>44.258000000000003</v>
      </c>
      <c r="AH175">
        <v>128.887</v>
      </c>
      <c r="AI175">
        <v>367.85500000000002</v>
      </c>
      <c r="AJ175">
        <v>1279.5119999999999</v>
      </c>
      <c r="AK175">
        <v>1.0009999999999999</v>
      </c>
      <c r="AL175">
        <v>2600</v>
      </c>
      <c r="AQ175" t="s">
        <v>335</v>
      </c>
      <c r="AR175">
        <v>296.01</v>
      </c>
      <c r="AS175">
        <v>353.65800000000002</v>
      </c>
      <c r="AT175">
        <v>5.5750000000000002</v>
      </c>
      <c r="AU175">
        <v>48.261000000000003</v>
      </c>
      <c r="AV175">
        <v>148.16800000000001</v>
      </c>
      <c r="AW175">
        <v>401.24599999999998</v>
      </c>
      <c r="AX175">
        <v>1321.8109999999999</v>
      </c>
      <c r="AY175">
        <v>1.0029999999999999</v>
      </c>
      <c r="AZ175">
        <v>730</v>
      </c>
      <c r="BE175" t="s">
        <v>335</v>
      </c>
      <c r="BF175">
        <v>847.43700000000001</v>
      </c>
      <c r="BG175">
        <v>87.376000000000005</v>
      </c>
      <c r="BH175">
        <v>745.06600000000003</v>
      </c>
      <c r="BI175">
        <v>804.43200000000002</v>
      </c>
      <c r="BJ175">
        <v>837.678</v>
      </c>
      <c r="BK175">
        <v>872.55799999999999</v>
      </c>
      <c r="BL175">
        <v>983.58199999999999</v>
      </c>
      <c r="BM175">
        <v>1.0980000000000001</v>
      </c>
      <c r="BN175">
        <v>180</v>
      </c>
      <c r="CU175" t="s">
        <v>335</v>
      </c>
      <c r="CV175">
        <v>843.58900000000006</v>
      </c>
      <c r="CW175">
        <v>73.331999999999994</v>
      </c>
      <c r="CX175">
        <v>742.24900000000002</v>
      </c>
      <c r="CY175">
        <v>800.38</v>
      </c>
      <c r="CZ175">
        <v>835.61400000000003</v>
      </c>
      <c r="DA175">
        <v>872.14099999999996</v>
      </c>
      <c r="DB175">
        <v>1003.3049999999999</v>
      </c>
      <c r="DC175">
        <v>1.016</v>
      </c>
      <c r="DD175">
        <v>3000</v>
      </c>
      <c r="DI175" t="s">
        <v>335</v>
      </c>
      <c r="DJ175">
        <v>4.3849999999999998</v>
      </c>
      <c r="DK175">
        <v>1.343</v>
      </c>
      <c r="DL175">
        <v>1.6930000000000001</v>
      </c>
      <c r="DM175">
        <v>3.4790000000000001</v>
      </c>
      <c r="DN175">
        <v>4.4180000000000001</v>
      </c>
      <c r="DO175">
        <v>5.343</v>
      </c>
      <c r="DP175">
        <v>6.9370000000000003</v>
      </c>
      <c r="DQ175">
        <v>1.002</v>
      </c>
      <c r="DR175">
        <v>3000</v>
      </c>
      <c r="DY175" t="s">
        <v>335</v>
      </c>
      <c r="DZ175">
        <v>4.4539999999999997</v>
      </c>
      <c r="EA175">
        <v>1.17</v>
      </c>
      <c r="EB175">
        <v>2.1309999999999998</v>
      </c>
      <c r="EC175">
        <v>3.6549999999999998</v>
      </c>
      <c r="ED175">
        <v>4.4660000000000002</v>
      </c>
      <c r="EE175">
        <v>5.2539999999999996</v>
      </c>
      <c r="EF175">
        <v>6.7249999999999996</v>
      </c>
      <c r="EG175">
        <v>1.0009999999999999</v>
      </c>
      <c r="EH175">
        <v>3000</v>
      </c>
    </row>
    <row r="176" spans="29:138">
      <c r="AC176" t="s">
        <v>336</v>
      </c>
      <c r="AD176">
        <v>629.04899999999998</v>
      </c>
      <c r="AE176">
        <v>444.63</v>
      </c>
      <c r="AF176">
        <v>36.24</v>
      </c>
      <c r="AG176">
        <v>242.48699999999999</v>
      </c>
      <c r="AH176">
        <v>535.76099999999997</v>
      </c>
      <c r="AI176">
        <v>960.351</v>
      </c>
      <c r="AJ176">
        <v>1536.1690000000001</v>
      </c>
      <c r="AK176">
        <v>1.0009999999999999</v>
      </c>
      <c r="AL176">
        <v>3000</v>
      </c>
      <c r="AQ176" t="s">
        <v>336</v>
      </c>
      <c r="AR176">
        <v>639.37300000000005</v>
      </c>
      <c r="AS176">
        <v>441.81599999999997</v>
      </c>
      <c r="AT176">
        <v>41.472999999999999</v>
      </c>
      <c r="AU176">
        <v>252.464</v>
      </c>
      <c r="AV176">
        <v>553.899</v>
      </c>
      <c r="AW176">
        <v>975.06799999999998</v>
      </c>
      <c r="AX176">
        <v>1521.5530000000001</v>
      </c>
      <c r="AY176">
        <v>1.0049999999999999</v>
      </c>
      <c r="AZ176">
        <v>530</v>
      </c>
      <c r="BE176" t="s">
        <v>336</v>
      </c>
      <c r="BF176">
        <v>915.52200000000005</v>
      </c>
      <c r="BG176">
        <v>49.523000000000003</v>
      </c>
      <c r="BH176">
        <v>821.41899999999998</v>
      </c>
      <c r="BI176">
        <v>882.32399999999996</v>
      </c>
      <c r="BJ176">
        <v>914.57299999999998</v>
      </c>
      <c r="BK176">
        <v>946.70799999999997</v>
      </c>
      <c r="BL176">
        <v>1015.913</v>
      </c>
      <c r="BM176">
        <v>1.002</v>
      </c>
      <c r="BN176">
        <v>1800</v>
      </c>
      <c r="CU176" t="s">
        <v>336</v>
      </c>
      <c r="CV176">
        <v>908.82500000000005</v>
      </c>
      <c r="CW176">
        <v>56.676000000000002</v>
      </c>
      <c r="CX176">
        <v>810.27700000000004</v>
      </c>
      <c r="CY176">
        <v>872.66499999999996</v>
      </c>
      <c r="CZ176">
        <v>904.98299999999995</v>
      </c>
      <c r="DA176">
        <v>940.73900000000003</v>
      </c>
      <c r="DB176">
        <v>1016.919</v>
      </c>
      <c r="DC176">
        <v>1.0129999999999999</v>
      </c>
      <c r="DD176">
        <v>1700</v>
      </c>
      <c r="DI176" t="s">
        <v>336</v>
      </c>
      <c r="DJ176">
        <v>4.41</v>
      </c>
      <c r="DK176">
        <v>1.32</v>
      </c>
      <c r="DL176">
        <v>1.758</v>
      </c>
      <c r="DM176">
        <v>3.53</v>
      </c>
      <c r="DN176">
        <v>4.4509999999999996</v>
      </c>
      <c r="DO176">
        <v>5.3259999999999996</v>
      </c>
      <c r="DP176">
        <v>6.9020000000000001</v>
      </c>
      <c r="DQ176">
        <v>1.01</v>
      </c>
      <c r="DR176">
        <v>810</v>
      </c>
      <c r="DY176" t="s">
        <v>336</v>
      </c>
      <c r="DZ176">
        <v>4.4740000000000002</v>
      </c>
      <c r="EA176">
        <v>1.1759999999999999</v>
      </c>
      <c r="EB176">
        <v>2.1669999999999998</v>
      </c>
      <c r="EC176">
        <v>3.6509999999999998</v>
      </c>
      <c r="ED176">
        <v>4.4359999999999999</v>
      </c>
      <c r="EE176">
        <v>5.3</v>
      </c>
      <c r="EF176">
        <v>6.7590000000000003</v>
      </c>
      <c r="EG176">
        <v>1.002</v>
      </c>
      <c r="EH176">
        <v>1400</v>
      </c>
    </row>
    <row r="177" spans="29:138">
      <c r="AC177" t="s">
        <v>337</v>
      </c>
      <c r="AD177">
        <v>156.42400000000001</v>
      </c>
      <c r="AE177">
        <v>247.40899999999999</v>
      </c>
      <c r="AF177">
        <v>2.7480000000000002</v>
      </c>
      <c r="AG177">
        <v>20.396000000000001</v>
      </c>
      <c r="AH177">
        <v>60.216000000000001</v>
      </c>
      <c r="AI177">
        <v>172.797</v>
      </c>
      <c r="AJ177">
        <v>975.40700000000004</v>
      </c>
      <c r="AK177">
        <v>1.0009999999999999</v>
      </c>
      <c r="AL177">
        <v>3000</v>
      </c>
      <c r="AQ177" t="s">
        <v>337</v>
      </c>
      <c r="AR177">
        <v>168.61699999999999</v>
      </c>
      <c r="AS177">
        <v>257.21100000000001</v>
      </c>
      <c r="AT177">
        <v>2.9870000000000001</v>
      </c>
      <c r="AU177">
        <v>22.117000000000001</v>
      </c>
      <c r="AV177">
        <v>63.953000000000003</v>
      </c>
      <c r="AW177">
        <v>190.80600000000001</v>
      </c>
      <c r="AX177">
        <v>982.96</v>
      </c>
      <c r="AY177">
        <v>1.004</v>
      </c>
      <c r="AZ177">
        <v>650</v>
      </c>
      <c r="BE177" t="s">
        <v>337</v>
      </c>
      <c r="BF177">
        <v>523.07000000000005</v>
      </c>
      <c r="BG177">
        <v>66.034000000000006</v>
      </c>
      <c r="BH177">
        <v>441.24099999999999</v>
      </c>
      <c r="BI177">
        <v>487.399</v>
      </c>
      <c r="BJ177">
        <v>513.30200000000002</v>
      </c>
      <c r="BK177">
        <v>543.84</v>
      </c>
      <c r="BL177">
        <v>693.73400000000004</v>
      </c>
      <c r="BM177">
        <v>1.056</v>
      </c>
      <c r="BN177">
        <v>150</v>
      </c>
      <c r="CU177" t="s">
        <v>337</v>
      </c>
      <c r="CV177">
        <v>552.53300000000002</v>
      </c>
      <c r="CW177">
        <v>137.352</v>
      </c>
      <c r="CX177">
        <v>437.685</v>
      </c>
      <c r="CY177">
        <v>489.96600000000001</v>
      </c>
      <c r="CZ177">
        <v>521.78599999999994</v>
      </c>
      <c r="DA177">
        <v>561.678</v>
      </c>
      <c r="DB177">
        <v>982.29200000000003</v>
      </c>
      <c r="DC177">
        <v>1.0389999999999999</v>
      </c>
      <c r="DD177">
        <v>250</v>
      </c>
      <c r="DI177" t="s">
        <v>337</v>
      </c>
      <c r="DJ177">
        <v>4.4630000000000001</v>
      </c>
      <c r="DK177">
        <v>1.329</v>
      </c>
      <c r="DL177">
        <v>1.835</v>
      </c>
      <c r="DM177">
        <v>3.5779999999999998</v>
      </c>
      <c r="DN177">
        <v>4.4820000000000002</v>
      </c>
      <c r="DO177">
        <v>5.4189999999999996</v>
      </c>
      <c r="DP177">
        <v>6.9710000000000001</v>
      </c>
      <c r="DQ177">
        <v>1.006</v>
      </c>
      <c r="DR177">
        <v>3000</v>
      </c>
      <c r="DY177" t="s">
        <v>337</v>
      </c>
      <c r="DZ177">
        <v>4.4550000000000001</v>
      </c>
      <c r="EA177">
        <v>1.1659999999999999</v>
      </c>
      <c r="EB177">
        <v>2.1909999999999998</v>
      </c>
      <c r="EC177">
        <v>3.6789999999999998</v>
      </c>
      <c r="ED177">
        <v>4.4569999999999999</v>
      </c>
      <c r="EE177">
        <v>5.2629999999999999</v>
      </c>
      <c r="EF177">
        <v>6.6619999999999999</v>
      </c>
      <c r="EG177">
        <v>1.002</v>
      </c>
      <c r="EH177">
        <v>1800</v>
      </c>
    </row>
    <row r="178" spans="29:138">
      <c r="AC178" t="s">
        <v>338</v>
      </c>
      <c r="AD178">
        <v>598.35900000000004</v>
      </c>
      <c r="AE178">
        <v>441.91699999999997</v>
      </c>
      <c r="AF178">
        <v>33.459000000000003</v>
      </c>
      <c r="AG178">
        <v>206.77099999999999</v>
      </c>
      <c r="AH178">
        <v>504.04599999999999</v>
      </c>
      <c r="AI178">
        <v>922.41600000000005</v>
      </c>
      <c r="AJ178">
        <v>1517.652</v>
      </c>
      <c r="AK178">
        <v>1.002</v>
      </c>
      <c r="AL178">
        <v>1600</v>
      </c>
      <c r="AQ178" t="s">
        <v>338</v>
      </c>
      <c r="AR178">
        <v>599.73199999999997</v>
      </c>
      <c r="AS178">
        <v>439.58499999999998</v>
      </c>
      <c r="AT178">
        <v>41.212000000000003</v>
      </c>
      <c r="AU178">
        <v>215.97</v>
      </c>
      <c r="AV178">
        <v>506.21600000000001</v>
      </c>
      <c r="AW178">
        <v>918.45399999999995</v>
      </c>
      <c r="AX178">
        <v>1527.2860000000001</v>
      </c>
      <c r="AY178">
        <v>1.0049999999999999</v>
      </c>
      <c r="AZ178">
        <v>660</v>
      </c>
      <c r="BE178" t="s">
        <v>338</v>
      </c>
      <c r="BF178">
        <v>906.94200000000001</v>
      </c>
      <c r="BG178">
        <v>45.737000000000002</v>
      </c>
      <c r="BH178">
        <v>822.34400000000005</v>
      </c>
      <c r="BI178">
        <v>875.71600000000001</v>
      </c>
      <c r="BJ178">
        <v>905.88900000000001</v>
      </c>
      <c r="BK178">
        <v>937.12900000000002</v>
      </c>
      <c r="BL178">
        <v>1001.4450000000001</v>
      </c>
      <c r="BM178">
        <v>1.0009999999999999</v>
      </c>
      <c r="BN178">
        <v>3000</v>
      </c>
      <c r="CU178" t="s">
        <v>338</v>
      </c>
      <c r="CV178">
        <v>907.12599999999998</v>
      </c>
      <c r="CW178">
        <v>49.036999999999999</v>
      </c>
      <c r="CX178">
        <v>820.34299999999996</v>
      </c>
      <c r="CY178">
        <v>874.23199999999997</v>
      </c>
      <c r="CZ178">
        <v>904.63499999999999</v>
      </c>
      <c r="DA178">
        <v>935.92899999999997</v>
      </c>
      <c r="DB178">
        <v>1011.499</v>
      </c>
      <c r="DC178">
        <v>1.0009999999999999</v>
      </c>
      <c r="DD178">
        <v>3000</v>
      </c>
      <c r="DI178" t="s">
        <v>338</v>
      </c>
      <c r="DJ178">
        <v>4.4189999999999996</v>
      </c>
      <c r="DK178">
        <v>1.341</v>
      </c>
      <c r="DL178">
        <v>1.748</v>
      </c>
      <c r="DM178">
        <v>3.476</v>
      </c>
      <c r="DN178">
        <v>4.4279999999999999</v>
      </c>
      <c r="DO178">
        <v>5.3789999999999996</v>
      </c>
      <c r="DP178">
        <v>6.9390000000000001</v>
      </c>
      <c r="DQ178">
        <v>1.0009999999999999</v>
      </c>
      <c r="DR178">
        <v>3000</v>
      </c>
      <c r="DY178" t="s">
        <v>338</v>
      </c>
      <c r="DZ178">
        <v>4.4550000000000001</v>
      </c>
      <c r="EA178">
        <v>1.1539999999999999</v>
      </c>
      <c r="EB178">
        <v>2.137</v>
      </c>
      <c r="EC178">
        <v>3.6669999999999998</v>
      </c>
      <c r="ED178">
        <v>4.4800000000000004</v>
      </c>
      <c r="EE178">
        <v>5.2460000000000004</v>
      </c>
      <c r="EF178">
        <v>6.6440000000000001</v>
      </c>
      <c r="EG178">
        <v>1.0009999999999999</v>
      </c>
      <c r="EH178">
        <v>2000</v>
      </c>
    </row>
    <row r="179" spans="29:138">
      <c r="AC179" t="s">
        <v>339</v>
      </c>
      <c r="AD179">
        <v>205.20599999999999</v>
      </c>
      <c r="AE179">
        <v>289.63499999999999</v>
      </c>
      <c r="AF179">
        <v>3.2839999999999998</v>
      </c>
      <c r="AG179">
        <v>28.309000000000001</v>
      </c>
      <c r="AH179">
        <v>84.855999999999995</v>
      </c>
      <c r="AI179">
        <v>247.00200000000001</v>
      </c>
      <c r="AJ179">
        <v>1091.8520000000001</v>
      </c>
      <c r="AK179">
        <v>1.0009999999999999</v>
      </c>
      <c r="AL179">
        <v>3000</v>
      </c>
      <c r="AQ179" t="s">
        <v>339</v>
      </c>
      <c r="AR179">
        <v>206.184</v>
      </c>
      <c r="AS179">
        <v>285.505</v>
      </c>
      <c r="AT179">
        <v>4.4089999999999998</v>
      </c>
      <c r="AU179">
        <v>31.427</v>
      </c>
      <c r="AV179">
        <v>89.957999999999998</v>
      </c>
      <c r="AW179">
        <v>248.96600000000001</v>
      </c>
      <c r="AX179">
        <v>1102.316</v>
      </c>
      <c r="AY179">
        <v>1.0029999999999999</v>
      </c>
      <c r="AZ179">
        <v>770</v>
      </c>
      <c r="BE179" t="s">
        <v>339</v>
      </c>
      <c r="BF179">
        <v>679.71100000000001</v>
      </c>
      <c r="BG179">
        <v>56.369</v>
      </c>
      <c r="BH179">
        <v>598.58299999999997</v>
      </c>
      <c r="BI179">
        <v>645.93899999999996</v>
      </c>
      <c r="BJ179">
        <v>671.86699999999996</v>
      </c>
      <c r="BK179">
        <v>703.88099999999997</v>
      </c>
      <c r="BL179">
        <v>802.68399999999997</v>
      </c>
      <c r="BM179">
        <v>1.036</v>
      </c>
      <c r="BN179">
        <v>570</v>
      </c>
      <c r="CU179" t="s">
        <v>339</v>
      </c>
      <c r="CV179">
        <v>694.55600000000004</v>
      </c>
      <c r="CW179">
        <v>98.876000000000005</v>
      </c>
      <c r="CX179">
        <v>597.44500000000005</v>
      </c>
      <c r="CY179">
        <v>649.04700000000003</v>
      </c>
      <c r="CZ179">
        <v>675.73900000000003</v>
      </c>
      <c r="DA179">
        <v>710.69799999999998</v>
      </c>
      <c r="DB179">
        <v>929.59400000000005</v>
      </c>
      <c r="DC179">
        <v>1.0640000000000001</v>
      </c>
      <c r="DD179">
        <v>220</v>
      </c>
      <c r="DI179" t="s">
        <v>339</v>
      </c>
      <c r="DJ179">
        <v>4.43</v>
      </c>
      <c r="DK179">
        <v>1.359</v>
      </c>
      <c r="DL179">
        <v>1.7270000000000001</v>
      </c>
      <c r="DM179">
        <v>3.4489999999999998</v>
      </c>
      <c r="DN179">
        <v>4.4349999999999996</v>
      </c>
      <c r="DO179">
        <v>5.4370000000000003</v>
      </c>
      <c r="DP179">
        <v>6.9050000000000002</v>
      </c>
      <c r="DQ179">
        <v>1.002</v>
      </c>
      <c r="DR179">
        <v>3000</v>
      </c>
      <c r="DY179" t="s">
        <v>339</v>
      </c>
      <c r="DZ179">
        <v>4.4489999999999998</v>
      </c>
      <c r="EA179">
        <v>1.1459999999999999</v>
      </c>
      <c r="EB179">
        <v>2.2549999999999999</v>
      </c>
      <c r="EC179">
        <v>3.6480000000000001</v>
      </c>
      <c r="ED179">
        <v>4.4320000000000004</v>
      </c>
      <c r="EE179">
        <v>5.2380000000000004</v>
      </c>
      <c r="EF179">
        <v>6.75</v>
      </c>
      <c r="EG179">
        <v>1.0029999999999999</v>
      </c>
      <c r="EH179">
        <v>970</v>
      </c>
    </row>
    <row r="180" spans="29:138">
      <c r="AC180" t="s">
        <v>340</v>
      </c>
      <c r="AD180">
        <v>649.09299999999996</v>
      </c>
      <c r="AE180">
        <v>443.84</v>
      </c>
      <c r="AF180">
        <v>42.384999999999998</v>
      </c>
      <c r="AG180">
        <v>262.76400000000001</v>
      </c>
      <c r="AH180">
        <v>571.202</v>
      </c>
      <c r="AI180">
        <v>977.04200000000003</v>
      </c>
      <c r="AJ180">
        <v>1539.0129999999999</v>
      </c>
      <c r="AK180">
        <v>1.0009999999999999</v>
      </c>
      <c r="AL180">
        <v>3000</v>
      </c>
      <c r="AQ180" t="s">
        <v>340</v>
      </c>
      <c r="AR180">
        <v>653.74</v>
      </c>
      <c r="AS180">
        <v>443.077</v>
      </c>
      <c r="AT180">
        <v>43.234000000000002</v>
      </c>
      <c r="AU180">
        <v>263.07600000000002</v>
      </c>
      <c r="AV180">
        <v>577.78599999999994</v>
      </c>
      <c r="AW180">
        <v>996.82600000000002</v>
      </c>
      <c r="AX180">
        <v>1523.348</v>
      </c>
      <c r="AY180">
        <v>1.0029999999999999</v>
      </c>
      <c r="AZ180">
        <v>760</v>
      </c>
      <c r="BE180" t="s">
        <v>340</v>
      </c>
      <c r="BF180">
        <v>701.93</v>
      </c>
      <c r="BG180">
        <v>47.454999999999998</v>
      </c>
      <c r="BH180">
        <v>612.02099999999996</v>
      </c>
      <c r="BI180">
        <v>670.70299999999997</v>
      </c>
      <c r="BJ180">
        <v>700.20100000000002</v>
      </c>
      <c r="BK180">
        <v>733.01599999999996</v>
      </c>
      <c r="BL180">
        <v>796.19600000000003</v>
      </c>
      <c r="BM180">
        <v>1.0049999999999999</v>
      </c>
      <c r="BN180">
        <v>440</v>
      </c>
      <c r="CU180" t="s">
        <v>340</v>
      </c>
      <c r="CV180">
        <v>693.10599999999999</v>
      </c>
      <c r="CW180">
        <v>48.517000000000003</v>
      </c>
      <c r="CX180">
        <v>602.24800000000005</v>
      </c>
      <c r="CY180">
        <v>660.63400000000001</v>
      </c>
      <c r="CZ180">
        <v>691.92600000000004</v>
      </c>
      <c r="DA180">
        <v>726.07799999999997</v>
      </c>
      <c r="DB180">
        <v>791.29200000000003</v>
      </c>
      <c r="DC180">
        <v>1.0009999999999999</v>
      </c>
      <c r="DD180">
        <v>3000</v>
      </c>
      <c r="DI180" t="s">
        <v>340</v>
      </c>
      <c r="DJ180">
        <v>4.4249999999999998</v>
      </c>
      <c r="DK180">
        <v>1.339</v>
      </c>
      <c r="DL180">
        <v>1.7929999999999999</v>
      </c>
      <c r="DM180">
        <v>3.4540000000000002</v>
      </c>
      <c r="DN180">
        <v>4.431</v>
      </c>
      <c r="DO180">
        <v>5.399</v>
      </c>
      <c r="DP180">
        <v>6.9320000000000004</v>
      </c>
      <c r="DQ180">
        <v>1.0009999999999999</v>
      </c>
      <c r="DR180">
        <v>3000</v>
      </c>
      <c r="DY180" t="s">
        <v>340</v>
      </c>
      <c r="DZ180">
        <v>4.4630000000000001</v>
      </c>
      <c r="EA180">
        <v>1.159</v>
      </c>
      <c r="EB180">
        <v>2.181</v>
      </c>
      <c r="EC180">
        <v>3.6739999999999999</v>
      </c>
      <c r="ED180">
        <v>4.4800000000000004</v>
      </c>
      <c r="EE180">
        <v>5.2380000000000004</v>
      </c>
      <c r="EF180">
        <v>6.702</v>
      </c>
      <c r="EG180">
        <v>1.0009999999999999</v>
      </c>
      <c r="EH180">
        <v>3000</v>
      </c>
    </row>
    <row r="181" spans="29:138">
      <c r="AC181" t="s">
        <v>341</v>
      </c>
      <c r="AD181">
        <v>620.97400000000005</v>
      </c>
      <c r="AE181">
        <v>435.95499999999998</v>
      </c>
      <c r="AF181">
        <v>41.119</v>
      </c>
      <c r="AG181">
        <v>243.554</v>
      </c>
      <c r="AH181">
        <v>532.72799999999995</v>
      </c>
      <c r="AI181">
        <v>947.60799999999995</v>
      </c>
      <c r="AJ181">
        <v>1526.192</v>
      </c>
      <c r="AK181">
        <v>1.0009999999999999</v>
      </c>
      <c r="AL181">
        <v>2200</v>
      </c>
      <c r="AQ181" t="s">
        <v>341</v>
      </c>
      <c r="AR181">
        <v>651.28399999999999</v>
      </c>
      <c r="AS181">
        <v>442.70100000000002</v>
      </c>
      <c r="AT181">
        <v>39.316000000000003</v>
      </c>
      <c r="AU181">
        <v>265.96600000000001</v>
      </c>
      <c r="AV181">
        <v>578.47400000000005</v>
      </c>
      <c r="AW181">
        <v>993.63499999999999</v>
      </c>
      <c r="AX181">
        <v>1538.9069999999999</v>
      </c>
      <c r="AY181">
        <v>1.0009999999999999</v>
      </c>
      <c r="AZ181">
        <v>3000</v>
      </c>
      <c r="BE181" t="s">
        <v>341</v>
      </c>
      <c r="BF181">
        <v>1033.2470000000001</v>
      </c>
      <c r="BG181">
        <v>51.484000000000002</v>
      </c>
      <c r="BH181">
        <v>942.52200000000005</v>
      </c>
      <c r="BI181">
        <v>998.70799999999997</v>
      </c>
      <c r="BJ181">
        <v>1031.7280000000001</v>
      </c>
      <c r="BK181">
        <v>1064.0999999999999</v>
      </c>
      <c r="BL181">
        <v>1136.777</v>
      </c>
      <c r="BM181">
        <v>1.0069999999999999</v>
      </c>
      <c r="BN181">
        <v>1700</v>
      </c>
      <c r="CU181" t="s">
        <v>341</v>
      </c>
      <c r="CV181">
        <v>1030.4169999999999</v>
      </c>
      <c r="CW181">
        <v>51.472000000000001</v>
      </c>
      <c r="CX181">
        <v>937.32799999999997</v>
      </c>
      <c r="CY181">
        <v>996.82</v>
      </c>
      <c r="CZ181">
        <v>1027.8910000000001</v>
      </c>
      <c r="DA181">
        <v>1060.7550000000001</v>
      </c>
      <c r="DB181">
        <v>1134.8489999999999</v>
      </c>
      <c r="DC181">
        <v>1.002</v>
      </c>
      <c r="DD181">
        <v>2000</v>
      </c>
      <c r="DI181" t="s">
        <v>341</v>
      </c>
      <c r="DJ181">
        <v>4.4029999999999996</v>
      </c>
      <c r="DK181">
        <v>1.319</v>
      </c>
      <c r="DL181">
        <v>1.73</v>
      </c>
      <c r="DM181">
        <v>3.5489999999999999</v>
      </c>
      <c r="DN181">
        <v>4.423</v>
      </c>
      <c r="DO181">
        <v>5.351</v>
      </c>
      <c r="DP181">
        <v>6.8780000000000001</v>
      </c>
      <c r="DQ181">
        <v>1.002</v>
      </c>
      <c r="DR181">
        <v>3000</v>
      </c>
      <c r="DY181" t="s">
        <v>341</v>
      </c>
      <c r="DZ181">
        <v>4.5030000000000001</v>
      </c>
      <c r="EA181">
        <v>1.159</v>
      </c>
      <c r="EB181">
        <v>2.2330000000000001</v>
      </c>
      <c r="EC181">
        <v>3.742</v>
      </c>
      <c r="ED181">
        <v>4.5039999999999996</v>
      </c>
      <c r="EE181">
        <v>5.306</v>
      </c>
      <c r="EF181">
        <v>6.7220000000000004</v>
      </c>
      <c r="EG181">
        <v>1.002</v>
      </c>
      <c r="EH181">
        <v>1700</v>
      </c>
    </row>
    <row r="182" spans="29:138">
      <c r="AC182" t="s">
        <v>342</v>
      </c>
      <c r="AD182">
        <v>55.546999999999997</v>
      </c>
      <c r="AE182">
        <v>130.15799999999999</v>
      </c>
      <c r="AF182">
        <v>1.2809999999999999</v>
      </c>
      <c r="AG182">
        <v>5.1589999999999998</v>
      </c>
      <c r="AH182">
        <v>14.337</v>
      </c>
      <c r="AI182">
        <v>45.234000000000002</v>
      </c>
      <c r="AJ182">
        <v>392.38499999999999</v>
      </c>
      <c r="AK182">
        <v>1.006</v>
      </c>
      <c r="AL182">
        <v>380</v>
      </c>
      <c r="AQ182" t="s">
        <v>342</v>
      </c>
      <c r="AR182">
        <v>62.887999999999998</v>
      </c>
      <c r="AS182">
        <v>154.50299999999999</v>
      </c>
      <c r="AT182">
        <v>1.282</v>
      </c>
      <c r="AU182">
        <v>5.4349999999999996</v>
      </c>
      <c r="AV182">
        <v>16.632000000000001</v>
      </c>
      <c r="AW182">
        <v>50.470999999999997</v>
      </c>
      <c r="AX182">
        <v>475.38499999999999</v>
      </c>
      <c r="AY182">
        <v>1.0049999999999999</v>
      </c>
      <c r="AZ182">
        <v>400</v>
      </c>
      <c r="BE182" t="s">
        <v>342</v>
      </c>
      <c r="BF182">
        <v>556.64</v>
      </c>
      <c r="BG182">
        <v>111.77500000000001</v>
      </c>
      <c r="BH182">
        <v>443.59500000000003</v>
      </c>
      <c r="BI182">
        <v>495.40899999999999</v>
      </c>
      <c r="BJ182">
        <v>530.82299999999998</v>
      </c>
      <c r="BK182">
        <v>576.524</v>
      </c>
      <c r="BL182">
        <v>841.62900000000002</v>
      </c>
      <c r="BM182">
        <v>1.026</v>
      </c>
      <c r="BN182">
        <v>450</v>
      </c>
      <c r="CU182" t="s">
        <v>342</v>
      </c>
      <c r="CV182">
        <v>571.25300000000004</v>
      </c>
      <c r="CW182">
        <v>145.68299999999999</v>
      </c>
      <c r="CX182">
        <v>438.35199999999998</v>
      </c>
      <c r="CY182">
        <v>494.18700000000001</v>
      </c>
      <c r="CZ182">
        <v>530.94799999999998</v>
      </c>
      <c r="DA182">
        <v>586.78099999999995</v>
      </c>
      <c r="DB182">
        <v>1017.928</v>
      </c>
      <c r="DC182">
        <v>1.004</v>
      </c>
      <c r="DD182">
        <v>3000</v>
      </c>
      <c r="DI182" t="s">
        <v>342</v>
      </c>
      <c r="DJ182">
        <v>4.4580000000000002</v>
      </c>
      <c r="DK182">
        <v>1.325</v>
      </c>
      <c r="DL182">
        <v>1.754</v>
      </c>
      <c r="DM182">
        <v>3.552</v>
      </c>
      <c r="DN182">
        <v>4.5140000000000002</v>
      </c>
      <c r="DO182">
        <v>5.3570000000000002</v>
      </c>
      <c r="DP182">
        <v>6.9029999999999996</v>
      </c>
      <c r="DQ182">
        <v>1.0009999999999999</v>
      </c>
      <c r="DR182">
        <v>3000</v>
      </c>
      <c r="DY182" t="s">
        <v>342</v>
      </c>
      <c r="DZ182">
        <v>4.4470000000000001</v>
      </c>
      <c r="EA182">
        <v>1.1379999999999999</v>
      </c>
      <c r="EB182">
        <v>2.1800000000000002</v>
      </c>
      <c r="EC182">
        <v>3.6629999999999998</v>
      </c>
      <c r="ED182">
        <v>4.4269999999999996</v>
      </c>
      <c r="EE182">
        <v>5.22</v>
      </c>
      <c r="EF182">
        <v>6.65</v>
      </c>
      <c r="EG182">
        <v>1.0009999999999999</v>
      </c>
      <c r="EH182">
        <v>2900</v>
      </c>
    </row>
    <row r="183" spans="29:138">
      <c r="AC183" t="s">
        <v>343</v>
      </c>
      <c r="AD183">
        <v>683.80100000000004</v>
      </c>
      <c r="AE183">
        <v>453.26600000000002</v>
      </c>
      <c r="AF183">
        <v>53.24</v>
      </c>
      <c r="AG183">
        <v>283.63499999999999</v>
      </c>
      <c r="AH183">
        <v>608.25199999999995</v>
      </c>
      <c r="AI183">
        <v>1048.3330000000001</v>
      </c>
      <c r="AJ183">
        <v>1543.748</v>
      </c>
      <c r="AK183">
        <v>1.0009999999999999</v>
      </c>
      <c r="AL183">
        <v>3000</v>
      </c>
      <c r="AQ183" t="s">
        <v>343</v>
      </c>
      <c r="AR183">
        <v>695.17</v>
      </c>
      <c r="AS183">
        <v>442.99700000000001</v>
      </c>
      <c r="AT183">
        <v>62.914999999999999</v>
      </c>
      <c r="AU183">
        <v>316.73399999999998</v>
      </c>
      <c r="AV183">
        <v>622.45000000000005</v>
      </c>
      <c r="AW183">
        <v>1041.5419999999999</v>
      </c>
      <c r="AX183">
        <v>1546.5350000000001</v>
      </c>
      <c r="AY183">
        <v>1.0009999999999999</v>
      </c>
      <c r="AZ183">
        <v>3000</v>
      </c>
      <c r="BE183" t="s">
        <v>343</v>
      </c>
      <c r="BF183">
        <v>836.32500000000005</v>
      </c>
      <c r="BG183">
        <v>44.944000000000003</v>
      </c>
      <c r="BH183">
        <v>752.53300000000002</v>
      </c>
      <c r="BI183">
        <v>805.97199999999998</v>
      </c>
      <c r="BJ183">
        <v>834.05399999999997</v>
      </c>
      <c r="BK183">
        <v>865.47299999999996</v>
      </c>
      <c r="BL183">
        <v>926.16899999999998</v>
      </c>
      <c r="BM183">
        <v>1.0009999999999999</v>
      </c>
      <c r="BN183">
        <v>3000</v>
      </c>
      <c r="CU183" t="s">
        <v>343</v>
      </c>
      <c r="CV183">
        <v>836.53300000000002</v>
      </c>
      <c r="CW183">
        <v>55.017000000000003</v>
      </c>
      <c r="CX183">
        <v>754.00300000000004</v>
      </c>
      <c r="CY183">
        <v>803.44399999999996</v>
      </c>
      <c r="CZ183">
        <v>833.41600000000005</v>
      </c>
      <c r="DA183">
        <v>863.32799999999997</v>
      </c>
      <c r="DB183">
        <v>932.94299999999998</v>
      </c>
      <c r="DC183">
        <v>1.028</v>
      </c>
      <c r="DD183">
        <v>820</v>
      </c>
      <c r="DI183" t="s">
        <v>343</v>
      </c>
      <c r="DJ183">
        <v>4.4329999999999998</v>
      </c>
      <c r="DK183">
        <v>1.323</v>
      </c>
      <c r="DL183">
        <v>1.7030000000000001</v>
      </c>
      <c r="DM183">
        <v>3.5510000000000002</v>
      </c>
      <c r="DN183">
        <v>4.4480000000000004</v>
      </c>
      <c r="DO183">
        <v>5.3840000000000003</v>
      </c>
      <c r="DP183">
        <v>6.8959999999999999</v>
      </c>
      <c r="DQ183">
        <v>1.028</v>
      </c>
      <c r="DR183">
        <v>1200</v>
      </c>
      <c r="DY183" t="s">
        <v>343</v>
      </c>
      <c r="DZ183">
        <v>4.45</v>
      </c>
      <c r="EA183">
        <v>1.1619999999999999</v>
      </c>
      <c r="EB183">
        <v>2.1280000000000001</v>
      </c>
      <c r="EC183">
        <v>3.633</v>
      </c>
      <c r="ED183">
        <v>4.4660000000000002</v>
      </c>
      <c r="EE183">
        <v>5.2779999999999996</v>
      </c>
      <c r="EF183">
        <v>6.593</v>
      </c>
      <c r="EG183">
        <v>1.0029999999999999</v>
      </c>
      <c r="EH183">
        <v>950</v>
      </c>
    </row>
    <row r="184" spans="29:138">
      <c r="AC184" t="s">
        <v>344</v>
      </c>
      <c r="AD184">
        <v>442.24700000000001</v>
      </c>
      <c r="AE184">
        <v>395.54</v>
      </c>
      <c r="AF184">
        <v>17.649000000000001</v>
      </c>
      <c r="AG184">
        <v>125.729</v>
      </c>
      <c r="AH184">
        <v>309.84800000000001</v>
      </c>
      <c r="AI184">
        <v>654.04499999999996</v>
      </c>
      <c r="AJ184">
        <v>1446.04</v>
      </c>
      <c r="AK184">
        <v>1.002</v>
      </c>
      <c r="AL184">
        <v>1300</v>
      </c>
      <c r="AQ184" t="s">
        <v>344</v>
      </c>
      <c r="AR184">
        <v>480.18599999999998</v>
      </c>
      <c r="AS184">
        <v>420.72399999999999</v>
      </c>
      <c r="AT184">
        <v>18.907</v>
      </c>
      <c r="AU184">
        <v>137.15</v>
      </c>
      <c r="AV184">
        <v>347.90800000000002</v>
      </c>
      <c r="AW184">
        <v>734.66800000000001</v>
      </c>
      <c r="AX184">
        <v>1481.251</v>
      </c>
      <c r="AY184">
        <v>1.002</v>
      </c>
      <c r="AZ184">
        <v>1200</v>
      </c>
      <c r="BE184" t="s">
        <v>344</v>
      </c>
      <c r="BF184">
        <v>1154.2460000000001</v>
      </c>
      <c r="BG184">
        <v>75.513999999999996</v>
      </c>
      <c r="BH184">
        <v>1018.4349999999999</v>
      </c>
      <c r="BI184">
        <v>1104.615</v>
      </c>
      <c r="BJ184">
        <v>1150.32</v>
      </c>
      <c r="BK184">
        <v>1196.2280000000001</v>
      </c>
      <c r="BL184">
        <v>1312.915</v>
      </c>
      <c r="BM184">
        <v>1.0109999999999999</v>
      </c>
      <c r="BN184">
        <v>460</v>
      </c>
      <c r="CU184" t="s">
        <v>344</v>
      </c>
      <c r="CV184">
        <v>1150.2840000000001</v>
      </c>
      <c r="CW184">
        <v>88.710999999999999</v>
      </c>
      <c r="CX184">
        <v>1000.268</v>
      </c>
      <c r="CY184">
        <v>1093.002</v>
      </c>
      <c r="CZ184">
        <v>1141.634</v>
      </c>
      <c r="DA184">
        <v>1193.636</v>
      </c>
      <c r="DB184">
        <v>1367.816</v>
      </c>
      <c r="DC184">
        <v>1.002</v>
      </c>
      <c r="DD184">
        <v>2900</v>
      </c>
      <c r="DI184" t="s">
        <v>344</v>
      </c>
      <c r="DJ184">
        <v>4.4669999999999996</v>
      </c>
      <c r="DK184">
        <v>1.331</v>
      </c>
      <c r="DL184">
        <v>1.669</v>
      </c>
      <c r="DM184">
        <v>3.6110000000000002</v>
      </c>
      <c r="DN184">
        <v>4.54</v>
      </c>
      <c r="DO184">
        <v>5.391</v>
      </c>
      <c r="DP184">
        <v>6.8860000000000001</v>
      </c>
      <c r="DQ184">
        <v>1.002</v>
      </c>
      <c r="DR184">
        <v>3000</v>
      </c>
      <c r="DY184" t="s">
        <v>344</v>
      </c>
      <c r="DZ184">
        <v>4.4710000000000001</v>
      </c>
      <c r="EA184">
        <v>1.151</v>
      </c>
      <c r="EB184">
        <v>2.2050000000000001</v>
      </c>
      <c r="EC184">
        <v>3.681</v>
      </c>
      <c r="ED184">
        <v>4.5110000000000001</v>
      </c>
      <c r="EE184">
        <v>5.2489999999999997</v>
      </c>
      <c r="EF184">
        <v>6.6950000000000003</v>
      </c>
      <c r="EG184">
        <v>1.0029999999999999</v>
      </c>
      <c r="EH184">
        <v>2700</v>
      </c>
    </row>
    <row r="185" spans="29:138">
      <c r="AC185" t="s">
        <v>345</v>
      </c>
      <c r="AD185">
        <v>503.548</v>
      </c>
      <c r="AE185">
        <v>432.202</v>
      </c>
      <c r="AF185">
        <v>18.186</v>
      </c>
      <c r="AG185">
        <v>141.768</v>
      </c>
      <c r="AH185">
        <v>366.8</v>
      </c>
      <c r="AI185">
        <v>796.65700000000004</v>
      </c>
      <c r="AJ185">
        <v>1492.325</v>
      </c>
      <c r="AK185">
        <v>1.0009999999999999</v>
      </c>
      <c r="AL185">
        <v>3000</v>
      </c>
      <c r="AQ185" t="s">
        <v>345</v>
      </c>
      <c r="AR185">
        <v>497.12599999999998</v>
      </c>
      <c r="AS185">
        <v>430.608</v>
      </c>
      <c r="AT185">
        <v>19.780999999999999</v>
      </c>
      <c r="AU185">
        <v>146.321</v>
      </c>
      <c r="AV185">
        <v>351.447</v>
      </c>
      <c r="AW185">
        <v>763.58299999999997</v>
      </c>
      <c r="AX185">
        <v>1501.692</v>
      </c>
      <c r="AY185">
        <v>1.002</v>
      </c>
      <c r="AZ185">
        <v>1400</v>
      </c>
      <c r="BE185" t="s">
        <v>345</v>
      </c>
      <c r="BF185">
        <v>971.64200000000005</v>
      </c>
      <c r="BG185">
        <v>49.896999999999998</v>
      </c>
      <c r="BH185">
        <v>877.52300000000002</v>
      </c>
      <c r="BI185">
        <v>938.1</v>
      </c>
      <c r="BJ185">
        <v>969.80899999999997</v>
      </c>
      <c r="BK185">
        <v>1003.221</v>
      </c>
      <c r="BL185">
        <v>1071.5940000000001</v>
      </c>
      <c r="BM185">
        <v>1.0009999999999999</v>
      </c>
      <c r="BN185">
        <v>3000</v>
      </c>
      <c r="CU185" t="s">
        <v>345</v>
      </c>
      <c r="CV185">
        <v>976.63499999999999</v>
      </c>
      <c r="CW185">
        <v>66.590999999999994</v>
      </c>
      <c r="CX185">
        <v>882.00199999999995</v>
      </c>
      <c r="CY185">
        <v>937.85500000000002</v>
      </c>
      <c r="CZ185">
        <v>970.01400000000001</v>
      </c>
      <c r="DA185">
        <v>1002.461</v>
      </c>
      <c r="DB185">
        <v>1106.8119999999999</v>
      </c>
      <c r="DC185">
        <v>1.022</v>
      </c>
      <c r="DD185">
        <v>650</v>
      </c>
      <c r="DI185" t="s">
        <v>345</v>
      </c>
      <c r="DJ185">
        <v>4.4539999999999997</v>
      </c>
      <c r="DK185">
        <v>1.3029999999999999</v>
      </c>
      <c r="DL185">
        <v>1.8979999999999999</v>
      </c>
      <c r="DM185">
        <v>3.5670000000000002</v>
      </c>
      <c r="DN185">
        <v>4.4770000000000003</v>
      </c>
      <c r="DO185">
        <v>5.399</v>
      </c>
      <c r="DP185">
        <v>6.8579999999999997</v>
      </c>
      <c r="DQ185">
        <v>1.0009999999999999</v>
      </c>
      <c r="DR185">
        <v>3000</v>
      </c>
      <c r="DY185" t="s">
        <v>345</v>
      </c>
      <c r="DZ185">
        <v>4.5060000000000002</v>
      </c>
      <c r="EA185">
        <v>1.1559999999999999</v>
      </c>
      <c r="EB185">
        <v>2.2130000000000001</v>
      </c>
      <c r="EC185">
        <v>3.7120000000000002</v>
      </c>
      <c r="ED185">
        <v>4.5439999999999996</v>
      </c>
      <c r="EE185">
        <v>5.3090000000000002</v>
      </c>
      <c r="EF185">
        <v>6.6719999999999997</v>
      </c>
      <c r="EG185">
        <v>1.002</v>
      </c>
      <c r="EH185">
        <v>2100</v>
      </c>
    </row>
    <row r="186" spans="29:138">
      <c r="AC186" t="s">
        <v>346</v>
      </c>
      <c r="AD186">
        <v>543.779</v>
      </c>
      <c r="AE186">
        <v>429.25900000000001</v>
      </c>
      <c r="AF186">
        <v>23.65</v>
      </c>
      <c r="AG186">
        <v>181.2</v>
      </c>
      <c r="AH186">
        <v>431.33100000000002</v>
      </c>
      <c r="AI186">
        <v>838.04899999999998</v>
      </c>
      <c r="AJ186">
        <v>1508.502</v>
      </c>
      <c r="AK186">
        <v>1.0009999999999999</v>
      </c>
      <c r="AL186">
        <v>3000</v>
      </c>
      <c r="AQ186" t="s">
        <v>346</v>
      </c>
      <c r="AR186">
        <v>548.596</v>
      </c>
      <c r="AS186">
        <v>438.16800000000001</v>
      </c>
      <c r="AT186">
        <v>23.725999999999999</v>
      </c>
      <c r="AU186">
        <v>176.85499999999999</v>
      </c>
      <c r="AV186">
        <v>427.21300000000002</v>
      </c>
      <c r="AW186">
        <v>866.78399999999999</v>
      </c>
      <c r="AX186">
        <v>1492.1959999999999</v>
      </c>
      <c r="AY186">
        <v>1.004</v>
      </c>
      <c r="AZ186">
        <v>600</v>
      </c>
      <c r="BE186" t="s">
        <v>346</v>
      </c>
      <c r="BF186">
        <v>1085.069</v>
      </c>
      <c r="BG186">
        <v>61.119</v>
      </c>
      <c r="BH186">
        <v>977.39200000000005</v>
      </c>
      <c r="BI186">
        <v>1045.44</v>
      </c>
      <c r="BJ186">
        <v>1080.6010000000001</v>
      </c>
      <c r="BK186">
        <v>1120.9459999999999</v>
      </c>
      <c r="BL186">
        <v>1208.799</v>
      </c>
      <c r="BM186">
        <v>1.0029999999999999</v>
      </c>
      <c r="BN186">
        <v>3000</v>
      </c>
      <c r="CU186" t="s">
        <v>346</v>
      </c>
      <c r="CV186">
        <v>1083.172</v>
      </c>
      <c r="CW186">
        <v>74.174000000000007</v>
      </c>
      <c r="CX186">
        <v>971.279</v>
      </c>
      <c r="CY186">
        <v>1038.836</v>
      </c>
      <c r="CZ186">
        <v>1075.7670000000001</v>
      </c>
      <c r="DA186">
        <v>1116.8710000000001</v>
      </c>
      <c r="DB186">
        <v>1239.1079999999999</v>
      </c>
      <c r="DC186">
        <v>1.012</v>
      </c>
      <c r="DD186">
        <v>300</v>
      </c>
      <c r="DI186" t="s">
        <v>346</v>
      </c>
      <c r="DJ186">
        <v>4.4320000000000004</v>
      </c>
      <c r="DK186">
        <v>1.3819999999999999</v>
      </c>
      <c r="DL186">
        <v>1.6739999999999999</v>
      </c>
      <c r="DM186">
        <v>3.4830000000000001</v>
      </c>
      <c r="DN186">
        <v>4.4219999999999997</v>
      </c>
      <c r="DO186">
        <v>5.431</v>
      </c>
      <c r="DP186">
        <v>6.9509999999999996</v>
      </c>
      <c r="DQ186">
        <v>1.01</v>
      </c>
      <c r="DR186">
        <v>3000</v>
      </c>
      <c r="DY186" t="s">
        <v>346</v>
      </c>
      <c r="DZ186">
        <v>4.4850000000000003</v>
      </c>
      <c r="EA186">
        <v>1.173</v>
      </c>
      <c r="EB186">
        <v>2.1030000000000002</v>
      </c>
      <c r="EC186">
        <v>3.7090000000000001</v>
      </c>
      <c r="ED186">
        <v>4.492</v>
      </c>
      <c r="EE186">
        <v>5.3150000000000004</v>
      </c>
      <c r="EF186">
        <v>6.7039999999999997</v>
      </c>
      <c r="EG186">
        <v>1.0009999999999999</v>
      </c>
      <c r="EH186">
        <v>2600</v>
      </c>
    </row>
    <row r="187" spans="29:138">
      <c r="AC187" t="s">
        <v>347</v>
      </c>
      <c r="AD187">
        <v>637.84100000000001</v>
      </c>
      <c r="AE187">
        <v>440.43</v>
      </c>
      <c r="AF187">
        <v>40.981999999999999</v>
      </c>
      <c r="AG187">
        <v>256.44400000000002</v>
      </c>
      <c r="AH187">
        <v>552.39400000000001</v>
      </c>
      <c r="AI187">
        <v>969.452</v>
      </c>
      <c r="AJ187">
        <v>1526.923</v>
      </c>
      <c r="AK187">
        <v>1.0029999999999999</v>
      </c>
      <c r="AL187">
        <v>920</v>
      </c>
      <c r="AQ187" t="s">
        <v>347</v>
      </c>
      <c r="AR187">
        <v>655.41099999999994</v>
      </c>
      <c r="AS187">
        <v>445.63299999999998</v>
      </c>
      <c r="AT187">
        <v>43.921999999999997</v>
      </c>
      <c r="AU187">
        <v>266.86700000000002</v>
      </c>
      <c r="AV187">
        <v>569.49900000000002</v>
      </c>
      <c r="AW187">
        <v>998.12699999999995</v>
      </c>
      <c r="AX187">
        <v>1532.645</v>
      </c>
      <c r="AY187">
        <v>1.002</v>
      </c>
      <c r="AZ187">
        <v>1400</v>
      </c>
      <c r="BE187" t="s">
        <v>347</v>
      </c>
      <c r="BF187">
        <v>1420.87</v>
      </c>
      <c r="BG187">
        <v>80.811000000000007</v>
      </c>
      <c r="BH187">
        <v>1259.1959999999999</v>
      </c>
      <c r="BI187">
        <v>1365.6969999999999</v>
      </c>
      <c r="BJ187">
        <v>1420.923</v>
      </c>
      <c r="BK187">
        <v>1477.7850000000001</v>
      </c>
      <c r="BL187">
        <v>1573.8109999999999</v>
      </c>
      <c r="BM187">
        <v>1.004</v>
      </c>
      <c r="BN187">
        <v>640</v>
      </c>
      <c r="CU187" t="s">
        <v>347</v>
      </c>
      <c r="CV187">
        <v>1403.1369999999999</v>
      </c>
      <c r="CW187">
        <v>84.641000000000005</v>
      </c>
      <c r="CX187">
        <v>1227.0730000000001</v>
      </c>
      <c r="CY187">
        <v>1347.259</v>
      </c>
      <c r="CZ187">
        <v>1402.779</v>
      </c>
      <c r="DA187">
        <v>1462.21</v>
      </c>
      <c r="DB187">
        <v>1563.1569999999999</v>
      </c>
      <c r="DC187">
        <v>1.0029999999999999</v>
      </c>
      <c r="DD187">
        <v>1000</v>
      </c>
      <c r="DI187" t="s">
        <v>347</v>
      </c>
      <c r="DJ187">
        <v>4.4509999999999996</v>
      </c>
      <c r="DK187">
        <v>1.3480000000000001</v>
      </c>
      <c r="DL187">
        <v>1.716</v>
      </c>
      <c r="DM187">
        <v>3.5070000000000001</v>
      </c>
      <c r="DN187">
        <v>4.4779999999999998</v>
      </c>
      <c r="DO187">
        <v>5.3979999999999997</v>
      </c>
      <c r="DP187">
        <v>6.9359999999999999</v>
      </c>
      <c r="DQ187">
        <v>1.0009999999999999</v>
      </c>
      <c r="DR187">
        <v>3000</v>
      </c>
      <c r="DY187" t="s">
        <v>347</v>
      </c>
      <c r="DZ187">
        <v>4.4580000000000002</v>
      </c>
      <c r="EA187">
        <v>1.1739999999999999</v>
      </c>
      <c r="EB187">
        <v>2.1379999999999999</v>
      </c>
      <c r="EC187">
        <v>3.6589999999999998</v>
      </c>
      <c r="ED187">
        <v>4.4710000000000001</v>
      </c>
      <c r="EE187">
        <v>5.2619999999999996</v>
      </c>
      <c r="EF187">
        <v>6.72</v>
      </c>
      <c r="EG187">
        <v>1.0029999999999999</v>
      </c>
      <c r="EH187">
        <v>1600</v>
      </c>
    </row>
    <row r="188" spans="29:138">
      <c r="AC188" t="s">
        <v>348</v>
      </c>
      <c r="AD188">
        <v>524.80100000000004</v>
      </c>
      <c r="AE188">
        <v>426.34300000000002</v>
      </c>
      <c r="AF188">
        <v>22.97</v>
      </c>
      <c r="AG188">
        <v>164.952</v>
      </c>
      <c r="AH188">
        <v>407.81700000000001</v>
      </c>
      <c r="AI188">
        <v>808.01099999999997</v>
      </c>
      <c r="AJ188">
        <v>1493.673</v>
      </c>
      <c r="AK188">
        <v>1.0009999999999999</v>
      </c>
      <c r="AL188">
        <v>3000</v>
      </c>
      <c r="AQ188" t="s">
        <v>348</v>
      </c>
      <c r="AR188">
        <v>545.70399999999995</v>
      </c>
      <c r="AS188">
        <v>439.11099999999999</v>
      </c>
      <c r="AT188">
        <v>24.818999999999999</v>
      </c>
      <c r="AU188">
        <v>169.827</v>
      </c>
      <c r="AV188">
        <v>424.96899999999999</v>
      </c>
      <c r="AW188">
        <v>856.72799999999995</v>
      </c>
      <c r="AX188">
        <v>1491.1859999999999</v>
      </c>
      <c r="AY188">
        <v>1.006</v>
      </c>
      <c r="AZ188">
        <v>340</v>
      </c>
      <c r="BE188" t="s">
        <v>348</v>
      </c>
      <c r="BF188">
        <v>616.57600000000002</v>
      </c>
      <c r="BG188">
        <v>35.938000000000002</v>
      </c>
      <c r="BH188">
        <v>547.39499999999998</v>
      </c>
      <c r="BI188">
        <v>592.38800000000003</v>
      </c>
      <c r="BJ188">
        <v>615.92499999999995</v>
      </c>
      <c r="BK188">
        <v>639.92499999999995</v>
      </c>
      <c r="BL188">
        <v>688.26300000000003</v>
      </c>
      <c r="BM188">
        <v>1.0009999999999999</v>
      </c>
      <c r="BN188">
        <v>3000</v>
      </c>
      <c r="CU188" t="s">
        <v>348</v>
      </c>
      <c r="CV188">
        <v>621.89800000000002</v>
      </c>
      <c r="CW188">
        <v>50.505000000000003</v>
      </c>
      <c r="CX188">
        <v>550.82399999999996</v>
      </c>
      <c r="CY188">
        <v>592.928</v>
      </c>
      <c r="CZ188">
        <v>618.09699999999998</v>
      </c>
      <c r="DA188">
        <v>644.13900000000001</v>
      </c>
      <c r="DB188">
        <v>703.71500000000003</v>
      </c>
      <c r="DC188">
        <v>1.03</v>
      </c>
      <c r="DD188">
        <v>510</v>
      </c>
      <c r="DI188" t="s">
        <v>348</v>
      </c>
      <c r="DJ188">
        <v>4.4580000000000002</v>
      </c>
      <c r="DK188">
        <v>1.351</v>
      </c>
      <c r="DL188">
        <v>1.6950000000000001</v>
      </c>
      <c r="DM188">
        <v>3.5790000000000002</v>
      </c>
      <c r="DN188">
        <v>4.4589999999999996</v>
      </c>
      <c r="DO188">
        <v>5.4169999999999998</v>
      </c>
      <c r="DP188">
        <v>6.98</v>
      </c>
      <c r="DQ188">
        <v>1.0009999999999999</v>
      </c>
      <c r="DR188">
        <v>3000</v>
      </c>
      <c r="DY188" t="s">
        <v>348</v>
      </c>
      <c r="DZ188">
        <v>4.4530000000000003</v>
      </c>
      <c r="EA188">
        <v>1.1619999999999999</v>
      </c>
      <c r="EB188">
        <v>2.1429999999999998</v>
      </c>
      <c r="EC188">
        <v>3.6509999999999998</v>
      </c>
      <c r="ED188">
        <v>4.45</v>
      </c>
      <c r="EE188">
        <v>5.26</v>
      </c>
      <c r="EF188">
        <v>6.6289999999999996</v>
      </c>
      <c r="EG188">
        <v>1.004</v>
      </c>
      <c r="EH188">
        <v>600</v>
      </c>
    </row>
    <row r="189" spans="29:138">
      <c r="AC189" t="s">
        <v>349</v>
      </c>
      <c r="AD189">
        <v>580.59</v>
      </c>
      <c r="AE189">
        <v>440.37200000000001</v>
      </c>
      <c r="AF189">
        <v>27.893999999999998</v>
      </c>
      <c r="AG189">
        <v>194.95099999999999</v>
      </c>
      <c r="AH189">
        <v>484.08699999999999</v>
      </c>
      <c r="AI189">
        <v>905.28099999999995</v>
      </c>
      <c r="AJ189">
        <v>1504.038</v>
      </c>
      <c r="AK189">
        <v>1.002</v>
      </c>
      <c r="AL189">
        <v>1400</v>
      </c>
      <c r="AQ189" t="s">
        <v>349</v>
      </c>
      <c r="AR189">
        <v>597.85599999999999</v>
      </c>
      <c r="AS189">
        <v>441.91800000000001</v>
      </c>
      <c r="AT189">
        <v>28.387</v>
      </c>
      <c r="AU189">
        <v>216.13300000000001</v>
      </c>
      <c r="AV189">
        <v>504.66899999999998</v>
      </c>
      <c r="AW189">
        <v>931.30100000000004</v>
      </c>
      <c r="AX189">
        <v>1514.0809999999999</v>
      </c>
      <c r="AY189">
        <v>1.002</v>
      </c>
      <c r="AZ189">
        <v>1700</v>
      </c>
      <c r="BE189" t="s">
        <v>349</v>
      </c>
      <c r="BF189">
        <v>733.45500000000004</v>
      </c>
      <c r="BG189">
        <v>40.237000000000002</v>
      </c>
      <c r="BH189">
        <v>656.47500000000002</v>
      </c>
      <c r="BI189">
        <v>705.56</v>
      </c>
      <c r="BJ189">
        <v>731.49900000000002</v>
      </c>
      <c r="BK189">
        <v>760.95399999999995</v>
      </c>
      <c r="BL189">
        <v>812.89800000000002</v>
      </c>
      <c r="BM189">
        <v>1.002</v>
      </c>
      <c r="BN189">
        <v>3000</v>
      </c>
      <c r="CU189" t="s">
        <v>349</v>
      </c>
      <c r="CV189">
        <v>733.03499999999997</v>
      </c>
      <c r="CW189">
        <v>40.725000000000001</v>
      </c>
      <c r="CX189">
        <v>657.72299999999996</v>
      </c>
      <c r="CY189">
        <v>706.125</v>
      </c>
      <c r="CZ189">
        <v>731.20699999999999</v>
      </c>
      <c r="DA189">
        <v>757.76599999999996</v>
      </c>
      <c r="DB189">
        <v>815.83500000000004</v>
      </c>
      <c r="DC189">
        <v>1.0009999999999999</v>
      </c>
      <c r="DD189">
        <v>3000</v>
      </c>
      <c r="DI189" t="s">
        <v>349</v>
      </c>
      <c r="DJ189">
        <v>4.43</v>
      </c>
      <c r="DK189">
        <v>1.335</v>
      </c>
      <c r="DL189">
        <v>1.726</v>
      </c>
      <c r="DM189">
        <v>3.5049999999999999</v>
      </c>
      <c r="DN189">
        <v>4.468</v>
      </c>
      <c r="DO189">
        <v>5.3970000000000002</v>
      </c>
      <c r="DP189">
        <v>6.8789999999999996</v>
      </c>
      <c r="DQ189">
        <v>1.0009999999999999</v>
      </c>
      <c r="DR189">
        <v>3000</v>
      </c>
      <c r="DY189" t="s">
        <v>349</v>
      </c>
      <c r="DZ189">
        <v>4.4480000000000004</v>
      </c>
      <c r="EA189">
        <v>1.141</v>
      </c>
      <c r="EB189">
        <v>2.238</v>
      </c>
      <c r="EC189">
        <v>3.6859999999999999</v>
      </c>
      <c r="ED189">
        <v>4.4569999999999999</v>
      </c>
      <c r="EE189">
        <v>5.2469999999999999</v>
      </c>
      <c r="EF189">
        <v>6.6219999999999999</v>
      </c>
      <c r="EG189">
        <v>1.004</v>
      </c>
      <c r="EH189">
        <v>2400</v>
      </c>
    </row>
    <row r="190" spans="29:138">
      <c r="AC190" t="s">
        <v>350</v>
      </c>
      <c r="AD190">
        <v>518.66099999999994</v>
      </c>
      <c r="AE190">
        <v>435.37799999999999</v>
      </c>
      <c r="AF190">
        <v>18.228999999999999</v>
      </c>
      <c r="AG190">
        <v>155.911</v>
      </c>
      <c r="AH190">
        <v>385.26600000000002</v>
      </c>
      <c r="AI190">
        <v>791.70299999999997</v>
      </c>
      <c r="AJ190">
        <v>1508.877</v>
      </c>
      <c r="AK190">
        <v>1.0009999999999999</v>
      </c>
      <c r="AL190">
        <v>3000</v>
      </c>
      <c r="AQ190" t="s">
        <v>350</v>
      </c>
      <c r="AR190">
        <v>523.745</v>
      </c>
      <c r="AS190">
        <v>433.69600000000003</v>
      </c>
      <c r="AT190">
        <v>20.501999999999999</v>
      </c>
      <c r="AU190">
        <v>157.74600000000001</v>
      </c>
      <c r="AV190">
        <v>389.08600000000001</v>
      </c>
      <c r="AW190">
        <v>816.86599999999999</v>
      </c>
      <c r="AX190">
        <v>1484.4179999999999</v>
      </c>
      <c r="AY190">
        <v>1.0029999999999999</v>
      </c>
      <c r="AZ190">
        <v>900</v>
      </c>
      <c r="BE190" t="s">
        <v>350</v>
      </c>
      <c r="BF190">
        <v>277.85700000000003</v>
      </c>
      <c r="BG190">
        <v>23.837</v>
      </c>
      <c r="BH190">
        <v>233.148</v>
      </c>
      <c r="BI190">
        <v>261.65600000000001</v>
      </c>
      <c r="BJ190">
        <v>277.38600000000002</v>
      </c>
      <c r="BK190">
        <v>293.85899999999998</v>
      </c>
      <c r="BL190">
        <v>325.12099999999998</v>
      </c>
      <c r="BM190">
        <v>1.002</v>
      </c>
      <c r="BN190">
        <v>1200</v>
      </c>
      <c r="CU190" t="s">
        <v>350</v>
      </c>
      <c r="CV190">
        <v>275.84699999999998</v>
      </c>
      <c r="CW190">
        <v>27.071000000000002</v>
      </c>
      <c r="CX190">
        <v>231.41499999999999</v>
      </c>
      <c r="CY190">
        <v>259.66500000000002</v>
      </c>
      <c r="CZ190">
        <v>274.30700000000002</v>
      </c>
      <c r="DA190">
        <v>290.74400000000003</v>
      </c>
      <c r="DB190">
        <v>322.59399999999999</v>
      </c>
      <c r="DC190">
        <v>1.012</v>
      </c>
      <c r="DD190">
        <v>2100</v>
      </c>
      <c r="DI190" t="s">
        <v>350</v>
      </c>
      <c r="DJ190">
        <v>4.4050000000000002</v>
      </c>
      <c r="DK190">
        <v>1.331</v>
      </c>
      <c r="DL190">
        <v>1.7669999999999999</v>
      </c>
      <c r="DM190">
        <v>3.5169999999999999</v>
      </c>
      <c r="DN190">
        <v>4.4329999999999998</v>
      </c>
      <c r="DO190">
        <v>5.335</v>
      </c>
      <c r="DP190">
        <v>6.91</v>
      </c>
      <c r="DQ190">
        <v>1.0069999999999999</v>
      </c>
      <c r="DR190">
        <v>540</v>
      </c>
      <c r="DY190" t="s">
        <v>350</v>
      </c>
      <c r="DZ190">
        <v>4.4870000000000001</v>
      </c>
      <c r="EA190">
        <v>1.179</v>
      </c>
      <c r="EB190">
        <v>2.1139999999999999</v>
      </c>
      <c r="EC190">
        <v>3.6739999999999999</v>
      </c>
      <c r="ED190">
        <v>4.4909999999999997</v>
      </c>
      <c r="EE190">
        <v>5.2889999999999997</v>
      </c>
      <c r="EF190">
        <v>6.7750000000000004</v>
      </c>
      <c r="EG190">
        <v>1.0009999999999999</v>
      </c>
      <c r="EH190">
        <v>3000</v>
      </c>
    </row>
    <row r="191" spans="29:138">
      <c r="AC191" t="s">
        <v>351</v>
      </c>
      <c r="AD191">
        <v>73.48</v>
      </c>
      <c r="AE191">
        <v>152.35599999999999</v>
      </c>
      <c r="AF191">
        <v>1.5149999999999999</v>
      </c>
      <c r="AG191">
        <v>7.8760000000000003</v>
      </c>
      <c r="AH191">
        <v>22.969000000000001</v>
      </c>
      <c r="AI191">
        <v>67.120999999999995</v>
      </c>
      <c r="AJ191">
        <v>488.226</v>
      </c>
      <c r="AK191">
        <v>1.004</v>
      </c>
      <c r="AL191">
        <v>610</v>
      </c>
      <c r="AQ191" t="s">
        <v>351</v>
      </c>
      <c r="AR191">
        <v>83.861000000000004</v>
      </c>
      <c r="AS191">
        <v>166.33799999999999</v>
      </c>
      <c r="AT191">
        <v>1.52</v>
      </c>
      <c r="AU191">
        <v>8.4670000000000005</v>
      </c>
      <c r="AV191">
        <v>25.728999999999999</v>
      </c>
      <c r="AW191">
        <v>79.927000000000007</v>
      </c>
      <c r="AX191">
        <v>554.13900000000001</v>
      </c>
      <c r="AY191">
        <v>1.01</v>
      </c>
      <c r="AZ191">
        <v>210</v>
      </c>
      <c r="BE191" t="s">
        <v>351</v>
      </c>
      <c r="BF191">
        <v>431.39100000000002</v>
      </c>
      <c r="BG191">
        <v>68.424999999999997</v>
      </c>
      <c r="BH191">
        <v>360.005</v>
      </c>
      <c r="BI191">
        <v>397.73399999999998</v>
      </c>
      <c r="BJ191">
        <v>421.25599999999997</v>
      </c>
      <c r="BK191">
        <v>446.94099999999997</v>
      </c>
      <c r="BL191">
        <v>560.16800000000001</v>
      </c>
      <c r="BM191">
        <v>1.0760000000000001</v>
      </c>
      <c r="BN191">
        <v>140</v>
      </c>
      <c r="CU191" t="s">
        <v>351</v>
      </c>
      <c r="CV191">
        <v>536.56299999999999</v>
      </c>
      <c r="CW191">
        <v>249.89599999999999</v>
      </c>
      <c r="CX191">
        <v>363.86200000000002</v>
      </c>
      <c r="CY191">
        <v>406.423</v>
      </c>
      <c r="CZ191">
        <v>438.29899999999998</v>
      </c>
      <c r="DA191">
        <v>515.50199999999995</v>
      </c>
      <c r="DB191">
        <v>1371.8050000000001</v>
      </c>
      <c r="DC191">
        <v>1.0209999999999999</v>
      </c>
      <c r="DD191">
        <v>170</v>
      </c>
      <c r="DI191" t="s">
        <v>351</v>
      </c>
      <c r="DJ191">
        <v>4.4160000000000004</v>
      </c>
      <c r="DK191">
        <v>1.353</v>
      </c>
      <c r="DL191">
        <v>1.498</v>
      </c>
      <c r="DM191">
        <v>3.5129999999999999</v>
      </c>
      <c r="DN191">
        <v>4.4720000000000004</v>
      </c>
      <c r="DO191">
        <v>5.3840000000000003</v>
      </c>
      <c r="DP191">
        <v>6.891</v>
      </c>
      <c r="DQ191">
        <v>1.0009999999999999</v>
      </c>
      <c r="DR191">
        <v>3000</v>
      </c>
      <c r="DY191" t="s">
        <v>351</v>
      </c>
      <c r="DZ191">
        <v>4.4420000000000002</v>
      </c>
      <c r="EA191">
        <v>1.1559999999999999</v>
      </c>
      <c r="EB191">
        <v>2.1739999999999999</v>
      </c>
      <c r="EC191">
        <v>3.6459999999999999</v>
      </c>
      <c r="ED191">
        <v>4.4569999999999999</v>
      </c>
      <c r="EE191">
        <v>5.258</v>
      </c>
      <c r="EF191">
        <v>6.7060000000000004</v>
      </c>
      <c r="EG191">
        <v>1.0009999999999999</v>
      </c>
      <c r="EH191">
        <v>3000</v>
      </c>
    </row>
    <row r="192" spans="29:138">
      <c r="AC192" t="s">
        <v>352</v>
      </c>
      <c r="AD192">
        <v>446.49299999999999</v>
      </c>
      <c r="AE192">
        <v>410.36599999999999</v>
      </c>
      <c r="AF192">
        <v>15.2</v>
      </c>
      <c r="AG192">
        <v>113.65300000000001</v>
      </c>
      <c r="AH192">
        <v>296.26799999999997</v>
      </c>
      <c r="AI192">
        <v>691.41099999999994</v>
      </c>
      <c r="AJ192">
        <v>1447.7529999999999</v>
      </c>
      <c r="AK192">
        <v>1.0009999999999999</v>
      </c>
      <c r="AL192">
        <v>3000</v>
      </c>
      <c r="AQ192" t="s">
        <v>352</v>
      </c>
      <c r="AR192">
        <v>485.33100000000002</v>
      </c>
      <c r="AS192">
        <v>425.54899999999998</v>
      </c>
      <c r="AT192">
        <v>16.402999999999999</v>
      </c>
      <c r="AU192">
        <v>132.53700000000001</v>
      </c>
      <c r="AV192">
        <v>354.916</v>
      </c>
      <c r="AW192">
        <v>767.423</v>
      </c>
      <c r="AX192">
        <v>1497.1959999999999</v>
      </c>
      <c r="AY192">
        <v>1.008</v>
      </c>
      <c r="AZ192">
        <v>320</v>
      </c>
      <c r="BE192" t="s">
        <v>352</v>
      </c>
      <c r="BF192">
        <v>837.53800000000001</v>
      </c>
      <c r="BG192">
        <v>43.061999999999998</v>
      </c>
      <c r="BH192">
        <v>759.77800000000002</v>
      </c>
      <c r="BI192">
        <v>808.23800000000006</v>
      </c>
      <c r="BJ192">
        <v>836.71799999999996</v>
      </c>
      <c r="BK192">
        <v>864.92100000000005</v>
      </c>
      <c r="BL192">
        <v>918.80899999999997</v>
      </c>
      <c r="BM192">
        <v>1.0049999999999999</v>
      </c>
      <c r="BN192">
        <v>730</v>
      </c>
      <c r="CU192" t="s">
        <v>352</v>
      </c>
      <c r="CV192">
        <v>845.31200000000001</v>
      </c>
      <c r="CW192">
        <v>58.902999999999999</v>
      </c>
      <c r="CX192">
        <v>756.75300000000004</v>
      </c>
      <c r="CY192">
        <v>811.97699999999998</v>
      </c>
      <c r="CZ192">
        <v>839.42499999999995</v>
      </c>
      <c r="DA192">
        <v>871.14400000000001</v>
      </c>
      <c r="DB192">
        <v>957.24699999999996</v>
      </c>
      <c r="DC192">
        <v>1.012</v>
      </c>
      <c r="DD192">
        <v>840</v>
      </c>
      <c r="DI192" t="s">
        <v>352</v>
      </c>
      <c r="DJ192">
        <v>4.4180000000000001</v>
      </c>
      <c r="DK192">
        <v>1.333</v>
      </c>
      <c r="DL192">
        <v>1.756</v>
      </c>
      <c r="DM192">
        <v>3.4969999999999999</v>
      </c>
      <c r="DN192">
        <v>4.4509999999999996</v>
      </c>
      <c r="DO192">
        <v>5.3609999999999998</v>
      </c>
      <c r="DP192">
        <v>6.8970000000000002</v>
      </c>
      <c r="DQ192">
        <v>1.002</v>
      </c>
      <c r="DR192">
        <v>1700</v>
      </c>
      <c r="DY192" t="s">
        <v>352</v>
      </c>
      <c r="DZ192">
        <v>4.5049999999999999</v>
      </c>
      <c r="EA192">
        <v>1.1619999999999999</v>
      </c>
      <c r="EB192">
        <v>2.1269999999999998</v>
      </c>
      <c r="EC192">
        <v>3.7240000000000002</v>
      </c>
      <c r="ED192">
        <v>4.5529999999999999</v>
      </c>
      <c r="EE192">
        <v>5.3090000000000002</v>
      </c>
      <c r="EF192">
        <v>6.7290000000000001</v>
      </c>
      <c r="EG192">
        <v>1.0009999999999999</v>
      </c>
      <c r="EH192">
        <v>3000</v>
      </c>
    </row>
    <row r="193" spans="29:138">
      <c r="AC193" t="s">
        <v>353</v>
      </c>
      <c r="AD193">
        <v>245.77099999999999</v>
      </c>
      <c r="AE193">
        <v>319.11500000000001</v>
      </c>
      <c r="AF193">
        <v>4.1260000000000003</v>
      </c>
      <c r="AG193">
        <v>36.887999999999998</v>
      </c>
      <c r="AH193">
        <v>111.447</v>
      </c>
      <c r="AI193">
        <v>318.01</v>
      </c>
      <c r="AJ193">
        <v>1221.502</v>
      </c>
      <c r="AK193">
        <v>1.002</v>
      </c>
      <c r="AL193">
        <v>1100</v>
      </c>
      <c r="AQ193" t="s">
        <v>353</v>
      </c>
      <c r="AR193">
        <v>261.714</v>
      </c>
      <c r="AS193">
        <v>332.52300000000002</v>
      </c>
      <c r="AT193">
        <v>5.266</v>
      </c>
      <c r="AU193">
        <v>42.625999999999998</v>
      </c>
      <c r="AV193">
        <v>120.589</v>
      </c>
      <c r="AW193">
        <v>340.108</v>
      </c>
      <c r="AX193">
        <v>1281.0920000000001</v>
      </c>
      <c r="AY193">
        <v>1.0029999999999999</v>
      </c>
      <c r="AZ193">
        <v>870</v>
      </c>
      <c r="BE193" t="s">
        <v>353</v>
      </c>
      <c r="BF193">
        <v>1113.7280000000001</v>
      </c>
      <c r="BG193">
        <v>68.738</v>
      </c>
      <c r="BH193">
        <v>1010.203</v>
      </c>
      <c r="BI193">
        <v>1072.336</v>
      </c>
      <c r="BJ193">
        <v>1106.5250000000001</v>
      </c>
      <c r="BK193">
        <v>1144.5219999999999</v>
      </c>
      <c r="BL193">
        <v>1267.8789999999999</v>
      </c>
      <c r="BM193">
        <v>1.0049999999999999</v>
      </c>
      <c r="BN193">
        <v>2300</v>
      </c>
      <c r="CU193" t="s">
        <v>353</v>
      </c>
      <c r="CV193">
        <v>1138.6659999999999</v>
      </c>
      <c r="CW193">
        <v>98.025999999999996</v>
      </c>
      <c r="CX193">
        <v>1014.6180000000001</v>
      </c>
      <c r="CY193">
        <v>1079.4760000000001</v>
      </c>
      <c r="CZ193">
        <v>1118.4100000000001</v>
      </c>
      <c r="DA193">
        <v>1167.8889999999999</v>
      </c>
      <c r="DB193">
        <v>1446.444</v>
      </c>
      <c r="DC193">
        <v>1.008</v>
      </c>
      <c r="DD193">
        <v>420</v>
      </c>
      <c r="DI193" t="s">
        <v>353</v>
      </c>
      <c r="DJ193">
        <v>4.4320000000000004</v>
      </c>
      <c r="DK193">
        <v>1.3129999999999999</v>
      </c>
      <c r="DL193">
        <v>1.754</v>
      </c>
      <c r="DM193">
        <v>3.5379999999999998</v>
      </c>
      <c r="DN193">
        <v>4.4850000000000003</v>
      </c>
      <c r="DO193">
        <v>5.3550000000000004</v>
      </c>
      <c r="DP193">
        <v>6.8440000000000003</v>
      </c>
      <c r="DQ193">
        <v>1.002</v>
      </c>
      <c r="DR193">
        <v>3000</v>
      </c>
      <c r="DY193" t="s">
        <v>353</v>
      </c>
      <c r="DZ193">
        <v>4.49</v>
      </c>
      <c r="EA193">
        <v>1.133</v>
      </c>
      <c r="EB193">
        <v>2.2930000000000001</v>
      </c>
      <c r="EC193">
        <v>3.706</v>
      </c>
      <c r="ED193">
        <v>4.524</v>
      </c>
      <c r="EE193">
        <v>5.3010000000000002</v>
      </c>
      <c r="EF193">
        <v>6.67</v>
      </c>
      <c r="EG193">
        <v>1.0009999999999999</v>
      </c>
      <c r="EH193">
        <v>3000</v>
      </c>
    </row>
    <row r="194" spans="29:138">
      <c r="AC194" t="s">
        <v>354</v>
      </c>
      <c r="AD194">
        <v>587.54999999999995</v>
      </c>
      <c r="AE194">
        <v>433.96</v>
      </c>
      <c r="AF194">
        <v>31.154</v>
      </c>
      <c r="AG194">
        <v>219.30099999999999</v>
      </c>
      <c r="AH194">
        <v>487.923</v>
      </c>
      <c r="AI194">
        <v>902.41700000000003</v>
      </c>
      <c r="AJ194">
        <v>1511.5540000000001</v>
      </c>
      <c r="AK194">
        <v>1.0009999999999999</v>
      </c>
      <c r="AL194">
        <v>3000</v>
      </c>
      <c r="AQ194" t="s">
        <v>354</v>
      </c>
      <c r="AR194">
        <v>619.92100000000005</v>
      </c>
      <c r="AS194">
        <v>446.33800000000002</v>
      </c>
      <c r="AT194">
        <v>29.667000000000002</v>
      </c>
      <c r="AU194">
        <v>224.83199999999999</v>
      </c>
      <c r="AV194">
        <v>532.48400000000004</v>
      </c>
      <c r="AW194">
        <v>967.34500000000003</v>
      </c>
      <c r="AX194">
        <v>1513.367</v>
      </c>
      <c r="AY194">
        <v>1.004</v>
      </c>
      <c r="AZ194">
        <v>540</v>
      </c>
      <c r="BE194" t="s">
        <v>354</v>
      </c>
      <c r="BF194">
        <v>1154.7950000000001</v>
      </c>
      <c r="BG194">
        <v>54.564999999999998</v>
      </c>
      <c r="BH194">
        <v>1055.6110000000001</v>
      </c>
      <c r="BI194">
        <v>1118.3579999999999</v>
      </c>
      <c r="BJ194">
        <v>1151.9570000000001</v>
      </c>
      <c r="BK194">
        <v>1187.2760000000001</v>
      </c>
      <c r="BL194">
        <v>1275.741</v>
      </c>
      <c r="BM194">
        <v>1.0009999999999999</v>
      </c>
      <c r="BN194">
        <v>3000</v>
      </c>
      <c r="CU194" t="s">
        <v>354</v>
      </c>
      <c r="CV194">
        <v>1154.8209999999999</v>
      </c>
      <c r="CW194">
        <v>62.191000000000003</v>
      </c>
      <c r="CX194">
        <v>1052.2750000000001</v>
      </c>
      <c r="CY194">
        <v>1114.826</v>
      </c>
      <c r="CZ194">
        <v>1149.7349999999999</v>
      </c>
      <c r="DA194">
        <v>1188.537</v>
      </c>
      <c r="DB194">
        <v>1284.7</v>
      </c>
      <c r="DC194">
        <v>1.0029999999999999</v>
      </c>
      <c r="DD194">
        <v>1500</v>
      </c>
      <c r="DI194" t="s">
        <v>354</v>
      </c>
      <c r="DJ194">
        <v>4.4180000000000001</v>
      </c>
      <c r="DK194">
        <v>1.351</v>
      </c>
      <c r="DL194">
        <v>1.698</v>
      </c>
      <c r="DM194">
        <v>3.4710000000000001</v>
      </c>
      <c r="DN194">
        <v>4.46</v>
      </c>
      <c r="DO194">
        <v>5.4109999999999996</v>
      </c>
      <c r="DP194">
        <v>6.9119999999999999</v>
      </c>
      <c r="DQ194">
        <v>1.004</v>
      </c>
      <c r="DR194">
        <v>3000</v>
      </c>
      <c r="DY194" t="s">
        <v>354</v>
      </c>
      <c r="DZ194">
        <v>4.4889999999999999</v>
      </c>
      <c r="EA194">
        <v>1.139</v>
      </c>
      <c r="EB194">
        <v>2.2120000000000002</v>
      </c>
      <c r="EC194">
        <v>3.7050000000000001</v>
      </c>
      <c r="ED194">
        <v>4.4820000000000002</v>
      </c>
      <c r="EE194">
        <v>5.2910000000000004</v>
      </c>
      <c r="EF194">
        <v>6.7290000000000001</v>
      </c>
      <c r="EG194">
        <v>1.0009999999999999</v>
      </c>
      <c r="EH194">
        <v>3000</v>
      </c>
    </row>
    <row r="195" spans="29:138">
      <c r="AC195" t="s">
        <v>355</v>
      </c>
      <c r="AD195">
        <v>607.79999999999995</v>
      </c>
      <c r="AE195">
        <v>444.065</v>
      </c>
      <c r="AF195">
        <v>30.623999999999999</v>
      </c>
      <c r="AG195">
        <v>222.517</v>
      </c>
      <c r="AH195">
        <v>509.49900000000002</v>
      </c>
      <c r="AI195">
        <v>936.947</v>
      </c>
      <c r="AJ195">
        <v>1510.3389999999999</v>
      </c>
      <c r="AK195">
        <v>1.0009999999999999</v>
      </c>
      <c r="AL195">
        <v>3000</v>
      </c>
      <c r="AQ195" t="s">
        <v>355</v>
      </c>
      <c r="AR195">
        <v>609.98400000000004</v>
      </c>
      <c r="AS195">
        <v>445.20499999999998</v>
      </c>
      <c r="AT195">
        <v>29.637</v>
      </c>
      <c r="AU195">
        <v>225.83699999999999</v>
      </c>
      <c r="AV195">
        <v>511.72199999999998</v>
      </c>
      <c r="AW195">
        <v>936.83699999999999</v>
      </c>
      <c r="AX195">
        <v>1530.0139999999999</v>
      </c>
      <c r="AY195">
        <v>1.0009999999999999</v>
      </c>
      <c r="AZ195">
        <v>2600</v>
      </c>
      <c r="BE195" t="s">
        <v>355</v>
      </c>
      <c r="BF195">
        <v>762.34699999999998</v>
      </c>
      <c r="BG195">
        <v>47.752000000000002</v>
      </c>
      <c r="BH195">
        <v>673.46799999999996</v>
      </c>
      <c r="BI195">
        <v>729.78599999999994</v>
      </c>
      <c r="BJ195">
        <v>761.12099999999998</v>
      </c>
      <c r="BK195">
        <v>793.21</v>
      </c>
      <c r="BL195">
        <v>863.16899999999998</v>
      </c>
      <c r="BM195">
        <v>1.0049999999999999</v>
      </c>
      <c r="BN195">
        <v>600</v>
      </c>
      <c r="CU195" t="s">
        <v>355</v>
      </c>
      <c r="CV195">
        <v>755.72</v>
      </c>
      <c r="CW195">
        <v>58.006</v>
      </c>
      <c r="CX195">
        <v>659.62800000000004</v>
      </c>
      <c r="CY195">
        <v>718.84</v>
      </c>
      <c r="CZ195">
        <v>754.01700000000005</v>
      </c>
      <c r="DA195">
        <v>787.45799999999997</v>
      </c>
      <c r="DB195">
        <v>861.529</v>
      </c>
      <c r="DC195">
        <v>1.006</v>
      </c>
      <c r="DD195">
        <v>1400</v>
      </c>
      <c r="DI195" t="s">
        <v>355</v>
      </c>
      <c r="DJ195">
        <v>4.3899999999999997</v>
      </c>
      <c r="DK195">
        <v>1.329</v>
      </c>
      <c r="DL195">
        <v>1.716</v>
      </c>
      <c r="DM195">
        <v>3.49</v>
      </c>
      <c r="DN195">
        <v>4.4180000000000001</v>
      </c>
      <c r="DO195">
        <v>5.3230000000000004</v>
      </c>
      <c r="DP195">
        <v>6.8490000000000002</v>
      </c>
      <c r="DQ195">
        <v>1.0009999999999999</v>
      </c>
      <c r="DR195">
        <v>3000</v>
      </c>
      <c r="DY195" t="s">
        <v>355</v>
      </c>
      <c r="DZ195">
        <v>4.5</v>
      </c>
      <c r="EA195">
        <v>1.165</v>
      </c>
      <c r="EB195">
        <v>2.1320000000000001</v>
      </c>
      <c r="EC195">
        <v>3.7370000000000001</v>
      </c>
      <c r="ED195">
        <v>4.5330000000000004</v>
      </c>
      <c r="EE195">
        <v>5.3070000000000004</v>
      </c>
      <c r="EF195">
        <v>6.7240000000000002</v>
      </c>
      <c r="EG195">
        <v>1.0009999999999999</v>
      </c>
      <c r="EH195">
        <v>3000</v>
      </c>
    </row>
    <row r="196" spans="29:138">
      <c r="AC196" t="s">
        <v>356</v>
      </c>
      <c r="AD196">
        <v>160.81399999999999</v>
      </c>
      <c r="AE196">
        <v>244.97399999999999</v>
      </c>
      <c r="AF196">
        <v>2.903</v>
      </c>
      <c r="AG196">
        <v>21.454999999999998</v>
      </c>
      <c r="AH196">
        <v>62.499000000000002</v>
      </c>
      <c r="AI196">
        <v>187.86199999999999</v>
      </c>
      <c r="AJ196">
        <v>961.81500000000005</v>
      </c>
      <c r="AK196">
        <v>1.0029999999999999</v>
      </c>
      <c r="AL196">
        <v>790</v>
      </c>
      <c r="AQ196" t="s">
        <v>356</v>
      </c>
      <c r="AR196">
        <v>182.14099999999999</v>
      </c>
      <c r="AS196">
        <v>267.44400000000002</v>
      </c>
      <c r="AT196">
        <v>3.129</v>
      </c>
      <c r="AU196">
        <v>24.111000000000001</v>
      </c>
      <c r="AV196">
        <v>75.034999999999997</v>
      </c>
      <c r="AW196">
        <v>212.03</v>
      </c>
      <c r="AX196">
        <v>1041.3130000000001</v>
      </c>
      <c r="AY196">
        <v>1.0009999999999999</v>
      </c>
      <c r="AZ196">
        <v>3000</v>
      </c>
      <c r="BE196" t="s">
        <v>356</v>
      </c>
      <c r="BF196">
        <v>742.96100000000001</v>
      </c>
      <c r="BG196">
        <v>65.501999999999995</v>
      </c>
      <c r="BH196">
        <v>654.01599999999996</v>
      </c>
      <c r="BI196">
        <v>703.06299999999999</v>
      </c>
      <c r="BJ196">
        <v>732.39300000000003</v>
      </c>
      <c r="BK196">
        <v>766.65300000000002</v>
      </c>
      <c r="BL196">
        <v>909.92200000000003</v>
      </c>
      <c r="BM196">
        <v>1.0289999999999999</v>
      </c>
      <c r="BN196">
        <v>140</v>
      </c>
      <c r="CU196" t="s">
        <v>356</v>
      </c>
      <c r="CV196">
        <v>775.12400000000002</v>
      </c>
      <c r="CW196">
        <v>117.25700000000001</v>
      </c>
      <c r="CX196">
        <v>656.76900000000001</v>
      </c>
      <c r="CY196">
        <v>713.68399999999997</v>
      </c>
      <c r="CZ196">
        <v>747.59500000000003</v>
      </c>
      <c r="DA196">
        <v>793.827</v>
      </c>
      <c r="DB196">
        <v>1143.566</v>
      </c>
      <c r="DC196">
        <v>1.014</v>
      </c>
      <c r="DD196">
        <v>480</v>
      </c>
      <c r="DI196" t="s">
        <v>356</v>
      </c>
      <c r="DJ196">
        <v>4.4480000000000004</v>
      </c>
      <c r="DK196">
        <v>1.329</v>
      </c>
      <c r="DL196">
        <v>1.7609999999999999</v>
      </c>
      <c r="DM196">
        <v>3.5569999999999999</v>
      </c>
      <c r="DN196">
        <v>4.4649999999999999</v>
      </c>
      <c r="DO196">
        <v>5.391</v>
      </c>
      <c r="DP196">
        <v>6.9059999999999997</v>
      </c>
      <c r="DQ196">
        <v>1.004</v>
      </c>
      <c r="DR196">
        <v>3000</v>
      </c>
      <c r="DY196" t="s">
        <v>356</v>
      </c>
      <c r="DZ196">
        <v>4.4669999999999996</v>
      </c>
      <c r="EA196">
        <v>1.1579999999999999</v>
      </c>
      <c r="EB196">
        <v>2.2050000000000001</v>
      </c>
      <c r="EC196">
        <v>3.6640000000000001</v>
      </c>
      <c r="ED196">
        <v>4.4560000000000004</v>
      </c>
      <c r="EE196">
        <v>5.2709999999999999</v>
      </c>
      <c r="EF196">
        <v>6.7249999999999996</v>
      </c>
      <c r="EG196">
        <v>1.0009999999999999</v>
      </c>
      <c r="EH196">
        <v>3000</v>
      </c>
    </row>
    <row r="197" spans="29:138">
      <c r="AC197" t="s">
        <v>357</v>
      </c>
      <c r="AD197">
        <v>212.61600000000001</v>
      </c>
      <c r="AE197">
        <v>302.392</v>
      </c>
      <c r="AF197">
        <v>3.5569999999999999</v>
      </c>
      <c r="AG197">
        <v>27.323</v>
      </c>
      <c r="AH197">
        <v>86.834999999999994</v>
      </c>
      <c r="AI197">
        <v>248.34299999999999</v>
      </c>
      <c r="AJ197">
        <v>1157.5340000000001</v>
      </c>
      <c r="AK197">
        <v>1.002</v>
      </c>
      <c r="AL197">
        <v>1900</v>
      </c>
      <c r="AQ197" t="s">
        <v>357</v>
      </c>
      <c r="AR197">
        <v>213.84899999999999</v>
      </c>
      <c r="AS197">
        <v>299.726</v>
      </c>
      <c r="AT197">
        <v>4.085</v>
      </c>
      <c r="AU197">
        <v>30.856999999999999</v>
      </c>
      <c r="AV197">
        <v>85.465000000000003</v>
      </c>
      <c r="AW197">
        <v>265.21100000000001</v>
      </c>
      <c r="AX197">
        <v>1198.3320000000001</v>
      </c>
      <c r="AY197">
        <v>1.0029999999999999</v>
      </c>
      <c r="AZ197">
        <v>720</v>
      </c>
      <c r="BE197" t="s">
        <v>357</v>
      </c>
      <c r="BF197">
        <v>625.78099999999995</v>
      </c>
      <c r="BG197">
        <v>59.939</v>
      </c>
      <c r="BH197">
        <v>546.93200000000002</v>
      </c>
      <c r="BI197">
        <v>590.94600000000003</v>
      </c>
      <c r="BJ197">
        <v>617.17999999999995</v>
      </c>
      <c r="BK197">
        <v>646.27800000000002</v>
      </c>
      <c r="BL197">
        <v>779.60599999999999</v>
      </c>
      <c r="BM197">
        <v>1.0249999999999999</v>
      </c>
      <c r="BN197">
        <v>720</v>
      </c>
      <c r="CU197" t="s">
        <v>357</v>
      </c>
      <c r="CV197">
        <v>639.48199999999997</v>
      </c>
      <c r="CW197">
        <v>111.527</v>
      </c>
      <c r="CX197">
        <v>544.48599999999999</v>
      </c>
      <c r="CY197">
        <v>592.16200000000003</v>
      </c>
      <c r="CZ197">
        <v>618.32899999999995</v>
      </c>
      <c r="DA197">
        <v>650.928</v>
      </c>
      <c r="DB197">
        <v>969.95</v>
      </c>
      <c r="DC197">
        <v>1.0840000000000001</v>
      </c>
      <c r="DD197">
        <v>130</v>
      </c>
      <c r="DI197" t="s">
        <v>357</v>
      </c>
      <c r="DJ197">
        <v>4.4089999999999998</v>
      </c>
      <c r="DK197">
        <v>1.2989999999999999</v>
      </c>
      <c r="DL197">
        <v>1.7050000000000001</v>
      </c>
      <c r="DM197">
        <v>3.5179999999999998</v>
      </c>
      <c r="DN197">
        <v>4.4189999999999996</v>
      </c>
      <c r="DO197">
        <v>5.335</v>
      </c>
      <c r="DP197">
        <v>6.8070000000000004</v>
      </c>
      <c r="DQ197">
        <v>1.002</v>
      </c>
      <c r="DR197">
        <v>3000</v>
      </c>
      <c r="DY197" t="s">
        <v>357</v>
      </c>
      <c r="DZ197">
        <v>4.4889999999999999</v>
      </c>
      <c r="EA197">
        <v>1.1779999999999999</v>
      </c>
      <c r="EB197">
        <v>2.173</v>
      </c>
      <c r="EC197">
        <v>3.6829999999999998</v>
      </c>
      <c r="ED197">
        <v>4.5190000000000001</v>
      </c>
      <c r="EE197">
        <v>5.3159999999999998</v>
      </c>
      <c r="EF197">
        <v>6.7110000000000003</v>
      </c>
      <c r="EG197">
        <v>1.0009999999999999</v>
      </c>
      <c r="EH197">
        <v>3000</v>
      </c>
    </row>
    <row r="198" spans="29:138">
      <c r="AC198" t="s">
        <v>358</v>
      </c>
      <c r="AD198">
        <v>182.25</v>
      </c>
      <c r="AE198">
        <v>279.32299999999998</v>
      </c>
      <c r="AF198">
        <v>1.956</v>
      </c>
      <c r="AG198">
        <v>18.323</v>
      </c>
      <c r="AH198">
        <v>65.302999999999997</v>
      </c>
      <c r="AI198">
        <v>209.327</v>
      </c>
      <c r="AJ198">
        <v>1094.0650000000001</v>
      </c>
      <c r="AK198">
        <v>1.002</v>
      </c>
      <c r="AL198">
        <v>1600</v>
      </c>
      <c r="AQ198" t="s">
        <v>358</v>
      </c>
      <c r="AR198">
        <v>174.65199999999999</v>
      </c>
      <c r="AS198">
        <v>282.81</v>
      </c>
      <c r="AT198">
        <v>1.7709999999999999</v>
      </c>
      <c r="AU198">
        <v>14.432</v>
      </c>
      <c r="AV198">
        <v>54.402999999999999</v>
      </c>
      <c r="AW198">
        <v>191.67400000000001</v>
      </c>
      <c r="AX198">
        <v>1128.663</v>
      </c>
      <c r="AY198">
        <v>1.042</v>
      </c>
      <c r="AZ198">
        <v>53</v>
      </c>
      <c r="BE198" t="s">
        <v>358</v>
      </c>
      <c r="BF198">
        <v>224.17099999999999</v>
      </c>
      <c r="BG198">
        <v>29.969000000000001</v>
      </c>
      <c r="BH198">
        <v>179.90299999999999</v>
      </c>
      <c r="BI198">
        <v>205.56100000000001</v>
      </c>
      <c r="BJ198">
        <v>221.339</v>
      </c>
      <c r="BK198">
        <v>238.155</v>
      </c>
      <c r="BL198">
        <v>283.66500000000002</v>
      </c>
      <c r="BM198">
        <v>1.0029999999999999</v>
      </c>
      <c r="BN198">
        <v>2200</v>
      </c>
      <c r="CU198" t="s">
        <v>358</v>
      </c>
      <c r="CV198">
        <v>228.81100000000001</v>
      </c>
      <c r="CW198">
        <v>36.942999999999998</v>
      </c>
      <c r="CX198">
        <v>180.42599999999999</v>
      </c>
      <c r="CY198">
        <v>208.8</v>
      </c>
      <c r="CZ198">
        <v>224.624</v>
      </c>
      <c r="DA198">
        <v>241.85499999999999</v>
      </c>
      <c r="DB198">
        <v>308.303</v>
      </c>
      <c r="DC198">
        <v>1.016</v>
      </c>
      <c r="DD198">
        <v>390</v>
      </c>
      <c r="DI198" t="s">
        <v>358</v>
      </c>
      <c r="DJ198">
        <v>4.4340000000000002</v>
      </c>
      <c r="DK198">
        <v>1.33</v>
      </c>
      <c r="DL198">
        <v>1.7370000000000001</v>
      </c>
      <c r="DM198">
        <v>3.5230000000000001</v>
      </c>
      <c r="DN198">
        <v>4.4939999999999998</v>
      </c>
      <c r="DO198">
        <v>5.3940000000000001</v>
      </c>
      <c r="DP198">
        <v>6.8440000000000003</v>
      </c>
      <c r="DQ198">
        <v>1.0009999999999999</v>
      </c>
      <c r="DR198">
        <v>3000</v>
      </c>
      <c r="DY198" t="s">
        <v>358</v>
      </c>
      <c r="DZ198">
        <v>4.516</v>
      </c>
      <c r="EA198">
        <v>1.1870000000000001</v>
      </c>
      <c r="EB198">
        <v>2.129</v>
      </c>
      <c r="EC198">
        <v>3.7</v>
      </c>
      <c r="ED198">
        <v>4.5259999999999998</v>
      </c>
      <c r="EE198">
        <v>5.36</v>
      </c>
      <c r="EF198">
        <v>6.7770000000000001</v>
      </c>
      <c r="EG198">
        <v>1.0009999999999999</v>
      </c>
      <c r="EH198">
        <v>3000</v>
      </c>
    </row>
    <row r="199" spans="29:138">
      <c r="AC199" t="s">
        <v>359</v>
      </c>
      <c r="AD199">
        <v>55.381999999999998</v>
      </c>
      <c r="AE199">
        <v>129.38800000000001</v>
      </c>
      <c r="AF199">
        <v>1.161</v>
      </c>
      <c r="AG199">
        <v>4.242</v>
      </c>
      <c r="AH199">
        <v>13.151</v>
      </c>
      <c r="AI199">
        <v>46.462000000000003</v>
      </c>
      <c r="AJ199">
        <v>427.99400000000003</v>
      </c>
      <c r="AK199">
        <v>1.0009999999999999</v>
      </c>
      <c r="AL199">
        <v>2100</v>
      </c>
      <c r="AQ199" t="s">
        <v>359</v>
      </c>
      <c r="AR199">
        <v>52.091000000000001</v>
      </c>
      <c r="AS199">
        <v>133.273</v>
      </c>
      <c r="AT199">
        <v>1.173</v>
      </c>
      <c r="AU199">
        <v>3.55</v>
      </c>
      <c r="AV199">
        <v>10.356999999999999</v>
      </c>
      <c r="AW199">
        <v>39.140999999999998</v>
      </c>
      <c r="AX199">
        <v>409.036</v>
      </c>
      <c r="AY199">
        <v>1.046</v>
      </c>
      <c r="AZ199">
        <v>49</v>
      </c>
      <c r="BE199" t="s">
        <v>359</v>
      </c>
      <c r="BF199">
        <v>522.43100000000004</v>
      </c>
      <c r="BG199">
        <v>156.21100000000001</v>
      </c>
      <c r="BH199">
        <v>386.13900000000001</v>
      </c>
      <c r="BI199">
        <v>436.94499999999999</v>
      </c>
      <c r="BJ199">
        <v>473.05700000000002</v>
      </c>
      <c r="BK199">
        <v>533.26099999999997</v>
      </c>
      <c r="BL199">
        <v>1057.6569999999999</v>
      </c>
      <c r="BM199">
        <v>1.04</v>
      </c>
      <c r="BN199">
        <v>150</v>
      </c>
      <c r="CU199" t="s">
        <v>359</v>
      </c>
      <c r="CV199">
        <v>569.928</v>
      </c>
      <c r="CW199">
        <v>232.18899999999999</v>
      </c>
      <c r="CX199">
        <v>394.68299999999999</v>
      </c>
      <c r="CY199">
        <v>446.57799999999997</v>
      </c>
      <c r="CZ199">
        <v>483.15899999999999</v>
      </c>
      <c r="DA199">
        <v>565.08900000000006</v>
      </c>
      <c r="DB199">
        <v>1333.576</v>
      </c>
      <c r="DC199">
        <v>1.042</v>
      </c>
      <c r="DD199">
        <v>95</v>
      </c>
      <c r="DI199" t="s">
        <v>359</v>
      </c>
      <c r="DJ199">
        <v>4.4020000000000001</v>
      </c>
      <c r="DK199">
        <v>1.3360000000000001</v>
      </c>
      <c r="DL199">
        <v>1.615</v>
      </c>
      <c r="DM199">
        <v>3.5310000000000001</v>
      </c>
      <c r="DN199">
        <v>4.4450000000000003</v>
      </c>
      <c r="DO199">
        <v>5.3330000000000002</v>
      </c>
      <c r="DP199">
        <v>6.8639999999999999</v>
      </c>
      <c r="DQ199">
        <v>1.0009999999999999</v>
      </c>
      <c r="DR199">
        <v>3000</v>
      </c>
      <c r="DY199" t="s">
        <v>359</v>
      </c>
      <c r="DZ199">
        <v>4.4889999999999999</v>
      </c>
      <c r="EA199">
        <v>1.1599999999999999</v>
      </c>
      <c r="EB199">
        <v>2.2269999999999999</v>
      </c>
      <c r="EC199">
        <v>3.706</v>
      </c>
      <c r="ED199">
        <v>4.4560000000000004</v>
      </c>
      <c r="EE199">
        <v>5.2949999999999999</v>
      </c>
      <c r="EF199">
        <v>6.7530000000000001</v>
      </c>
      <c r="EG199">
        <v>1.0009999999999999</v>
      </c>
      <c r="EH199">
        <v>3000</v>
      </c>
    </row>
    <row r="200" spans="29:138">
      <c r="AC200" t="s">
        <v>360</v>
      </c>
      <c r="AD200">
        <v>237.53299999999999</v>
      </c>
      <c r="AE200">
        <v>325.35500000000002</v>
      </c>
      <c r="AF200">
        <v>2.7389999999999999</v>
      </c>
      <c r="AG200">
        <v>28.122</v>
      </c>
      <c r="AH200">
        <v>91.268000000000001</v>
      </c>
      <c r="AI200">
        <v>306.56799999999998</v>
      </c>
      <c r="AJ200">
        <v>1290.365</v>
      </c>
      <c r="AK200">
        <v>1.002</v>
      </c>
      <c r="AL200">
        <v>1300</v>
      </c>
      <c r="AQ200" t="s">
        <v>360</v>
      </c>
      <c r="AR200">
        <v>212.053</v>
      </c>
      <c r="AS200">
        <v>308.46699999999998</v>
      </c>
      <c r="AT200">
        <v>2.1800000000000002</v>
      </c>
      <c r="AU200">
        <v>21.294</v>
      </c>
      <c r="AV200">
        <v>77.231999999999999</v>
      </c>
      <c r="AW200">
        <v>262.01</v>
      </c>
      <c r="AX200">
        <v>1190.145</v>
      </c>
      <c r="AY200">
        <v>1.0289999999999999</v>
      </c>
      <c r="AZ200">
        <v>77</v>
      </c>
      <c r="BE200" t="s">
        <v>360</v>
      </c>
      <c r="BF200">
        <v>758.33299999999997</v>
      </c>
      <c r="BG200">
        <v>96.79</v>
      </c>
      <c r="BH200">
        <v>626.08000000000004</v>
      </c>
      <c r="BI200">
        <v>705.79100000000005</v>
      </c>
      <c r="BJ200">
        <v>743.73500000000001</v>
      </c>
      <c r="BK200">
        <v>788.48099999999999</v>
      </c>
      <c r="BL200">
        <v>1012.335</v>
      </c>
      <c r="BM200">
        <v>1.0169999999999999</v>
      </c>
      <c r="BN200">
        <v>1800</v>
      </c>
      <c r="CU200" t="s">
        <v>360</v>
      </c>
      <c r="CV200">
        <v>780.44299999999998</v>
      </c>
      <c r="CW200">
        <v>118.825</v>
      </c>
      <c r="CX200">
        <v>637.52200000000005</v>
      </c>
      <c r="CY200">
        <v>718.13499999999999</v>
      </c>
      <c r="CZ200">
        <v>759.56299999999999</v>
      </c>
      <c r="DA200">
        <v>806.76199999999994</v>
      </c>
      <c r="DB200">
        <v>1114.6420000000001</v>
      </c>
      <c r="DC200">
        <v>1.0249999999999999</v>
      </c>
      <c r="DD200">
        <v>250</v>
      </c>
      <c r="DI200" t="s">
        <v>360</v>
      </c>
      <c r="DJ200">
        <v>4.4000000000000004</v>
      </c>
      <c r="DK200">
        <v>1.363</v>
      </c>
      <c r="DL200">
        <v>1.5620000000000001</v>
      </c>
      <c r="DM200">
        <v>3.48</v>
      </c>
      <c r="DN200">
        <v>4.4550000000000001</v>
      </c>
      <c r="DO200">
        <v>5.3840000000000003</v>
      </c>
      <c r="DP200">
        <v>6.899</v>
      </c>
      <c r="DQ200">
        <v>1.0029999999999999</v>
      </c>
      <c r="DR200">
        <v>1700</v>
      </c>
      <c r="DY200" t="s">
        <v>360</v>
      </c>
      <c r="DZ200">
        <v>4.4569999999999999</v>
      </c>
      <c r="EA200">
        <v>1.1499999999999999</v>
      </c>
      <c r="EB200">
        <v>2.1760000000000002</v>
      </c>
      <c r="EC200">
        <v>3.6680000000000001</v>
      </c>
      <c r="ED200">
        <v>4.4589999999999996</v>
      </c>
      <c r="EE200">
        <v>5.2560000000000002</v>
      </c>
      <c r="EF200">
        <v>6.6740000000000004</v>
      </c>
      <c r="EG200">
        <v>1.0009999999999999</v>
      </c>
      <c r="EH200">
        <v>3000</v>
      </c>
    </row>
    <row r="201" spans="29:138">
      <c r="AC201" t="s">
        <v>361</v>
      </c>
      <c r="AD201">
        <v>234.02799999999999</v>
      </c>
      <c r="AE201">
        <v>320.12700000000001</v>
      </c>
      <c r="AF201">
        <v>2.6840000000000002</v>
      </c>
      <c r="AG201">
        <v>26.067</v>
      </c>
      <c r="AH201">
        <v>90.347999999999999</v>
      </c>
      <c r="AI201">
        <v>307.77699999999999</v>
      </c>
      <c r="AJ201">
        <v>1219.309</v>
      </c>
      <c r="AK201">
        <v>1.0009999999999999</v>
      </c>
      <c r="AL201">
        <v>3000</v>
      </c>
      <c r="AQ201" t="s">
        <v>361</v>
      </c>
      <c r="AR201">
        <v>225.11799999999999</v>
      </c>
      <c r="AS201">
        <v>328.33300000000003</v>
      </c>
      <c r="AT201">
        <v>2.399</v>
      </c>
      <c r="AU201">
        <v>22.62</v>
      </c>
      <c r="AV201">
        <v>81.988</v>
      </c>
      <c r="AW201">
        <v>272.87900000000002</v>
      </c>
      <c r="AX201">
        <v>1300.098</v>
      </c>
      <c r="AY201">
        <v>1.038</v>
      </c>
      <c r="AZ201">
        <v>59</v>
      </c>
      <c r="BE201" t="s">
        <v>361</v>
      </c>
      <c r="BF201">
        <v>438.38299999999998</v>
      </c>
      <c r="BG201">
        <v>44.104999999999997</v>
      </c>
      <c r="BH201">
        <v>373.94799999999998</v>
      </c>
      <c r="BI201">
        <v>411.88499999999999</v>
      </c>
      <c r="BJ201">
        <v>433.06</v>
      </c>
      <c r="BK201">
        <v>457.55</v>
      </c>
      <c r="BL201">
        <v>538.17100000000005</v>
      </c>
      <c r="BM201">
        <v>1.0089999999999999</v>
      </c>
      <c r="BN201">
        <v>840</v>
      </c>
      <c r="CU201" t="s">
        <v>361</v>
      </c>
      <c r="CV201">
        <v>460.822</v>
      </c>
      <c r="CW201">
        <v>135.83500000000001</v>
      </c>
      <c r="CX201">
        <v>373.28199999999998</v>
      </c>
      <c r="CY201">
        <v>414.685</v>
      </c>
      <c r="CZ201">
        <v>436.875</v>
      </c>
      <c r="DA201">
        <v>461.98099999999999</v>
      </c>
      <c r="DB201">
        <v>752.60599999999999</v>
      </c>
      <c r="DC201">
        <v>1.0580000000000001</v>
      </c>
      <c r="DD201">
        <v>370</v>
      </c>
      <c r="DI201" t="s">
        <v>361</v>
      </c>
      <c r="DJ201">
        <v>4.4610000000000003</v>
      </c>
      <c r="DK201">
        <v>1.337</v>
      </c>
      <c r="DL201">
        <v>1.7430000000000001</v>
      </c>
      <c r="DM201">
        <v>3.5369999999999999</v>
      </c>
      <c r="DN201">
        <v>4.4740000000000002</v>
      </c>
      <c r="DO201">
        <v>5.407</v>
      </c>
      <c r="DP201">
        <v>6.992</v>
      </c>
      <c r="DQ201">
        <v>1.0009999999999999</v>
      </c>
      <c r="DR201">
        <v>2800</v>
      </c>
      <c r="DY201" t="s">
        <v>361</v>
      </c>
      <c r="DZ201">
        <v>4.4649999999999999</v>
      </c>
      <c r="EA201">
        <v>1.198</v>
      </c>
      <c r="EB201">
        <v>2.1469999999999998</v>
      </c>
      <c r="EC201">
        <v>3.6030000000000002</v>
      </c>
      <c r="ED201">
        <v>4.4720000000000004</v>
      </c>
      <c r="EE201">
        <v>5.3010000000000002</v>
      </c>
      <c r="EF201">
        <v>6.7679999999999998</v>
      </c>
      <c r="EG201">
        <v>1.0009999999999999</v>
      </c>
      <c r="EH201">
        <v>2400</v>
      </c>
    </row>
    <row r="202" spans="29:138">
      <c r="AC202" t="s">
        <v>362</v>
      </c>
      <c r="AD202">
        <v>162.535</v>
      </c>
      <c r="AE202">
        <v>266.44400000000002</v>
      </c>
      <c r="AF202">
        <v>1.794</v>
      </c>
      <c r="AG202">
        <v>13.807</v>
      </c>
      <c r="AH202">
        <v>50.514000000000003</v>
      </c>
      <c r="AI202">
        <v>173.774</v>
      </c>
      <c r="AJ202">
        <v>990.97</v>
      </c>
      <c r="AK202">
        <v>1.004</v>
      </c>
      <c r="AL202">
        <v>730</v>
      </c>
      <c r="AQ202" t="s">
        <v>362</v>
      </c>
      <c r="AR202">
        <v>137.798</v>
      </c>
      <c r="AS202">
        <v>249.524</v>
      </c>
      <c r="AT202">
        <v>1.5660000000000001</v>
      </c>
      <c r="AU202">
        <v>10.452999999999999</v>
      </c>
      <c r="AV202">
        <v>37.151000000000003</v>
      </c>
      <c r="AW202">
        <v>139.91300000000001</v>
      </c>
      <c r="AX202">
        <v>983.49199999999996</v>
      </c>
      <c r="AY202">
        <v>1.042</v>
      </c>
      <c r="AZ202">
        <v>52</v>
      </c>
      <c r="BE202" t="s">
        <v>362</v>
      </c>
      <c r="BF202">
        <v>332.56</v>
      </c>
      <c r="BG202">
        <v>42.341999999999999</v>
      </c>
      <c r="BH202">
        <v>275.072</v>
      </c>
      <c r="BI202">
        <v>308.32100000000003</v>
      </c>
      <c r="BJ202">
        <v>325.73500000000001</v>
      </c>
      <c r="BK202">
        <v>347.93900000000002</v>
      </c>
      <c r="BL202">
        <v>429.12900000000002</v>
      </c>
      <c r="BM202">
        <v>1.0009999999999999</v>
      </c>
      <c r="BN202">
        <v>2000</v>
      </c>
      <c r="CU202" t="s">
        <v>362</v>
      </c>
      <c r="CV202">
        <v>334.19600000000003</v>
      </c>
      <c r="CW202">
        <v>48.195</v>
      </c>
      <c r="CX202">
        <v>274.66899999999998</v>
      </c>
      <c r="CY202">
        <v>307.42099999999999</v>
      </c>
      <c r="CZ202">
        <v>326.30099999999999</v>
      </c>
      <c r="DA202">
        <v>347.86399999999998</v>
      </c>
      <c r="DB202">
        <v>463.87200000000001</v>
      </c>
      <c r="DC202">
        <v>1.004</v>
      </c>
      <c r="DD202">
        <v>750</v>
      </c>
      <c r="DI202" t="s">
        <v>362</v>
      </c>
      <c r="DJ202">
        <v>4.4249999999999998</v>
      </c>
      <c r="DK202">
        <v>1.33</v>
      </c>
      <c r="DL202">
        <v>1.7629999999999999</v>
      </c>
      <c r="DM202">
        <v>3.5510000000000002</v>
      </c>
      <c r="DN202">
        <v>4.4909999999999997</v>
      </c>
      <c r="DO202">
        <v>5.3529999999999998</v>
      </c>
      <c r="DP202">
        <v>6.8970000000000002</v>
      </c>
      <c r="DQ202">
        <v>1.002</v>
      </c>
      <c r="DR202">
        <v>2100</v>
      </c>
      <c r="DY202" t="s">
        <v>362</v>
      </c>
      <c r="DZ202">
        <v>4.4859999999999998</v>
      </c>
      <c r="EA202">
        <v>1.18</v>
      </c>
      <c r="EB202">
        <v>2.109</v>
      </c>
      <c r="EC202">
        <v>3.7</v>
      </c>
      <c r="ED202">
        <v>4.5140000000000002</v>
      </c>
      <c r="EE202">
        <v>5.3150000000000004</v>
      </c>
      <c r="EF202">
        <v>6.7450000000000001</v>
      </c>
      <c r="EG202">
        <v>1.0009999999999999</v>
      </c>
      <c r="EH202">
        <v>3000</v>
      </c>
    </row>
    <row r="203" spans="29:138">
      <c r="AC203" t="s">
        <v>363</v>
      </c>
      <c r="AD203">
        <v>86.921000000000006</v>
      </c>
      <c r="AE203">
        <v>184.435</v>
      </c>
      <c r="AF203">
        <v>1.3260000000000001</v>
      </c>
      <c r="AG203">
        <v>6.726</v>
      </c>
      <c r="AH203">
        <v>21.718</v>
      </c>
      <c r="AI203">
        <v>77.146000000000001</v>
      </c>
      <c r="AJ203">
        <v>629.78800000000001</v>
      </c>
      <c r="AK203">
        <v>1.0009999999999999</v>
      </c>
      <c r="AL203">
        <v>2400</v>
      </c>
      <c r="AQ203" t="s">
        <v>363</v>
      </c>
      <c r="AR203">
        <v>83.195999999999998</v>
      </c>
      <c r="AS203">
        <v>186.74700000000001</v>
      </c>
      <c r="AT203">
        <v>1.21</v>
      </c>
      <c r="AU203">
        <v>5.3470000000000004</v>
      </c>
      <c r="AV203">
        <v>18.547999999999998</v>
      </c>
      <c r="AW203">
        <v>69.028000000000006</v>
      </c>
      <c r="AX203">
        <v>627.97400000000005</v>
      </c>
      <c r="AY203">
        <v>1.04</v>
      </c>
      <c r="AZ203">
        <v>55</v>
      </c>
      <c r="BE203" t="s">
        <v>363</v>
      </c>
      <c r="BF203">
        <v>479.05399999999997</v>
      </c>
      <c r="BG203">
        <v>166.09100000000001</v>
      </c>
      <c r="BH203">
        <v>351.75700000000001</v>
      </c>
      <c r="BI203">
        <v>404.82100000000003</v>
      </c>
      <c r="BJ203">
        <v>435.423</v>
      </c>
      <c r="BK203">
        <v>476.779</v>
      </c>
      <c r="BL203">
        <v>1037.6320000000001</v>
      </c>
      <c r="BM203">
        <v>1.232</v>
      </c>
      <c r="BN203">
        <v>25</v>
      </c>
      <c r="CU203" t="s">
        <v>363</v>
      </c>
      <c r="CV203">
        <v>520.72299999999996</v>
      </c>
      <c r="CW203">
        <v>218.696</v>
      </c>
      <c r="CX203">
        <v>363.48399999999998</v>
      </c>
      <c r="CY203">
        <v>418.05500000000001</v>
      </c>
      <c r="CZ203">
        <v>451.65</v>
      </c>
      <c r="DA203">
        <v>505.678</v>
      </c>
      <c r="DB203">
        <v>1323.636</v>
      </c>
      <c r="DC203">
        <v>1.0129999999999999</v>
      </c>
      <c r="DD203">
        <v>380</v>
      </c>
      <c r="DI203" t="s">
        <v>363</v>
      </c>
      <c r="DJ203">
        <v>4.4669999999999996</v>
      </c>
      <c r="DK203">
        <v>1.3440000000000001</v>
      </c>
      <c r="DL203">
        <v>1.6779999999999999</v>
      </c>
      <c r="DM203">
        <v>3.5670000000000002</v>
      </c>
      <c r="DN203">
        <v>4.5129999999999999</v>
      </c>
      <c r="DO203">
        <v>5.4029999999999996</v>
      </c>
      <c r="DP203">
        <v>6.9349999999999996</v>
      </c>
      <c r="DQ203">
        <v>1.0009999999999999</v>
      </c>
      <c r="DR203">
        <v>3000</v>
      </c>
      <c r="DY203" t="s">
        <v>363</v>
      </c>
      <c r="DZ203">
        <v>4.45</v>
      </c>
      <c r="EA203">
        <v>1.1539999999999999</v>
      </c>
      <c r="EB203">
        <v>2.0979999999999999</v>
      </c>
      <c r="EC203">
        <v>3.641</v>
      </c>
      <c r="ED203">
        <v>4.4660000000000002</v>
      </c>
      <c r="EE203">
        <v>5.2560000000000002</v>
      </c>
      <c r="EF203">
        <v>6.6719999999999997</v>
      </c>
      <c r="EG203">
        <v>1.0009999999999999</v>
      </c>
      <c r="EH203">
        <v>3000</v>
      </c>
    </row>
    <row r="204" spans="29:138">
      <c r="AC204" t="s">
        <v>364</v>
      </c>
      <c r="AD204">
        <v>141.863</v>
      </c>
      <c r="AE204">
        <v>243.08099999999999</v>
      </c>
      <c r="AF204">
        <v>1.5720000000000001</v>
      </c>
      <c r="AG204">
        <v>11.856</v>
      </c>
      <c r="AH204">
        <v>41.003999999999998</v>
      </c>
      <c r="AI204">
        <v>152.60400000000001</v>
      </c>
      <c r="AJ204">
        <v>952.24400000000003</v>
      </c>
      <c r="AK204">
        <v>1.0009999999999999</v>
      </c>
      <c r="AL204">
        <v>2000</v>
      </c>
      <c r="AQ204" t="s">
        <v>364</v>
      </c>
      <c r="AR204">
        <v>120.123</v>
      </c>
      <c r="AS204">
        <v>222.94800000000001</v>
      </c>
      <c r="AT204">
        <v>1.4490000000000001</v>
      </c>
      <c r="AU204">
        <v>8.6029999999999998</v>
      </c>
      <c r="AV204">
        <v>31.686</v>
      </c>
      <c r="AW204">
        <v>118.19799999999999</v>
      </c>
      <c r="AX204">
        <v>868.44799999999998</v>
      </c>
      <c r="AY204">
        <v>1.0409999999999999</v>
      </c>
      <c r="AZ204">
        <v>53</v>
      </c>
      <c r="BE204" t="s">
        <v>364</v>
      </c>
      <c r="BF204">
        <v>367.37299999999999</v>
      </c>
      <c r="BG204">
        <v>142.756</v>
      </c>
      <c r="BH204">
        <v>278.34100000000001</v>
      </c>
      <c r="BI204">
        <v>312.94200000000001</v>
      </c>
      <c r="BJ204">
        <v>332.75</v>
      </c>
      <c r="BK204">
        <v>358.161</v>
      </c>
      <c r="BL204">
        <v>886.58600000000001</v>
      </c>
      <c r="BM204">
        <v>1.081</v>
      </c>
      <c r="BN204">
        <v>130</v>
      </c>
      <c r="CU204" t="s">
        <v>364</v>
      </c>
      <c r="CV204">
        <v>362.54399999999998</v>
      </c>
      <c r="CW204">
        <v>132.703</v>
      </c>
      <c r="CX204">
        <v>281.51299999999998</v>
      </c>
      <c r="CY204">
        <v>316.536</v>
      </c>
      <c r="CZ204">
        <v>335.93799999999999</v>
      </c>
      <c r="DA204">
        <v>361.65100000000001</v>
      </c>
      <c r="DB204">
        <v>624.78</v>
      </c>
      <c r="DC204">
        <v>1.0920000000000001</v>
      </c>
      <c r="DD204">
        <v>160</v>
      </c>
      <c r="DI204" t="s">
        <v>364</v>
      </c>
      <c r="DJ204">
        <v>4.3940000000000001</v>
      </c>
      <c r="DK204">
        <v>1.33</v>
      </c>
      <c r="DL204">
        <v>1.71</v>
      </c>
      <c r="DM204">
        <v>3.4820000000000002</v>
      </c>
      <c r="DN204">
        <v>4.42</v>
      </c>
      <c r="DO204">
        <v>5.3550000000000004</v>
      </c>
      <c r="DP204">
        <v>6.8410000000000002</v>
      </c>
      <c r="DQ204">
        <v>1.002</v>
      </c>
      <c r="DR204">
        <v>1500</v>
      </c>
      <c r="DY204" t="s">
        <v>364</v>
      </c>
      <c r="DZ204">
        <v>4.4580000000000002</v>
      </c>
      <c r="EA204">
        <v>1.135</v>
      </c>
      <c r="EB204">
        <v>2.242</v>
      </c>
      <c r="EC204">
        <v>3.68</v>
      </c>
      <c r="ED204">
        <v>4.4660000000000002</v>
      </c>
      <c r="EE204">
        <v>5.2489999999999997</v>
      </c>
      <c r="EF204">
        <v>6.67</v>
      </c>
      <c r="EG204">
        <v>1.0009999999999999</v>
      </c>
      <c r="EH204">
        <v>3000</v>
      </c>
    </row>
    <row r="205" spans="29:138">
      <c r="AC205" t="s">
        <v>365</v>
      </c>
      <c r="AD205">
        <v>180.74700000000001</v>
      </c>
      <c r="AE205">
        <v>276.14</v>
      </c>
      <c r="AF205">
        <v>2.0179999999999998</v>
      </c>
      <c r="AG205">
        <v>17.695</v>
      </c>
      <c r="AH205">
        <v>61.926000000000002</v>
      </c>
      <c r="AI205">
        <v>208.73599999999999</v>
      </c>
      <c r="AJ205">
        <v>1074.6559999999999</v>
      </c>
      <c r="AK205">
        <v>1.0009999999999999</v>
      </c>
      <c r="AL205">
        <v>3000</v>
      </c>
      <c r="AQ205" t="s">
        <v>365</v>
      </c>
      <c r="AR205">
        <v>175.81299999999999</v>
      </c>
      <c r="AS205">
        <v>283.88</v>
      </c>
      <c r="AT205">
        <v>1.68</v>
      </c>
      <c r="AU205">
        <v>16.27</v>
      </c>
      <c r="AV205">
        <v>58.555999999999997</v>
      </c>
      <c r="AW205">
        <v>192.64099999999999</v>
      </c>
      <c r="AX205">
        <v>1106.4680000000001</v>
      </c>
      <c r="AY205">
        <v>1.044</v>
      </c>
      <c r="AZ205">
        <v>52</v>
      </c>
      <c r="BE205" t="s">
        <v>365</v>
      </c>
      <c r="BF205">
        <v>846.71299999999997</v>
      </c>
      <c r="BG205">
        <v>112.953</v>
      </c>
      <c r="BH205">
        <v>678.13300000000004</v>
      </c>
      <c r="BI205">
        <v>777.59500000000003</v>
      </c>
      <c r="BJ205">
        <v>828.43</v>
      </c>
      <c r="BK205">
        <v>890.64200000000005</v>
      </c>
      <c r="BL205">
        <v>1144.7190000000001</v>
      </c>
      <c r="BM205">
        <v>1.01</v>
      </c>
      <c r="BN205">
        <v>290</v>
      </c>
      <c r="CU205" t="s">
        <v>365</v>
      </c>
      <c r="CV205">
        <v>855.80200000000002</v>
      </c>
      <c r="CW205">
        <v>103.556</v>
      </c>
      <c r="CX205">
        <v>688.00699999999995</v>
      </c>
      <c r="CY205">
        <v>794.04100000000005</v>
      </c>
      <c r="CZ205">
        <v>843.40099999999995</v>
      </c>
      <c r="DA205">
        <v>898.05200000000002</v>
      </c>
      <c r="DB205">
        <v>1112.53</v>
      </c>
      <c r="DC205">
        <v>1.0049999999999999</v>
      </c>
      <c r="DD205">
        <v>560</v>
      </c>
      <c r="DI205" t="s">
        <v>365</v>
      </c>
      <c r="DJ205">
        <v>4.4279999999999999</v>
      </c>
      <c r="DK205">
        <v>1.32</v>
      </c>
      <c r="DL205">
        <v>1.8140000000000001</v>
      </c>
      <c r="DM205">
        <v>3.5310000000000001</v>
      </c>
      <c r="DN205">
        <v>4.4850000000000003</v>
      </c>
      <c r="DO205">
        <v>5.3769999999999998</v>
      </c>
      <c r="DP205">
        <v>6.8650000000000002</v>
      </c>
      <c r="DQ205">
        <v>1.0029999999999999</v>
      </c>
      <c r="DR205">
        <v>1800</v>
      </c>
      <c r="DY205" t="s">
        <v>365</v>
      </c>
      <c r="DZ205">
        <v>4.4610000000000003</v>
      </c>
      <c r="EA205">
        <v>1.17</v>
      </c>
      <c r="EB205">
        <v>2.0739999999999998</v>
      </c>
      <c r="EC205">
        <v>3.6880000000000002</v>
      </c>
      <c r="ED205">
        <v>4.4870000000000001</v>
      </c>
      <c r="EE205">
        <v>5.2779999999999996</v>
      </c>
      <c r="EF205">
        <v>6.6680000000000001</v>
      </c>
      <c r="EG205">
        <v>1.0089999999999999</v>
      </c>
      <c r="EH205">
        <v>3000</v>
      </c>
    </row>
    <row r="206" spans="29:138">
      <c r="AC206" t="s">
        <v>366</v>
      </c>
      <c r="AD206">
        <v>93.628</v>
      </c>
      <c r="AE206">
        <v>194.89599999999999</v>
      </c>
      <c r="AF206">
        <v>1.41</v>
      </c>
      <c r="AG206">
        <v>7.0339999999999998</v>
      </c>
      <c r="AH206">
        <v>24.256</v>
      </c>
      <c r="AI206">
        <v>83.06</v>
      </c>
      <c r="AJ206">
        <v>725.98900000000003</v>
      </c>
      <c r="AK206">
        <v>1.002</v>
      </c>
      <c r="AL206">
        <v>1400</v>
      </c>
      <c r="AQ206" t="s">
        <v>366</v>
      </c>
      <c r="AR206">
        <v>97.277000000000001</v>
      </c>
      <c r="AS206">
        <v>211.15899999999999</v>
      </c>
      <c r="AT206">
        <v>1.2290000000000001</v>
      </c>
      <c r="AU206">
        <v>5.407</v>
      </c>
      <c r="AV206">
        <v>19.736999999999998</v>
      </c>
      <c r="AW206">
        <v>73.58</v>
      </c>
      <c r="AX206">
        <v>795.42399999999998</v>
      </c>
      <c r="AY206">
        <v>1.0669999999999999</v>
      </c>
      <c r="AZ206">
        <v>34</v>
      </c>
      <c r="BE206" t="s">
        <v>366</v>
      </c>
      <c r="BF206">
        <v>348.25599999999997</v>
      </c>
      <c r="BG206">
        <v>54.168999999999997</v>
      </c>
      <c r="BH206">
        <v>283.25</v>
      </c>
      <c r="BI206">
        <v>319.14800000000002</v>
      </c>
      <c r="BJ206">
        <v>340.108</v>
      </c>
      <c r="BK206">
        <v>363.38299999999998</v>
      </c>
      <c r="BL206">
        <v>474.59199999999998</v>
      </c>
      <c r="BM206">
        <v>1.0009999999999999</v>
      </c>
      <c r="BN206">
        <v>3000</v>
      </c>
      <c r="CU206" t="s">
        <v>366</v>
      </c>
      <c r="CV206">
        <v>398.08499999999998</v>
      </c>
      <c r="CW206">
        <v>169.60599999999999</v>
      </c>
      <c r="CX206">
        <v>293.72399999999999</v>
      </c>
      <c r="CY206">
        <v>329.55099999999999</v>
      </c>
      <c r="CZ206">
        <v>353.048</v>
      </c>
      <c r="DA206">
        <v>388.56900000000002</v>
      </c>
      <c r="DB206">
        <v>931.78700000000003</v>
      </c>
      <c r="DC206">
        <v>1.07</v>
      </c>
      <c r="DD206">
        <v>110</v>
      </c>
      <c r="DI206" t="s">
        <v>366</v>
      </c>
      <c r="DJ206">
        <v>4.4210000000000003</v>
      </c>
      <c r="DK206">
        <v>1.3360000000000001</v>
      </c>
      <c r="DL206">
        <v>1.661</v>
      </c>
      <c r="DM206">
        <v>3.5179999999999998</v>
      </c>
      <c r="DN206">
        <v>4.4539999999999997</v>
      </c>
      <c r="DO206">
        <v>5.3949999999999996</v>
      </c>
      <c r="DP206">
        <v>6.8460000000000001</v>
      </c>
      <c r="DQ206">
        <v>1.002</v>
      </c>
      <c r="DR206">
        <v>1500</v>
      </c>
      <c r="DY206" t="s">
        <v>366</v>
      </c>
      <c r="DZ206">
        <v>4.4820000000000002</v>
      </c>
      <c r="EA206">
        <v>1.161</v>
      </c>
      <c r="EB206">
        <v>2.17</v>
      </c>
      <c r="EC206">
        <v>3.7189999999999999</v>
      </c>
      <c r="ED206">
        <v>4.5019999999999998</v>
      </c>
      <c r="EE206">
        <v>5.2770000000000001</v>
      </c>
      <c r="EF206">
        <v>6.7110000000000003</v>
      </c>
      <c r="EG206">
        <v>1.0009999999999999</v>
      </c>
      <c r="EH206">
        <v>3000</v>
      </c>
    </row>
    <row r="207" spans="29:138">
      <c r="AC207" t="s">
        <v>367</v>
      </c>
      <c r="AD207">
        <v>242.23500000000001</v>
      </c>
      <c r="AE207">
        <v>329.548</v>
      </c>
      <c r="AF207">
        <v>3.1789999999999998</v>
      </c>
      <c r="AG207">
        <v>28.798999999999999</v>
      </c>
      <c r="AH207">
        <v>100.886</v>
      </c>
      <c r="AI207">
        <v>320.15800000000002</v>
      </c>
      <c r="AJ207">
        <v>1308.075</v>
      </c>
      <c r="AK207">
        <v>1.0009999999999999</v>
      </c>
      <c r="AL207">
        <v>3000</v>
      </c>
      <c r="AQ207" t="s">
        <v>367</v>
      </c>
      <c r="AR207">
        <v>219.489</v>
      </c>
      <c r="AS207">
        <v>311.16399999999999</v>
      </c>
      <c r="AT207">
        <v>2.468</v>
      </c>
      <c r="AU207">
        <v>24.640999999999998</v>
      </c>
      <c r="AV207">
        <v>86.322999999999993</v>
      </c>
      <c r="AW207">
        <v>272.834</v>
      </c>
      <c r="AX207">
        <v>1203.0830000000001</v>
      </c>
      <c r="AY207">
        <v>1.042</v>
      </c>
      <c r="AZ207">
        <v>55</v>
      </c>
      <c r="BE207" t="s">
        <v>367</v>
      </c>
      <c r="BF207">
        <v>347.59300000000002</v>
      </c>
      <c r="BG207">
        <v>37.572000000000003</v>
      </c>
      <c r="BH207">
        <v>279.79000000000002</v>
      </c>
      <c r="BI207">
        <v>323.02999999999997</v>
      </c>
      <c r="BJ207">
        <v>345.54300000000001</v>
      </c>
      <c r="BK207">
        <v>369.06599999999997</v>
      </c>
      <c r="BL207">
        <v>425.72500000000002</v>
      </c>
      <c r="BM207">
        <v>1.002</v>
      </c>
      <c r="BN207">
        <v>1800</v>
      </c>
      <c r="CU207" t="s">
        <v>367</v>
      </c>
      <c r="CV207">
        <v>355.815</v>
      </c>
      <c r="CW207">
        <v>47.762</v>
      </c>
      <c r="CX207">
        <v>284.041</v>
      </c>
      <c r="CY207">
        <v>330.43900000000002</v>
      </c>
      <c r="CZ207">
        <v>352.14</v>
      </c>
      <c r="DA207">
        <v>376.40800000000002</v>
      </c>
      <c r="DB207">
        <v>438.63200000000001</v>
      </c>
      <c r="DC207">
        <v>1.014</v>
      </c>
      <c r="DD207">
        <v>280</v>
      </c>
      <c r="DI207" t="s">
        <v>367</v>
      </c>
      <c r="DJ207">
        <v>4.4180000000000001</v>
      </c>
      <c r="DK207">
        <v>1.31</v>
      </c>
      <c r="DL207">
        <v>1.8180000000000001</v>
      </c>
      <c r="DM207">
        <v>3.5310000000000001</v>
      </c>
      <c r="DN207">
        <v>4.4279999999999999</v>
      </c>
      <c r="DO207">
        <v>5.367</v>
      </c>
      <c r="DP207">
        <v>6.8780000000000001</v>
      </c>
      <c r="DQ207">
        <v>1.0009999999999999</v>
      </c>
      <c r="DR207">
        <v>3000</v>
      </c>
      <c r="DY207" t="s">
        <v>367</v>
      </c>
      <c r="DZ207">
        <v>4.5060000000000002</v>
      </c>
      <c r="EA207">
        <v>1.159</v>
      </c>
      <c r="EB207">
        <v>2.1389999999999998</v>
      </c>
      <c r="EC207">
        <v>3.7629999999999999</v>
      </c>
      <c r="ED207">
        <v>4.5279999999999996</v>
      </c>
      <c r="EE207">
        <v>5.3</v>
      </c>
      <c r="EF207">
        <v>6.7039999999999997</v>
      </c>
      <c r="EG207">
        <v>1.002</v>
      </c>
      <c r="EH207">
        <v>2900</v>
      </c>
    </row>
    <row r="208" spans="29:138">
      <c r="AC208" t="s">
        <v>368</v>
      </c>
      <c r="AD208">
        <v>133.23099999999999</v>
      </c>
      <c r="AE208">
        <v>240.43199999999999</v>
      </c>
      <c r="AF208">
        <v>1.5960000000000001</v>
      </c>
      <c r="AG208">
        <v>11.044</v>
      </c>
      <c r="AH208">
        <v>39.274999999999999</v>
      </c>
      <c r="AI208">
        <v>133.19499999999999</v>
      </c>
      <c r="AJ208">
        <v>926.95799999999997</v>
      </c>
      <c r="AK208">
        <v>1.0009999999999999</v>
      </c>
      <c r="AL208">
        <v>2100</v>
      </c>
      <c r="AQ208" t="s">
        <v>368</v>
      </c>
      <c r="AR208">
        <v>126.91800000000001</v>
      </c>
      <c r="AS208">
        <v>231.03</v>
      </c>
      <c r="AT208">
        <v>1.5489999999999999</v>
      </c>
      <c r="AU208">
        <v>9.7639999999999993</v>
      </c>
      <c r="AV208">
        <v>35.255000000000003</v>
      </c>
      <c r="AW208">
        <v>128.626</v>
      </c>
      <c r="AX208">
        <v>888.33100000000002</v>
      </c>
      <c r="AY208">
        <v>1.056</v>
      </c>
      <c r="AZ208">
        <v>41</v>
      </c>
      <c r="BE208" t="s">
        <v>368</v>
      </c>
      <c r="BF208">
        <v>464.91</v>
      </c>
      <c r="BG208">
        <v>56.811</v>
      </c>
      <c r="BH208">
        <v>393.05</v>
      </c>
      <c r="BI208">
        <v>431.79399999999998</v>
      </c>
      <c r="BJ208">
        <v>455.24700000000001</v>
      </c>
      <c r="BK208">
        <v>484.08499999999998</v>
      </c>
      <c r="BL208">
        <v>616.49900000000002</v>
      </c>
      <c r="BM208">
        <v>1.024</v>
      </c>
      <c r="BN208">
        <v>310</v>
      </c>
      <c r="CU208" t="s">
        <v>368</v>
      </c>
      <c r="CV208">
        <v>494.48099999999999</v>
      </c>
      <c r="CW208">
        <v>142.29300000000001</v>
      </c>
      <c r="CX208">
        <v>395.745</v>
      </c>
      <c r="CY208">
        <v>434.56599999999997</v>
      </c>
      <c r="CZ208">
        <v>459.89800000000002</v>
      </c>
      <c r="DA208">
        <v>492.40899999999999</v>
      </c>
      <c r="DB208">
        <v>955.41099999999994</v>
      </c>
      <c r="DC208">
        <v>1.036</v>
      </c>
      <c r="DD208">
        <v>270</v>
      </c>
      <c r="DI208" t="s">
        <v>368</v>
      </c>
      <c r="DJ208">
        <v>4.4260000000000002</v>
      </c>
      <c r="DK208">
        <v>1.3029999999999999</v>
      </c>
      <c r="DL208">
        <v>1.786</v>
      </c>
      <c r="DM208">
        <v>3.5139999999999998</v>
      </c>
      <c r="DN208">
        <v>4.4710000000000001</v>
      </c>
      <c r="DO208">
        <v>5.343</v>
      </c>
      <c r="DP208">
        <v>6.8129999999999997</v>
      </c>
      <c r="DQ208">
        <v>1.0009999999999999</v>
      </c>
      <c r="DR208">
        <v>3000</v>
      </c>
      <c r="DY208" t="s">
        <v>368</v>
      </c>
      <c r="DZ208">
        <v>4.4640000000000004</v>
      </c>
      <c r="EA208">
        <v>1.169</v>
      </c>
      <c r="EB208">
        <v>2.2549999999999999</v>
      </c>
      <c r="EC208">
        <v>3.661</v>
      </c>
      <c r="ED208">
        <v>4.4560000000000004</v>
      </c>
      <c r="EE208">
        <v>5.3029999999999999</v>
      </c>
      <c r="EF208">
        <v>6.6870000000000003</v>
      </c>
      <c r="EG208">
        <v>1.002</v>
      </c>
      <c r="EH208">
        <v>1900</v>
      </c>
    </row>
    <row r="209" spans="29:140">
      <c r="AC209" t="s">
        <v>369</v>
      </c>
      <c r="AD209">
        <v>123.178</v>
      </c>
      <c r="AE209">
        <v>226.53</v>
      </c>
      <c r="AF209">
        <v>1.468</v>
      </c>
      <c r="AG209">
        <v>9.923</v>
      </c>
      <c r="AH209">
        <v>34.122999999999998</v>
      </c>
      <c r="AI209">
        <v>116.47799999999999</v>
      </c>
      <c r="AJ209">
        <v>900.84500000000003</v>
      </c>
      <c r="AK209">
        <v>1.002</v>
      </c>
      <c r="AL209">
        <v>2400</v>
      </c>
      <c r="AQ209" t="s">
        <v>369</v>
      </c>
      <c r="AR209">
        <v>110.535</v>
      </c>
      <c r="AS209">
        <v>207.172</v>
      </c>
      <c r="AT209">
        <v>1.4830000000000001</v>
      </c>
      <c r="AU209">
        <v>8.0190000000000001</v>
      </c>
      <c r="AV209">
        <v>29.024000000000001</v>
      </c>
      <c r="AW209">
        <v>107.529</v>
      </c>
      <c r="AX209">
        <v>777.048</v>
      </c>
      <c r="AY209">
        <v>1.046</v>
      </c>
      <c r="AZ209">
        <v>50</v>
      </c>
      <c r="BE209" t="s">
        <v>369</v>
      </c>
      <c r="BF209">
        <v>356.82799999999997</v>
      </c>
      <c r="BG209">
        <v>38.950000000000003</v>
      </c>
      <c r="BH209">
        <v>295.77300000000002</v>
      </c>
      <c r="BI209">
        <v>331.54199999999997</v>
      </c>
      <c r="BJ209">
        <v>351.79</v>
      </c>
      <c r="BK209">
        <v>375.74099999999999</v>
      </c>
      <c r="BL209">
        <v>447.61599999999999</v>
      </c>
      <c r="BM209">
        <v>1.0169999999999999</v>
      </c>
      <c r="BN209">
        <v>220</v>
      </c>
      <c r="CU209" t="s">
        <v>369</v>
      </c>
      <c r="CV209">
        <v>370.42</v>
      </c>
      <c r="CW209">
        <v>63.500999999999998</v>
      </c>
      <c r="CX209">
        <v>301.255</v>
      </c>
      <c r="CY209">
        <v>337.84399999999999</v>
      </c>
      <c r="CZ209">
        <v>360.40499999999997</v>
      </c>
      <c r="DA209">
        <v>383.75200000000001</v>
      </c>
      <c r="DB209">
        <v>530.86599999999999</v>
      </c>
      <c r="DC209">
        <v>1.0009999999999999</v>
      </c>
      <c r="DD209">
        <v>3000</v>
      </c>
      <c r="DI209" t="s">
        <v>369</v>
      </c>
      <c r="DJ209">
        <v>4.3970000000000002</v>
      </c>
      <c r="DK209">
        <v>1.343</v>
      </c>
      <c r="DL209">
        <v>1.643</v>
      </c>
      <c r="DM209">
        <v>3.472</v>
      </c>
      <c r="DN209">
        <v>4.4210000000000003</v>
      </c>
      <c r="DO209">
        <v>5.3479999999999999</v>
      </c>
      <c r="DP209">
        <v>6.9050000000000002</v>
      </c>
      <c r="DQ209">
        <v>1.0009999999999999</v>
      </c>
      <c r="DR209">
        <v>3000</v>
      </c>
      <c r="DY209" t="s">
        <v>369</v>
      </c>
      <c r="DZ209">
        <v>4.4720000000000004</v>
      </c>
      <c r="EA209">
        <v>1.1719999999999999</v>
      </c>
      <c r="EB209">
        <v>2.0489999999999999</v>
      </c>
      <c r="EC209">
        <v>3.6760000000000002</v>
      </c>
      <c r="ED209">
        <v>4.5019999999999998</v>
      </c>
      <c r="EE209">
        <v>5.2949999999999999</v>
      </c>
      <c r="EF209">
        <v>6.6680000000000001</v>
      </c>
      <c r="EG209">
        <v>1.0009999999999999</v>
      </c>
      <c r="EH209">
        <v>3000</v>
      </c>
    </row>
    <row r="210" spans="29:140">
      <c r="AC210" t="s">
        <v>370</v>
      </c>
      <c r="AD210">
        <v>149.29</v>
      </c>
      <c r="AE210">
        <v>259.39600000000002</v>
      </c>
      <c r="AF210">
        <v>1.4870000000000001</v>
      </c>
      <c r="AG210">
        <v>11.725</v>
      </c>
      <c r="AH210">
        <v>44.542000000000002</v>
      </c>
      <c r="AI210">
        <v>156.44999999999999</v>
      </c>
      <c r="AJ210">
        <v>1048.894</v>
      </c>
      <c r="AK210">
        <v>1.0029999999999999</v>
      </c>
      <c r="AL210">
        <v>990</v>
      </c>
      <c r="AQ210" t="s">
        <v>370</v>
      </c>
      <c r="AR210">
        <v>135.053</v>
      </c>
      <c r="AS210">
        <v>238.69</v>
      </c>
      <c r="AT210">
        <v>1.488</v>
      </c>
      <c r="AU210">
        <v>9.7360000000000007</v>
      </c>
      <c r="AV210">
        <v>36.866999999999997</v>
      </c>
      <c r="AW210">
        <v>141.52600000000001</v>
      </c>
      <c r="AX210">
        <v>909.928</v>
      </c>
      <c r="AY210">
        <v>1.042</v>
      </c>
      <c r="AZ210">
        <v>53</v>
      </c>
      <c r="BE210" t="s">
        <v>370</v>
      </c>
      <c r="BF210">
        <v>111.524</v>
      </c>
      <c r="BG210">
        <v>19.273</v>
      </c>
      <c r="BH210">
        <v>79.846999999999994</v>
      </c>
      <c r="BI210">
        <v>99.025000000000006</v>
      </c>
      <c r="BJ210">
        <v>110.045</v>
      </c>
      <c r="BK210">
        <v>121.801</v>
      </c>
      <c r="BL210">
        <v>151.351</v>
      </c>
      <c r="BM210">
        <v>1.0009999999999999</v>
      </c>
      <c r="BN210">
        <v>3000</v>
      </c>
      <c r="CU210" t="s">
        <v>370</v>
      </c>
      <c r="CV210">
        <v>112.92100000000001</v>
      </c>
      <c r="CW210">
        <v>18.164999999999999</v>
      </c>
      <c r="CX210">
        <v>82.021000000000001</v>
      </c>
      <c r="CY210">
        <v>101.05800000000001</v>
      </c>
      <c r="CZ210">
        <v>112.32899999999999</v>
      </c>
      <c r="DA210">
        <v>123.089</v>
      </c>
      <c r="DB210">
        <v>148.792</v>
      </c>
      <c r="DC210">
        <v>1.0029999999999999</v>
      </c>
      <c r="DD210">
        <v>1100</v>
      </c>
      <c r="DI210" t="s">
        <v>370</v>
      </c>
      <c r="DJ210">
        <v>4.4080000000000004</v>
      </c>
      <c r="DK210">
        <v>1.335</v>
      </c>
      <c r="DL210">
        <v>1.778</v>
      </c>
      <c r="DM210">
        <v>3.4569999999999999</v>
      </c>
      <c r="DN210">
        <v>4.415</v>
      </c>
      <c r="DO210">
        <v>5.3609999999999998</v>
      </c>
      <c r="DP210">
        <v>6.9059999999999997</v>
      </c>
      <c r="DQ210">
        <v>1.004</v>
      </c>
      <c r="DR210">
        <v>1700</v>
      </c>
      <c r="DY210" t="s">
        <v>370</v>
      </c>
      <c r="DZ210">
        <v>4.4539999999999997</v>
      </c>
      <c r="EA210">
        <v>1.1479999999999999</v>
      </c>
      <c r="EB210">
        <v>2.141</v>
      </c>
      <c r="EC210">
        <v>3.66</v>
      </c>
      <c r="ED210">
        <v>4.468</v>
      </c>
      <c r="EE210">
        <v>5.25</v>
      </c>
      <c r="EF210">
        <v>6.6539999999999999</v>
      </c>
      <c r="EG210">
        <v>1.002</v>
      </c>
      <c r="EH210">
        <v>1300</v>
      </c>
    </row>
    <row r="211" spans="29:140">
      <c r="AC211" t="s">
        <v>371</v>
      </c>
      <c r="AD211">
        <v>281.25700000000001</v>
      </c>
      <c r="AE211">
        <v>354.435</v>
      </c>
      <c r="AF211">
        <v>3.4279999999999999</v>
      </c>
      <c r="AG211">
        <v>36.450000000000003</v>
      </c>
      <c r="AH211">
        <v>127.152</v>
      </c>
      <c r="AI211">
        <v>393.524</v>
      </c>
      <c r="AJ211">
        <v>1325.6089999999999</v>
      </c>
      <c r="AK211">
        <v>1.0009999999999999</v>
      </c>
      <c r="AL211">
        <v>3000</v>
      </c>
      <c r="AQ211" t="s">
        <v>371</v>
      </c>
      <c r="AR211">
        <v>251.15299999999999</v>
      </c>
      <c r="AS211">
        <v>340.68799999999999</v>
      </c>
      <c r="AT211">
        <v>2.7210000000000001</v>
      </c>
      <c r="AU211">
        <v>32.328000000000003</v>
      </c>
      <c r="AV211">
        <v>103.77800000000001</v>
      </c>
      <c r="AW211">
        <v>318.11</v>
      </c>
      <c r="AX211">
        <v>1329.8230000000001</v>
      </c>
      <c r="AY211">
        <v>1.0409999999999999</v>
      </c>
      <c r="AZ211">
        <v>56</v>
      </c>
      <c r="BE211" t="s">
        <v>371</v>
      </c>
      <c r="BF211">
        <v>749.06899999999996</v>
      </c>
      <c r="BG211">
        <v>90.313000000000002</v>
      </c>
      <c r="BH211">
        <v>652.48199999999997</v>
      </c>
      <c r="BI211">
        <v>704.13599999999997</v>
      </c>
      <c r="BJ211">
        <v>732.803</v>
      </c>
      <c r="BK211">
        <v>766.91499999999996</v>
      </c>
      <c r="BL211">
        <v>997.06700000000001</v>
      </c>
      <c r="BM211">
        <v>1.0640000000000001</v>
      </c>
      <c r="BN211">
        <v>180</v>
      </c>
      <c r="CU211" t="s">
        <v>371</v>
      </c>
      <c r="CV211">
        <v>757.346</v>
      </c>
      <c r="CW211">
        <v>97.18</v>
      </c>
      <c r="CX211">
        <v>653.77599999999995</v>
      </c>
      <c r="CY211">
        <v>707.774</v>
      </c>
      <c r="CZ211">
        <v>738.53899999999999</v>
      </c>
      <c r="DA211">
        <v>774.90099999999995</v>
      </c>
      <c r="DB211">
        <v>1026.221</v>
      </c>
      <c r="DC211">
        <v>1.014</v>
      </c>
      <c r="DD211">
        <v>1000</v>
      </c>
      <c r="DI211" t="s">
        <v>371</v>
      </c>
      <c r="DJ211">
        <v>4.4219999999999997</v>
      </c>
      <c r="DK211">
        <v>1.292</v>
      </c>
      <c r="DL211">
        <v>1.869</v>
      </c>
      <c r="DM211">
        <v>3.5179999999999998</v>
      </c>
      <c r="DN211">
        <v>4.4269999999999996</v>
      </c>
      <c r="DO211">
        <v>5.3630000000000004</v>
      </c>
      <c r="DP211">
        <v>6.8369999999999997</v>
      </c>
      <c r="DQ211">
        <v>1.006</v>
      </c>
      <c r="DR211">
        <v>2600</v>
      </c>
      <c r="DY211" t="s">
        <v>371</v>
      </c>
      <c r="DZ211">
        <v>4.4489999999999998</v>
      </c>
      <c r="EA211">
        <v>1.18</v>
      </c>
      <c r="EB211">
        <v>2.1309999999999998</v>
      </c>
      <c r="EC211">
        <v>3.6560000000000001</v>
      </c>
      <c r="ED211">
        <v>4.4560000000000004</v>
      </c>
      <c r="EE211">
        <v>5.2910000000000004</v>
      </c>
      <c r="EF211">
        <v>6.6580000000000004</v>
      </c>
      <c r="EG211">
        <v>1.0049999999999999</v>
      </c>
      <c r="EH211">
        <v>1900</v>
      </c>
    </row>
    <row r="212" spans="29:140">
      <c r="AC212" t="s">
        <v>372</v>
      </c>
      <c r="AD212">
        <v>132.779</v>
      </c>
      <c r="AE212">
        <v>237.35499999999999</v>
      </c>
      <c r="AF212">
        <v>1.722</v>
      </c>
      <c r="AG212">
        <v>11.108000000000001</v>
      </c>
      <c r="AH212">
        <v>39.29</v>
      </c>
      <c r="AI212">
        <v>134.947</v>
      </c>
      <c r="AJ212">
        <v>932.16499999999996</v>
      </c>
      <c r="AK212">
        <v>1.0029999999999999</v>
      </c>
      <c r="AL212">
        <v>970</v>
      </c>
      <c r="AQ212" t="s">
        <v>372</v>
      </c>
      <c r="AR212">
        <v>129.44800000000001</v>
      </c>
      <c r="AS212">
        <v>244.20699999999999</v>
      </c>
      <c r="AT212">
        <v>1.4690000000000001</v>
      </c>
      <c r="AU212">
        <v>9.1329999999999991</v>
      </c>
      <c r="AV212">
        <v>33.774999999999999</v>
      </c>
      <c r="AW212">
        <v>122.33799999999999</v>
      </c>
      <c r="AX212">
        <v>966.50699999999995</v>
      </c>
      <c r="AY212">
        <v>1.052</v>
      </c>
      <c r="AZ212">
        <v>44</v>
      </c>
      <c r="BE212" t="s">
        <v>372</v>
      </c>
      <c r="BF212">
        <v>624.23699999999997</v>
      </c>
      <c r="BG212">
        <v>147.477</v>
      </c>
      <c r="BH212">
        <v>507.25700000000001</v>
      </c>
      <c r="BI212">
        <v>555.06100000000004</v>
      </c>
      <c r="BJ212">
        <v>585.68799999999999</v>
      </c>
      <c r="BK212">
        <v>626.24599999999998</v>
      </c>
      <c r="BL212">
        <v>1165.9390000000001</v>
      </c>
      <c r="BM212">
        <v>1.2050000000000001</v>
      </c>
      <c r="BN212">
        <v>37</v>
      </c>
      <c r="CU212" t="s">
        <v>372</v>
      </c>
      <c r="CV212">
        <v>638.06500000000005</v>
      </c>
      <c r="CW212">
        <v>167.14699999999999</v>
      </c>
      <c r="CX212">
        <v>508.11099999999999</v>
      </c>
      <c r="CY212">
        <v>556.30600000000004</v>
      </c>
      <c r="CZ212">
        <v>586.93799999999999</v>
      </c>
      <c r="DA212">
        <v>637.58500000000004</v>
      </c>
      <c r="DB212">
        <v>1234.7560000000001</v>
      </c>
      <c r="DC212">
        <v>1.0089999999999999</v>
      </c>
      <c r="DD212">
        <v>760</v>
      </c>
      <c r="DI212" t="s">
        <v>372</v>
      </c>
      <c r="DJ212">
        <v>4.3979999999999997</v>
      </c>
      <c r="DK212">
        <v>1.3280000000000001</v>
      </c>
      <c r="DL212">
        <v>1.748</v>
      </c>
      <c r="DM212">
        <v>3.464</v>
      </c>
      <c r="DN212">
        <v>4.4169999999999998</v>
      </c>
      <c r="DO212">
        <v>5.3689999999999998</v>
      </c>
      <c r="DP212">
        <v>6.8280000000000003</v>
      </c>
      <c r="DQ212">
        <v>1.0009999999999999</v>
      </c>
      <c r="DR212">
        <v>3000</v>
      </c>
      <c r="DY212" t="s">
        <v>372</v>
      </c>
      <c r="DZ212">
        <v>4.4720000000000004</v>
      </c>
      <c r="EA212">
        <v>1.1719999999999999</v>
      </c>
      <c r="EB212">
        <v>2.2599999999999998</v>
      </c>
      <c r="EC212">
        <v>3.6779999999999999</v>
      </c>
      <c r="ED212">
        <v>4.4550000000000001</v>
      </c>
      <c r="EE212">
        <v>5.2960000000000003</v>
      </c>
      <c r="EF212">
        <v>6.72</v>
      </c>
      <c r="EG212">
        <v>1.002</v>
      </c>
      <c r="EH212">
        <v>3000</v>
      </c>
    </row>
    <row r="213" spans="29:140">
      <c r="AC213" t="s">
        <v>373</v>
      </c>
      <c r="AD213">
        <v>157.958</v>
      </c>
      <c r="AE213">
        <v>261.72000000000003</v>
      </c>
      <c r="AF213">
        <v>1.9550000000000001</v>
      </c>
      <c r="AG213">
        <v>15.058</v>
      </c>
      <c r="AH213">
        <v>51.828000000000003</v>
      </c>
      <c r="AI213">
        <v>168.48500000000001</v>
      </c>
      <c r="AJ213">
        <v>1021.932</v>
      </c>
      <c r="AK213">
        <v>1.0029999999999999</v>
      </c>
      <c r="AL213">
        <v>690</v>
      </c>
      <c r="AQ213" t="s">
        <v>373</v>
      </c>
      <c r="AR213">
        <v>159.78</v>
      </c>
      <c r="AS213">
        <v>270.34100000000001</v>
      </c>
      <c r="AT213">
        <v>1.804</v>
      </c>
      <c r="AU213">
        <v>14.26</v>
      </c>
      <c r="AV213">
        <v>50.173999999999999</v>
      </c>
      <c r="AW213">
        <v>164.11699999999999</v>
      </c>
      <c r="AX213">
        <v>1063.509</v>
      </c>
      <c r="AY213">
        <v>1.0349999999999999</v>
      </c>
      <c r="AZ213">
        <v>63</v>
      </c>
      <c r="BE213" t="s">
        <v>373</v>
      </c>
      <c r="BF213">
        <v>429.60199999999998</v>
      </c>
      <c r="BG213">
        <v>43.573999999999998</v>
      </c>
      <c r="BH213">
        <v>364.767</v>
      </c>
      <c r="BI213">
        <v>403.45400000000001</v>
      </c>
      <c r="BJ213">
        <v>425.06200000000001</v>
      </c>
      <c r="BK213">
        <v>447.88799999999998</v>
      </c>
      <c r="BL213">
        <v>532.33399999999995</v>
      </c>
      <c r="BM213">
        <v>1.0049999999999999</v>
      </c>
      <c r="BN213">
        <v>790</v>
      </c>
      <c r="CU213" t="s">
        <v>373</v>
      </c>
      <c r="CV213">
        <v>462.56099999999998</v>
      </c>
      <c r="CW213">
        <v>128.773</v>
      </c>
      <c r="CX213">
        <v>370.40600000000001</v>
      </c>
      <c r="CY213">
        <v>409.41500000000002</v>
      </c>
      <c r="CZ213">
        <v>433.28500000000003</v>
      </c>
      <c r="DA213">
        <v>464.84500000000003</v>
      </c>
      <c r="DB213">
        <v>831.05700000000002</v>
      </c>
      <c r="DC213">
        <v>1.08</v>
      </c>
      <c r="DD213">
        <v>180</v>
      </c>
      <c r="DI213" t="s">
        <v>373</v>
      </c>
      <c r="DJ213">
        <v>4.4630000000000001</v>
      </c>
      <c r="DK213">
        <v>1.323</v>
      </c>
      <c r="DL213">
        <v>1.8</v>
      </c>
      <c r="DM213">
        <v>3.5920000000000001</v>
      </c>
      <c r="DN213">
        <v>4.4800000000000004</v>
      </c>
      <c r="DO213">
        <v>5.391</v>
      </c>
      <c r="DP213">
        <v>6.9850000000000003</v>
      </c>
      <c r="DQ213">
        <v>1.0009999999999999</v>
      </c>
      <c r="DR213">
        <v>3000</v>
      </c>
      <c r="DY213" t="s">
        <v>373</v>
      </c>
      <c r="DZ213">
        <v>4.4770000000000003</v>
      </c>
      <c r="EA213">
        <v>1.1499999999999999</v>
      </c>
      <c r="EB213">
        <v>2.157</v>
      </c>
      <c r="EC213">
        <v>3.7120000000000002</v>
      </c>
      <c r="ED213">
        <v>4.5250000000000004</v>
      </c>
      <c r="EE213">
        <v>5.2729999999999997</v>
      </c>
      <c r="EF213">
        <v>6.6520000000000001</v>
      </c>
      <c r="EG213">
        <v>1.004</v>
      </c>
      <c r="EH213">
        <v>3000</v>
      </c>
    </row>
    <row r="214" spans="29:140">
      <c r="AC214" t="s">
        <v>374</v>
      </c>
      <c r="AD214">
        <v>249.13399999999999</v>
      </c>
      <c r="AE214">
        <v>320.16399999999999</v>
      </c>
      <c r="AF214">
        <v>3.6720000000000002</v>
      </c>
      <c r="AG214">
        <v>36.496000000000002</v>
      </c>
      <c r="AH214">
        <v>115.22799999999999</v>
      </c>
      <c r="AI214">
        <v>337.18799999999999</v>
      </c>
      <c r="AJ214">
        <v>1249.31</v>
      </c>
      <c r="AK214">
        <v>1.002</v>
      </c>
      <c r="AL214">
        <v>1400</v>
      </c>
      <c r="AQ214" t="s">
        <v>374</v>
      </c>
      <c r="AR214">
        <v>230.06</v>
      </c>
      <c r="AS214">
        <v>321.94499999999999</v>
      </c>
      <c r="AT214">
        <v>3.181</v>
      </c>
      <c r="AU214">
        <v>27.475999999999999</v>
      </c>
      <c r="AV214">
        <v>89.372</v>
      </c>
      <c r="AW214">
        <v>281.94900000000001</v>
      </c>
      <c r="AX214">
        <v>1254.914</v>
      </c>
      <c r="AY214">
        <v>1.036</v>
      </c>
      <c r="AZ214">
        <v>61</v>
      </c>
      <c r="BE214" t="s">
        <v>374</v>
      </c>
      <c r="BF214">
        <v>759.495</v>
      </c>
      <c r="BG214">
        <v>67.825000000000003</v>
      </c>
      <c r="BH214">
        <v>663.50300000000004</v>
      </c>
      <c r="BI214">
        <v>719.08100000000002</v>
      </c>
      <c r="BJ214">
        <v>749.03</v>
      </c>
      <c r="BK214">
        <v>784.05</v>
      </c>
      <c r="BL214">
        <v>934.08100000000002</v>
      </c>
      <c r="BM214">
        <v>1.0249999999999999</v>
      </c>
      <c r="BN214">
        <v>210</v>
      </c>
      <c r="CU214" t="s">
        <v>374</v>
      </c>
      <c r="CV214">
        <v>767.33500000000004</v>
      </c>
      <c r="CW214">
        <v>100.753</v>
      </c>
      <c r="CX214">
        <v>665.62900000000002</v>
      </c>
      <c r="CY214">
        <v>715.96299999999997</v>
      </c>
      <c r="CZ214">
        <v>747.25699999999995</v>
      </c>
      <c r="DA214">
        <v>784.99</v>
      </c>
      <c r="DB214">
        <v>1050.604</v>
      </c>
      <c r="DC214">
        <v>1.0109999999999999</v>
      </c>
      <c r="DD214">
        <v>1600</v>
      </c>
      <c r="DI214" t="s">
        <v>374</v>
      </c>
      <c r="DJ214">
        <v>4.4169999999999998</v>
      </c>
      <c r="DK214">
        <v>1.343</v>
      </c>
      <c r="DL214">
        <v>1.758</v>
      </c>
      <c r="DM214">
        <v>3.4830000000000001</v>
      </c>
      <c r="DN214">
        <v>4.4619999999999997</v>
      </c>
      <c r="DO214">
        <v>5.3819999999999997</v>
      </c>
      <c r="DP214">
        <v>6.8890000000000002</v>
      </c>
      <c r="DQ214">
        <v>1.0009999999999999</v>
      </c>
      <c r="DR214">
        <v>3000</v>
      </c>
      <c r="DY214" t="s">
        <v>374</v>
      </c>
      <c r="DZ214">
        <v>4.492</v>
      </c>
      <c r="EA214">
        <v>1.161</v>
      </c>
      <c r="EB214">
        <v>2.1989999999999998</v>
      </c>
      <c r="EC214">
        <v>3.7069999999999999</v>
      </c>
      <c r="ED214">
        <v>4.5069999999999997</v>
      </c>
      <c r="EE214">
        <v>5.2960000000000003</v>
      </c>
      <c r="EF214">
        <v>6.6879999999999997</v>
      </c>
      <c r="EG214">
        <v>1.0009999999999999</v>
      </c>
      <c r="EH214">
        <v>3000</v>
      </c>
    </row>
    <row r="215" spans="29:140">
      <c r="AC215" t="s">
        <v>375</v>
      </c>
      <c r="AD215">
        <v>257.17200000000003</v>
      </c>
      <c r="AE215">
        <v>349.70499999999998</v>
      </c>
      <c r="AF215">
        <v>2.7010000000000001</v>
      </c>
      <c r="AG215">
        <v>28.786999999999999</v>
      </c>
      <c r="AH215">
        <v>100.595</v>
      </c>
      <c r="AI215">
        <v>325.09100000000001</v>
      </c>
      <c r="AJ215">
        <v>1328.1890000000001</v>
      </c>
      <c r="AK215">
        <v>1.0029999999999999</v>
      </c>
      <c r="AL215">
        <v>890</v>
      </c>
      <c r="AQ215" t="s">
        <v>375</v>
      </c>
      <c r="AR215">
        <v>228.17599999999999</v>
      </c>
      <c r="AS215">
        <v>325.34399999999999</v>
      </c>
      <c r="AT215">
        <v>2.2410000000000001</v>
      </c>
      <c r="AU215">
        <v>21.135000000000002</v>
      </c>
      <c r="AV215">
        <v>82.457999999999998</v>
      </c>
      <c r="AW215">
        <v>281.928</v>
      </c>
      <c r="AX215">
        <v>1242.883</v>
      </c>
      <c r="AY215">
        <v>1.04</v>
      </c>
      <c r="AZ215">
        <v>57</v>
      </c>
      <c r="BE215" t="s">
        <v>375</v>
      </c>
      <c r="BF215">
        <v>714.40200000000004</v>
      </c>
      <c r="BG215">
        <v>115.352</v>
      </c>
      <c r="BH215">
        <v>614.51900000000001</v>
      </c>
      <c r="BI215">
        <v>660.95299999999997</v>
      </c>
      <c r="BJ215">
        <v>687.82600000000002</v>
      </c>
      <c r="BK215">
        <v>725.24800000000005</v>
      </c>
      <c r="BL215">
        <v>1112.4259999999999</v>
      </c>
      <c r="BM215">
        <v>1.131</v>
      </c>
      <c r="BN215">
        <v>85</v>
      </c>
      <c r="CU215" t="s">
        <v>375</v>
      </c>
      <c r="CV215">
        <v>720.41300000000001</v>
      </c>
      <c r="CW215">
        <v>121.82</v>
      </c>
      <c r="CX215">
        <v>611.58500000000004</v>
      </c>
      <c r="CY215">
        <v>662.78700000000003</v>
      </c>
      <c r="CZ215">
        <v>692.83299999999997</v>
      </c>
      <c r="DA215">
        <v>729.51800000000003</v>
      </c>
      <c r="DB215">
        <v>1108.7729999999999</v>
      </c>
      <c r="DC215">
        <v>1.05</v>
      </c>
      <c r="DD215">
        <v>160</v>
      </c>
      <c r="DI215" t="s">
        <v>375</v>
      </c>
      <c r="DJ215">
        <v>4.4279999999999999</v>
      </c>
      <c r="DK215">
        <v>1.3169999999999999</v>
      </c>
      <c r="DL215">
        <v>1.7410000000000001</v>
      </c>
      <c r="DM215">
        <v>3.556</v>
      </c>
      <c r="DN215">
        <v>4.4740000000000002</v>
      </c>
      <c r="DO215">
        <v>5.3659999999999997</v>
      </c>
      <c r="DP215">
        <v>6.8440000000000003</v>
      </c>
      <c r="DQ215">
        <v>1.0009999999999999</v>
      </c>
      <c r="DR215">
        <v>3000</v>
      </c>
      <c r="DY215" t="s">
        <v>375</v>
      </c>
      <c r="DZ215">
        <v>4.4649999999999999</v>
      </c>
      <c r="EA215">
        <v>1.163</v>
      </c>
      <c r="EB215">
        <v>2.0680000000000001</v>
      </c>
      <c r="EC215">
        <v>3.6669999999999998</v>
      </c>
      <c r="ED215">
        <v>4.5110000000000001</v>
      </c>
      <c r="EE215">
        <v>5.266</v>
      </c>
      <c r="EF215">
        <v>6.6790000000000003</v>
      </c>
      <c r="EG215">
        <v>1.0029999999999999</v>
      </c>
      <c r="EH215">
        <v>1700</v>
      </c>
    </row>
    <row r="216" spans="29:140">
      <c r="AC216" t="s">
        <v>376</v>
      </c>
      <c r="AD216">
        <v>195.405</v>
      </c>
      <c r="AE216">
        <v>300.38400000000001</v>
      </c>
      <c r="AF216">
        <v>1.87</v>
      </c>
      <c r="AG216">
        <v>17.34</v>
      </c>
      <c r="AH216">
        <v>67.828000000000003</v>
      </c>
      <c r="AI216">
        <v>227.24799999999999</v>
      </c>
      <c r="AJ216">
        <v>1170.4749999999999</v>
      </c>
      <c r="AK216">
        <v>1.0029999999999999</v>
      </c>
      <c r="AL216">
        <v>810</v>
      </c>
      <c r="AQ216" t="s">
        <v>376</v>
      </c>
      <c r="AR216">
        <v>190.358</v>
      </c>
      <c r="AS216">
        <v>304.46199999999999</v>
      </c>
      <c r="AT216">
        <v>1.72</v>
      </c>
      <c r="AU216">
        <v>14.923</v>
      </c>
      <c r="AV216">
        <v>59.930999999999997</v>
      </c>
      <c r="AW216">
        <v>207.18299999999999</v>
      </c>
      <c r="AX216">
        <v>1202.3330000000001</v>
      </c>
      <c r="AY216">
        <v>1.036</v>
      </c>
      <c r="AZ216">
        <v>62</v>
      </c>
      <c r="BE216" t="s">
        <v>376</v>
      </c>
      <c r="BF216">
        <v>62.753999999999998</v>
      </c>
      <c r="BG216">
        <v>11.589</v>
      </c>
      <c r="BH216">
        <v>42.41</v>
      </c>
      <c r="BI216">
        <v>54.595999999999997</v>
      </c>
      <c r="BJ216">
        <v>61.886000000000003</v>
      </c>
      <c r="BK216">
        <v>70.179000000000002</v>
      </c>
      <c r="BL216">
        <v>87.513999999999996</v>
      </c>
      <c r="BM216">
        <v>1.0009999999999999</v>
      </c>
      <c r="BN216">
        <v>3000</v>
      </c>
      <c r="CU216" t="s">
        <v>376</v>
      </c>
      <c r="CV216">
        <v>60.99</v>
      </c>
      <c r="CW216">
        <v>11.233000000000001</v>
      </c>
      <c r="CX216">
        <v>41.42</v>
      </c>
      <c r="CY216">
        <v>53.113999999999997</v>
      </c>
      <c r="CZ216">
        <v>60.152999999999999</v>
      </c>
      <c r="DA216">
        <v>68.408000000000001</v>
      </c>
      <c r="DB216">
        <v>84.126999999999995</v>
      </c>
      <c r="DC216">
        <v>1.0009999999999999</v>
      </c>
      <c r="DD216">
        <v>2600</v>
      </c>
      <c r="DI216" t="s">
        <v>376</v>
      </c>
      <c r="DJ216">
        <v>4.4000000000000004</v>
      </c>
      <c r="DK216">
        <v>1.325</v>
      </c>
      <c r="DL216">
        <v>1.774</v>
      </c>
      <c r="DM216">
        <v>3.492</v>
      </c>
      <c r="DN216">
        <v>4.4180000000000001</v>
      </c>
      <c r="DO216">
        <v>5.37</v>
      </c>
      <c r="DP216">
        <v>6.8339999999999996</v>
      </c>
      <c r="DQ216">
        <v>1.0009999999999999</v>
      </c>
      <c r="DR216">
        <v>3000</v>
      </c>
      <c r="DY216" t="s">
        <v>376</v>
      </c>
      <c r="DZ216">
        <v>4.5039999999999996</v>
      </c>
      <c r="EA216">
        <v>1.143</v>
      </c>
      <c r="EB216">
        <v>2.198</v>
      </c>
      <c r="EC216">
        <v>3.7570000000000001</v>
      </c>
      <c r="ED216">
        <v>4.5090000000000003</v>
      </c>
      <c r="EE216">
        <v>5.2949999999999999</v>
      </c>
      <c r="EF216">
        <v>6.6879999999999997</v>
      </c>
      <c r="EG216">
        <v>1.002</v>
      </c>
      <c r="EH216">
        <v>3000</v>
      </c>
    </row>
    <row r="217" spans="29:140">
      <c r="AC217" t="s">
        <v>377</v>
      </c>
      <c r="AD217">
        <v>211.91800000000001</v>
      </c>
      <c r="AE217">
        <v>308.10599999999999</v>
      </c>
      <c r="AF217">
        <v>2.1930000000000001</v>
      </c>
      <c r="AG217">
        <v>21.696999999999999</v>
      </c>
      <c r="AH217">
        <v>80.055000000000007</v>
      </c>
      <c r="AI217">
        <v>255.202</v>
      </c>
      <c r="AJ217">
        <v>1216.47</v>
      </c>
      <c r="AK217">
        <v>1.0029999999999999</v>
      </c>
      <c r="AL217">
        <v>1200</v>
      </c>
      <c r="AQ217" t="s">
        <v>377</v>
      </c>
      <c r="AR217">
        <v>187.023</v>
      </c>
      <c r="AS217">
        <v>289.072</v>
      </c>
      <c r="AT217">
        <v>1.7270000000000001</v>
      </c>
      <c r="AU217">
        <v>15.029</v>
      </c>
      <c r="AV217">
        <v>56.841999999999999</v>
      </c>
      <c r="AW217">
        <v>227.52600000000001</v>
      </c>
      <c r="AX217">
        <v>1099.876</v>
      </c>
      <c r="AY217">
        <v>1.0449999999999999</v>
      </c>
      <c r="AZ217">
        <v>50</v>
      </c>
      <c r="BE217" t="s">
        <v>377</v>
      </c>
      <c r="BF217">
        <v>315.11</v>
      </c>
      <c r="BG217">
        <v>31.52</v>
      </c>
      <c r="BH217">
        <v>263.577</v>
      </c>
      <c r="BI217">
        <v>294.55599999999998</v>
      </c>
      <c r="BJ217">
        <v>312.35599999999999</v>
      </c>
      <c r="BK217">
        <v>332.452</v>
      </c>
      <c r="BL217">
        <v>382.58300000000003</v>
      </c>
      <c r="BM217">
        <v>1.0009999999999999</v>
      </c>
      <c r="BN217">
        <v>3000</v>
      </c>
      <c r="CU217" t="s">
        <v>377</v>
      </c>
      <c r="CV217">
        <v>325.875</v>
      </c>
      <c r="CW217">
        <v>92.503</v>
      </c>
      <c r="CX217">
        <v>263.99400000000003</v>
      </c>
      <c r="CY217">
        <v>295.70699999999999</v>
      </c>
      <c r="CZ217">
        <v>314.10000000000002</v>
      </c>
      <c r="DA217">
        <v>335.02100000000002</v>
      </c>
      <c r="DB217">
        <v>428.495</v>
      </c>
      <c r="DC217">
        <v>1.1379999999999999</v>
      </c>
      <c r="DD217">
        <v>150</v>
      </c>
      <c r="DI217" t="s">
        <v>377</v>
      </c>
      <c r="DJ217">
        <v>4.4569999999999999</v>
      </c>
      <c r="DK217">
        <v>1.3380000000000001</v>
      </c>
      <c r="DL217">
        <v>1.716</v>
      </c>
      <c r="DM217">
        <v>3.569</v>
      </c>
      <c r="DN217">
        <v>4.4829999999999997</v>
      </c>
      <c r="DO217">
        <v>5.4359999999999999</v>
      </c>
      <c r="DP217">
        <v>6.9160000000000004</v>
      </c>
      <c r="DQ217">
        <v>1.002</v>
      </c>
      <c r="DR217">
        <v>1400</v>
      </c>
      <c r="DY217" t="s">
        <v>377</v>
      </c>
      <c r="DZ217">
        <v>4.4660000000000002</v>
      </c>
      <c r="EA217">
        <v>1.1679999999999999</v>
      </c>
      <c r="EB217">
        <v>2.137</v>
      </c>
      <c r="EC217">
        <v>3.677</v>
      </c>
      <c r="ED217">
        <v>4.4939999999999998</v>
      </c>
      <c r="EE217">
        <v>5.2910000000000004</v>
      </c>
      <c r="EF217">
        <v>6.72</v>
      </c>
      <c r="EG217">
        <v>1.002</v>
      </c>
      <c r="EH217">
        <v>3000</v>
      </c>
    </row>
    <row r="218" spans="29:140">
      <c r="AC218" t="s">
        <v>378</v>
      </c>
      <c r="AD218">
        <v>87.441999999999993</v>
      </c>
      <c r="AE218">
        <v>188.49600000000001</v>
      </c>
      <c r="AF218">
        <v>1.266</v>
      </c>
      <c r="AG218">
        <v>6.2569999999999997</v>
      </c>
      <c r="AH218">
        <v>21.234999999999999</v>
      </c>
      <c r="AI218">
        <v>75.572000000000003</v>
      </c>
      <c r="AJ218">
        <v>670.38</v>
      </c>
      <c r="AK218">
        <v>1.002</v>
      </c>
      <c r="AL218">
        <v>3000</v>
      </c>
      <c r="AQ218" t="s">
        <v>378</v>
      </c>
      <c r="AR218">
        <v>89.084999999999994</v>
      </c>
      <c r="AS218">
        <v>196.83600000000001</v>
      </c>
      <c r="AT218">
        <v>1.2789999999999999</v>
      </c>
      <c r="AU218">
        <v>5.5110000000000001</v>
      </c>
      <c r="AV218">
        <v>19.013999999999999</v>
      </c>
      <c r="AW218">
        <v>72.637</v>
      </c>
      <c r="AX218">
        <v>710.34199999999998</v>
      </c>
      <c r="AY218">
        <v>1.042</v>
      </c>
      <c r="AZ218">
        <v>53</v>
      </c>
      <c r="BE218" t="s">
        <v>378</v>
      </c>
      <c r="BF218">
        <v>449.48599999999999</v>
      </c>
      <c r="BG218">
        <v>83.513000000000005</v>
      </c>
      <c r="BH218">
        <v>355.30900000000003</v>
      </c>
      <c r="BI218">
        <v>404.017</v>
      </c>
      <c r="BJ218">
        <v>432.70299999999997</v>
      </c>
      <c r="BK218">
        <v>467.995</v>
      </c>
      <c r="BL218">
        <v>679.95</v>
      </c>
      <c r="BM218">
        <v>1.06</v>
      </c>
      <c r="BN218">
        <v>80</v>
      </c>
      <c r="CU218" t="s">
        <v>378</v>
      </c>
      <c r="CV218">
        <v>522.80200000000002</v>
      </c>
      <c r="CW218">
        <v>209.81399999999999</v>
      </c>
      <c r="CX218">
        <v>365.78</v>
      </c>
      <c r="CY218">
        <v>420.30200000000002</v>
      </c>
      <c r="CZ218">
        <v>455.88400000000001</v>
      </c>
      <c r="DA218">
        <v>512.88</v>
      </c>
      <c r="DB218">
        <v>1290.7090000000001</v>
      </c>
      <c r="DC218">
        <v>1.1000000000000001</v>
      </c>
      <c r="DD218">
        <v>50</v>
      </c>
      <c r="DI218" t="s">
        <v>378</v>
      </c>
      <c r="DJ218">
        <v>4.4400000000000004</v>
      </c>
      <c r="DK218">
        <v>1.3280000000000001</v>
      </c>
      <c r="DL218">
        <v>1.8089999999999999</v>
      </c>
      <c r="DM218">
        <v>3.54</v>
      </c>
      <c r="DN218">
        <v>4.4630000000000001</v>
      </c>
      <c r="DO218">
        <v>5.4169999999999998</v>
      </c>
      <c r="DP218">
        <v>6.8719999999999999</v>
      </c>
      <c r="DQ218">
        <v>1.002</v>
      </c>
      <c r="DR218">
        <v>3000</v>
      </c>
      <c r="DY218" t="s">
        <v>378</v>
      </c>
      <c r="DZ218">
        <v>4.4660000000000002</v>
      </c>
      <c r="EA218">
        <v>1.1919999999999999</v>
      </c>
      <c r="EB218">
        <v>2.1</v>
      </c>
      <c r="EC218">
        <v>3.653</v>
      </c>
      <c r="ED218">
        <v>4.49</v>
      </c>
      <c r="EE218">
        <v>5.3129999999999997</v>
      </c>
      <c r="EF218">
        <v>6.6779999999999999</v>
      </c>
      <c r="EG218">
        <v>1.002</v>
      </c>
      <c r="EH218">
        <v>1700</v>
      </c>
    </row>
    <row r="219" spans="29:140">
      <c r="AC219" t="s">
        <v>379</v>
      </c>
      <c r="AD219">
        <v>168.72800000000001</v>
      </c>
      <c r="AE219">
        <v>282.78100000000001</v>
      </c>
      <c r="AF219">
        <v>1.6850000000000001</v>
      </c>
      <c r="AG219">
        <v>13.095000000000001</v>
      </c>
      <c r="AH219">
        <v>52.273000000000003</v>
      </c>
      <c r="AI219">
        <v>180.89</v>
      </c>
      <c r="AJ219">
        <v>1141.778</v>
      </c>
      <c r="AK219">
        <v>1.0069999999999999</v>
      </c>
      <c r="AL219">
        <v>300</v>
      </c>
      <c r="AQ219" t="s">
        <v>379</v>
      </c>
      <c r="AR219">
        <v>159.26900000000001</v>
      </c>
      <c r="AS219">
        <v>276.83600000000001</v>
      </c>
      <c r="AT219">
        <v>1.605</v>
      </c>
      <c r="AU219">
        <v>10.554</v>
      </c>
      <c r="AV219">
        <v>40.222999999999999</v>
      </c>
      <c r="AW219">
        <v>155.41499999999999</v>
      </c>
      <c r="AX219">
        <v>1064.787</v>
      </c>
      <c r="AY219">
        <v>1.0349999999999999</v>
      </c>
      <c r="AZ219">
        <v>61</v>
      </c>
      <c r="BE219" t="s">
        <v>379</v>
      </c>
      <c r="BF219">
        <v>230.518</v>
      </c>
      <c r="BG219">
        <v>223.458</v>
      </c>
      <c r="BH219">
        <v>125.09699999999999</v>
      </c>
      <c r="BI219">
        <v>147.91499999999999</v>
      </c>
      <c r="BJ219">
        <v>162.691</v>
      </c>
      <c r="BK219">
        <v>180.79300000000001</v>
      </c>
      <c r="BL219">
        <v>1040.3489999999999</v>
      </c>
      <c r="BM219">
        <v>1.488</v>
      </c>
      <c r="BN219">
        <v>11</v>
      </c>
      <c r="CU219" t="s">
        <v>379</v>
      </c>
      <c r="CV219">
        <v>160.96799999999999</v>
      </c>
      <c r="CW219">
        <v>24.803999999999998</v>
      </c>
      <c r="CX219">
        <v>125.06</v>
      </c>
      <c r="CY219">
        <v>145.97800000000001</v>
      </c>
      <c r="CZ219">
        <v>158.43299999999999</v>
      </c>
      <c r="DA219">
        <v>171.69900000000001</v>
      </c>
      <c r="DB219">
        <v>214.61</v>
      </c>
      <c r="DC219">
        <v>1.006</v>
      </c>
      <c r="DD219">
        <v>1800</v>
      </c>
      <c r="DI219" t="s">
        <v>379</v>
      </c>
      <c r="DJ219">
        <v>4.4560000000000004</v>
      </c>
      <c r="DK219">
        <v>1.32</v>
      </c>
      <c r="DL219">
        <v>1.7529999999999999</v>
      </c>
      <c r="DM219">
        <v>3.5539999999999998</v>
      </c>
      <c r="DN219">
        <v>4.5259999999999998</v>
      </c>
      <c r="DO219">
        <v>5.36</v>
      </c>
      <c r="DP219">
        <v>6.9189999999999996</v>
      </c>
      <c r="DQ219">
        <v>1.002</v>
      </c>
      <c r="DR219">
        <v>3000</v>
      </c>
      <c r="DY219" t="s">
        <v>379</v>
      </c>
      <c r="DZ219">
        <v>4.4989999999999997</v>
      </c>
      <c r="EA219">
        <v>1.1759999999999999</v>
      </c>
      <c r="EB219">
        <v>2.1469999999999998</v>
      </c>
      <c r="EC219">
        <v>3.7080000000000002</v>
      </c>
      <c r="ED219">
        <v>4.484</v>
      </c>
      <c r="EE219">
        <v>5.3319999999999999</v>
      </c>
      <c r="EF219">
        <v>6.7249999999999996</v>
      </c>
      <c r="EG219">
        <v>1.0009999999999999</v>
      </c>
      <c r="EH219">
        <v>2200</v>
      </c>
    </row>
    <row r="220" spans="29:140">
      <c r="AC220" t="s">
        <v>380</v>
      </c>
      <c r="AD220">
        <v>137.631</v>
      </c>
      <c r="AE220">
        <v>240.702</v>
      </c>
      <c r="AF220">
        <v>1.742</v>
      </c>
      <c r="AG220">
        <v>12.109</v>
      </c>
      <c r="AH220">
        <v>42.856000000000002</v>
      </c>
      <c r="AI220">
        <v>137.017</v>
      </c>
      <c r="AJ220">
        <v>967.24199999999996</v>
      </c>
      <c r="AK220">
        <v>1.0009999999999999</v>
      </c>
      <c r="AL220">
        <v>3000</v>
      </c>
      <c r="AQ220" t="s">
        <v>380</v>
      </c>
      <c r="AR220">
        <v>124.691</v>
      </c>
      <c r="AS220">
        <v>222.88300000000001</v>
      </c>
      <c r="AT220">
        <v>1.385</v>
      </c>
      <c r="AU220">
        <v>9.8379999999999992</v>
      </c>
      <c r="AV220">
        <v>34.994999999999997</v>
      </c>
      <c r="AW220">
        <v>131.167</v>
      </c>
      <c r="AX220">
        <v>819.87800000000004</v>
      </c>
      <c r="AY220">
        <v>1.0369999999999999</v>
      </c>
      <c r="AZ220">
        <v>60</v>
      </c>
      <c r="BE220" t="s">
        <v>380</v>
      </c>
      <c r="BF220">
        <v>505.613</v>
      </c>
      <c r="BG220">
        <v>67.120999999999995</v>
      </c>
      <c r="BH220">
        <v>422.88400000000001</v>
      </c>
      <c r="BI220">
        <v>466.12900000000002</v>
      </c>
      <c r="BJ220">
        <v>491.32499999999999</v>
      </c>
      <c r="BK220">
        <v>524.43299999999999</v>
      </c>
      <c r="BL220">
        <v>704.77300000000002</v>
      </c>
      <c r="BM220">
        <v>1.0029999999999999</v>
      </c>
      <c r="BN220">
        <v>1300</v>
      </c>
      <c r="CU220" t="s">
        <v>380</v>
      </c>
      <c r="CV220">
        <v>528.91899999999998</v>
      </c>
      <c r="CW220">
        <v>145.53</v>
      </c>
      <c r="CX220">
        <v>422.375</v>
      </c>
      <c r="CY220">
        <v>467.65</v>
      </c>
      <c r="CZ220">
        <v>491.86799999999999</v>
      </c>
      <c r="DA220">
        <v>526.36300000000006</v>
      </c>
      <c r="DB220">
        <v>1033.925</v>
      </c>
      <c r="DC220">
        <v>1.04</v>
      </c>
      <c r="DD220">
        <v>300</v>
      </c>
      <c r="DI220" t="s">
        <v>380</v>
      </c>
      <c r="DJ220">
        <v>4.4020000000000001</v>
      </c>
      <c r="DK220">
        <v>1.3520000000000001</v>
      </c>
      <c r="DL220">
        <v>1.581</v>
      </c>
      <c r="DM220">
        <v>3.4849999999999999</v>
      </c>
      <c r="DN220">
        <v>4.4710000000000001</v>
      </c>
      <c r="DO220">
        <v>5.3890000000000002</v>
      </c>
      <c r="DP220">
        <v>6.827</v>
      </c>
      <c r="DQ220">
        <v>1.002</v>
      </c>
      <c r="DR220">
        <v>2300</v>
      </c>
      <c r="DY220" t="s">
        <v>380</v>
      </c>
      <c r="DZ220">
        <v>4.4880000000000004</v>
      </c>
      <c r="EA220">
        <v>1.173</v>
      </c>
      <c r="EB220">
        <v>2.2509999999999999</v>
      </c>
      <c r="EC220">
        <v>3.6709999999999998</v>
      </c>
      <c r="ED220">
        <v>4.5039999999999996</v>
      </c>
      <c r="EE220">
        <v>5.3280000000000003</v>
      </c>
      <c r="EF220">
        <v>6.7439999999999998</v>
      </c>
      <c r="EG220">
        <v>1.0009999999999999</v>
      </c>
      <c r="EH220">
        <v>2800</v>
      </c>
    </row>
    <row r="221" spans="29:140">
      <c r="AC221" t="s">
        <v>143</v>
      </c>
      <c r="AD221">
        <v>2481.221</v>
      </c>
      <c r="AE221">
        <v>47.204000000000001</v>
      </c>
      <c r="AF221">
        <v>2390.0410000000002</v>
      </c>
      <c r="AG221">
        <v>2448.817</v>
      </c>
      <c r="AH221">
        <v>2480.605</v>
      </c>
      <c r="AI221">
        <v>2512.7469999999998</v>
      </c>
      <c r="AJ221">
        <v>2575.0830000000001</v>
      </c>
      <c r="AK221">
        <v>1.0009999999999999</v>
      </c>
      <c r="AL221">
        <v>3000</v>
      </c>
      <c r="AQ221" t="s">
        <v>143</v>
      </c>
      <c r="AR221">
        <v>2478.8719999999998</v>
      </c>
      <c r="AS221">
        <v>46.453000000000003</v>
      </c>
      <c r="AT221">
        <v>2391.165</v>
      </c>
      <c r="AU221">
        <v>2446.4299999999998</v>
      </c>
      <c r="AV221">
        <v>2477.8969999999999</v>
      </c>
      <c r="AW221">
        <v>2511.4050000000002</v>
      </c>
      <c r="AX221">
        <v>2572.4409999999998</v>
      </c>
      <c r="AY221">
        <v>1.0009999999999999</v>
      </c>
      <c r="AZ221">
        <v>3000</v>
      </c>
      <c r="BE221" t="s">
        <v>143</v>
      </c>
      <c r="BF221">
        <v>3221.83</v>
      </c>
      <c r="BG221">
        <v>50.51</v>
      </c>
      <c r="BH221">
        <v>3125.683</v>
      </c>
      <c r="BI221">
        <v>3186.527</v>
      </c>
      <c r="BJ221">
        <v>3221.4189999999999</v>
      </c>
      <c r="BK221">
        <v>3254.5120000000002</v>
      </c>
      <c r="BL221">
        <v>3325.5949999999998</v>
      </c>
      <c r="BM221">
        <v>1.002</v>
      </c>
      <c r="BN221">
        <v>1400</v>
      </c>
      <c r="CU221" t="s">
        <v>143</v>
      </c>
      <c r="CV221">
        <v>3213.306</v>
      </c>
      <c r="CW221">
        <v>49.515999999999998</v>
      </c>
      <c r="CX221">
        <v>3118.1729999999998</v>
      </c>
      <c r="CY221">
        <v>3180.2689999999998</v>
      </c>
      <c r="CZ221">
        <v>3211.2080000000001</v>
      </c>
      <c r="DA221">
        <v>3247.415</v>
      </c>
      <c r="DB221">
        <v>3312.42</v>
      </c>
      <c r="DC221">
        <v>1.0009999999999999</v>
      </c>
      <c r="DD221">
        <v>2400</v>
      </c>
      <c r="DI221" t="s">
        <v>143</v>
      </c>
      <c r="DJ221">
        <v>2469.73</v>
      </c>
      <c r="DK221">
        <v>47.838000000000001</v>
      </c>
      <c r="DL221">
        <v>2378.9299999999998</v>
      </c>
      <c r="DM221">
        <v>2436.3780000000002</v>
      </c>
      <c r="DN221">
        <v>2468.328</v>
      </c>
      <c r="DO221">
        <v>2501.7510000000002</v>
      </c>
      <c r="DP221">
        <v>2566.3530000000001</v>
      </c>
      <c r="DQ221">
        <v>1.002</v>
      </c>
      <c r="DR221">
        <v>1200</v>
      </c>
      <c r="DY221" t="s">
        <v>143</v>
      </c>
      <c r="DZ221">
        <v>2469.4560000000001</v>
      </c>
      <c r="EA221">
        <v>47.847000000000001</v>
      </c>
      <c r="EB221">
        <v>2377.328</v>
      </c>
      <c r="EC221">
        <v>2436.433</v>
      </c>
      <c r="ED221">
        <v>2468.4569999999999</v>
      </c>
      <c r="EE221">
        <v>2501.4639999999999</v>
      </c>
      <c r="EF221">
        <v>2563.953</v>
      </c>
      <c r="EG221">
        <v>1.0009999999999999</v>
      </c>
      <c r="EH221">
        <v>2600</v>
      </c>
    </row>
    <row r="223" spans="29:140">
      <c r="AC223" t="s">
        <v>144</v>
      </c>
      <c r="AD223" t="s">
        <v>14</v>
      </c>
      <c r="AE223" t="s">
        <v>145</v>
      </c>
      <c r="AF223" t="s">
        <v>26</v>
      </c>
      <c r="AG223" t="s">
        <v>146</v>
      </c>
      <c r="AH223" t="s">
        <v>147</v>
      </c>
      <c r="AI223" t="s">
        <v>148</v>
      </c>
      <c r="AJ223" t="s">
        <v>149</v>
      </c>
      <c r="AK223" t="s">
        <v>150</v>
      </c>
      <c r="AL223" t="s">
        <v>151</v>
      </c>
      <c r="AM223" t="s">
        <v>152</v>
      </c>
      <c r="AN223" t="s">
        <v>153</v>
      </c>
      <c r="AQ223" t="s">
        <v>144</v>
      </c>
      <c r="AR223" t="s">
        <v>14</v>
      </c>
      <c r="AS223" t="s">
        <v>145</v>
      </c>
      <c r="AT223" t="s">
        <v>26</v>
      </c>
      <c r="AU223" t="s">
        <v>146</v>
      </c>
      <c r="AV223" t="s">
        <v>147</v>
      </c>
      <c r="AW223" t="s">
        <v>148</v>
      </c>
      <c r="AX223" t="s">
        <v>149</v>
      </c>
      <c r="AY223" t="s">
        <v>150</v>
      </c>
      <c r="AZ223" t="s">
        <v>151</v>
      </c>
      <c r="BA223" t="s">
        <v>152</v>
      </c>
      <c r="BB223" t="s">
        <v>153</v>
      </c>
      <c r="BE223" t="s">
        <v>144</v>
      </c>
      <c r="BF223" t="s">
        <v>14</v>
      </c>
      <c r="BG223" t="s">
        <v>145</v>
      </c>
      <c r="BH223" t="s">
        <v>26</v>
      </c>
      <c r="BI223" t="s">
        <v>146</v>
      </c>
      <c r="BJ223" t="s">
        <v>147</v>
      </c>
      <c r="BK223" t="s">
        <v>148</v>
      </c>
      <c r="BL223" t="s">
        <v>149</v>
      </c>
      <c r="BM223" t="s">
        <v>150</v>
      </c>
      <c r="BN223" t="s">
        <v>151</v>
      </c>
      <c r="BO223" t="s">
        <v>152</v>
      </c>
      <c r="BP223" t="s">
        <v>153</v>
      </c>
      <c r="CU223" t="s">
        <v>144</v>
      </c>
      <c r="CV223" t="s">
        <v>14</v>
      </c>
      <c r="CW223" t="s">
        <v>145</v>
      </c>
      <c r="CX223" t="s">
        <v>26</v>
      </c>
      <c r="CY223" t="s">
        <v>146</v>
      </c>
      <c r="CZ223" t="s">
        <v>147</v>
      </c>
      <c r="DA223" t="s">
        <v>148</v>
      </c>
      <c r="DB223" t="s">
        <v>149</v>
      </c>
      <c r="DC223" t="s">
        <v>150</v>
      </c>
      <c r="DD223" t="s">
        <v>151</v>
      </c>
      <c r="DE223" t="s">
        <v>152</v>
      </c>
      <c r="DF223" t="s">
        <v>153</v>
      </c>
      <c r="DI223" t="s">
        <v>144</v>
      </c>
      <c r="DJ223" t="s">
        <v>14</v>
      </c>
      <c r="DK223" t="s">
        <v>145</v>
      </c>
      <c r="DL223" t="s">
        <v>26</v>
      </c>
      <c r="DM223" t="s">
        <v>146</v>
      </c>
      <c r="DN223" t="s">
        <v>147</v>
      </c>
      <c r="DO223" t="s">
        <v>148</v>
      </c>
      <c r="DP223" t="s">
        <v>149</v>
      </c>
      <c r="DQ223" t="s">
        <v>150</v>
      </c>
      <c r="DR223" t="s">
        <v>151</v>
      </c>
      <c r="DS223" t="s">
        <v>152</v>
      </c>
      <c r="DT223" t="s">
        <v>153</v>
      </c>
      <c r="DY223" t="s">
        <v>144</v>
      </c>
      <c r="DZ223" t="s">
        <v>14</v>
      </c>
      <c r="EA223" t="s">
        <v>145</v>
      </c>
      <c r="EB223" t="s">
        <v>26</v>
      </c>
      <c r="EC223" t="s">
        <v>146</v>
      </c>
      <c r="ED223" t="s">
        <v>147</v>
      </c>
      <c r="EE223" t="s">
        <v>148</v>
      </c>
      <c r="EF223" t="s">
        <v>149</v>
      </c>
      <c r="EG223" t="s">
        <v>150</v>
      </c>
      <c r="EH223" t="s">
        <v>151</v>
      </c>
      <c r="EI223" t="s">
        <v>152</v>
      </c>
      <c r="EJ223" t="s">
        <v>153</v>
      </c>
    </row>
    <row r="224" spans="29:140">
      <c r="AC224" t="s">
        <v>154</v>
      </c>
      <c r="AD224" t="s">
        <v>25</v>
      </c>
      <c r="AE224" t="s">
        <v>146</v>
      </c>
      <c r="AF224" t="s">
        <v>155</v>
      </c>
      <c r="AG224" t="s">
        <v>156</v>
      </c>
      <c r="AH224" t="s">
        <v>157</v>
      </c>
      <c r="AI224" t="s">
        <v>158</v>
      </c>
      <c r="AJ224" t="s">
        <v>159</v>
      </c>
      <c r="AK224" t="s">
        <v>160</v>
      </c>
      <c r="AL224" t="s">
        <v>161</v>
      </c>
      <c r="AM224" t="s">
        <v>162</v>
      </c>
      <c r="AQ224" t="s">
        <v>154</v>
      </c>
      <c r="AR224" t="s">
        <v>25</v>
      </c>
      <c r="AS224" t="s">
        <v>146</v>
      </c>
      <c r="AT224" t="s">
        <v>155</v>
      </c>
      <c r="AU224" t="s">
        <v>156</v>
      </c>
      <c r="AV224" t="s">
        <v>157</v>
      </c>
      <c r="AW224" t="s">
        <v>158</v>
      </c>
      <c r="AX224" t="s">
        <v>159</v>
      </c>
      <c r="AY224" t="s">
        <v>160</v>
      </c>
      <c r="AZ224" t="s">
        <v>161</v>
      </c>
      <c r="BA224" t="s">
        <v>162</v>
      </c>
      <c r="BE224" t="s">
        <v>154</v>
      </c>
      <c r="BF224" t="s">
        <v>25</v>
      </c>
      <c r="BG224" t="s">
        <v>146</v>
      </c>
      <c r="BH224" t="s">
        <v>155</v>
      </c>
      <c r="BI224" t="s">
        <v>156</v>
      </c>
      <c r="BJ224" t="s">
        <v>157</v>
      </c>
      <c r="BK224" t="s">
        <v>158</v>
      </c>
      <c r="BL224" t="s">
        <v>159</v>
      </c>
      <c r="BM224" t="s">
        <v>160</v>
      </c>
      <c r="BN224" t="s">
        <v>161</v>
      </c>
      <c r="BO224" t="s">
        <v>162</v>
      </c>
      <c r="CU224" t="s">
        <v>154</v>
      </c>
      <c r="CV224" t="s">
        <v>25</v>
      </c>
      <c r="CW224" t="s">
        <v>146</v>
      </c>
      <c r="CX224" t="s">
        <v>155</v>
      </c>
      <c r="CY224" t="s">
        <v>156</v>
      </c>
      <c r="CZ224" t="s">
        <v>157</v>
      </c>
      <c r="DA224" t="s">
        <v>158</v>
      </c>
      <c r="DB224" t="s">
        <v>159</v>
      </c>
      <c r="DC224" t="s">
        <v>160</v>
      </c>
      <c r="DD224" t="s">
        <v>161</v>
      </c>
      <c r="DE224" t="s">
        <v>162</v>
      </c>
      <c r="DI224" t="s">
        <v>154</v>
      </c>
      <c r="DJ224" t="s">
        <v>25</v>
      </c>
      <c r="DK224" t="s">
        <v>146</v>
      </c>
      <c r="DL224" t="s">
        <v>155</v>
      </c>
      <c r="DM224" t="s">
        <v>156</v>
      </c>
      <c r="DN224" t="s">
        <v>157</v>
      </c>
      <c r="DO224" t="s">
        <v>158</v>
      </c>
      <c r="DP224" t="s">
        <v>159</v>
      </c>
      <c r="DQ224" t="s">
        <v>160</v>
      </c>
      <c r="DR224" t="s">
        <v>161</v>
      </c>
      <c r="DS224" t="s">
        <v>162</v>
      </c>
      <c r="DY224" t="s">
        <v>154</v>
      </c>
      <c r="DZ224" t="s">
        <v>25</v>
      </c>
      <c r="EA224" t="s">
        <v>146</v>
      </c>
      <c r="EB224" t="s">
        <v>155</v>
      </c>
      <c r="EC224" t="s">
        <v>156</v>
      </c>
      <c r="ED224" t="s">
        <v>157</v>
      </c>
      <c r="EE224" t="s">
        <v>158</v>
      </c>
      <c r="EF224" t="s">
        <v>159</v>
      </c>
      <c r="EG224" t="s">
        <v>160</v>
      </c>
      <c r="EH224" t="s">
        <v>161</v>
      </c>
      <c r="EI224" t="s">
        <v>162</v>
      </c>
    </row>
    <row r="226" spans="29:140">
      <c r="AC226" t="s">
        <v>163</v>
      </c>
      <c r="AD226" t="s">
        <v>164</v>
      </c>
      <c r="AE226" t="s">
        <v>165</v>
      </c>
      <c r="AF226" t="s">
        <v>155</v>
      </c>
      <c r="AG226" t="s">
        <v>166</v>
      </c>
      <c r="AH226" t="s">
        <v>167</v>
      </c>
      <c r="AI226" t="s">
        <v>20</v>
      </c>
      <c r="AJ226" t="s">
        <v>168</v>
      </c>
      <c r="AQ226" t="s">
        <v>163</v>
      </c>
      <c r="AR226" t="s">
        <v>164</v>
      </c>
      <c r="AS226" t="s">
        <v>165</v>
      </c>
      <c r="AT226" t="s">
        <v>155</v>
      </c>
      <c r="AU226" t="s">
        <v>166</v>
      </c>
      <c r="AV226" t="s">
        <v>167</v>
      </c>
      <c r="AW226" t="s">
        <v>20</v>
      </c>
      <c r="AX226" t="s">
        <v>168</v>
      </c>
      <c r="BE226" t="s">
        <v>163</v>
      </c>
      <c r="BF226" t="s">
        <v>164</v>
      </c>
      <c r="BG226" t="s">
        <v>165</v>
      </c>
      <c r="BH226" t="s">
        <v>155</v>
      </c>
      <c r="BI226" t="s">
        <v>166</v>
      </c>
      <c r="BJ226" t="s">
        <v>167</v>
      </c>
      <c r="BK226" t="s">
        <v>20</v>
      </c>
      <c r="BL226" t="s">
        <v>168</v>
      </c>
      <c r="CU226" t="s">
        <v>163</v>
      </c>
      <c r="CV226" t="s">
        <v>164</v>
      </c>
      <c r="CW226" t="s">
        <v>165</v>
      </c>
      <c r="CX226" t="s">
        <v>155</v>
      </c>
      <c r="CY226" t="s">
        <v>166</v>
      </c>
      <c r="CZ226" t="s">
        <v>167</v>
      </c>
      <c r="DA226" t="s">
        <v>20</v>
      </c>
      <c r="DB226" t="s">
        <v>168</v>
      </c>
      <c r="DI226" t="s">
        <v>163</v>
      </c>
      <c r="DJ226" t="s">
        <v>164</v>
      </c>
      <c r="DK226" t="s">
        <v>165</v>
      </c>
      <c r="DL226" t="s">
        <v>155</v>
      </c>
      <c r="DM226" t="s">
        <v>166</v>
      </c>
      <c r="DN226" t="s">
        <v>167</v>
      </c>
      <c r="DO226" t="s">
        <v>20</v>
      </c>
      <c r="DP226" t="s">
        <v>168</v>
      </c>
      <c r="DY226" t="s">
        <v>163</v>
      </c>
      <c r="DZ226" t="s">
        <v>164</v>
      </c>
      <c r="EA226" t="s">
        <v>165</v>
      </c>
      <c r="EB226" t="s">
        <v>155</v>
      </c>
      <c r="EC226" t="s">
        <v>166</v>
      </c>
      <c r="ED226" t="s">
        <v>167</v>
      </c>
      <c r="EE226" t="s">
        <v>20</v>
      </c>
      <c r="EF226" t="s">
        <v>168</v>
      </c>
    </row>
    <row r="227" spans="29:140">
      <c r="AC227" t="s">
        <v>167</v>
      </c>
      <c r="AD227" t="s">
        <v>20</v>
      </c>
      <c r="AE227">
        <v>1114.5</v>
      </c>
      <c r="AF227" t="s">
        <v>154</v>
      </c>
      <c r="AG227" t="s">
        <v>163</v>
      </c>
      <c r="AH227" t="s">
        <v>20</v>
      </c>
      <c r="AI227">
        <v>3595.8</v>
      </c>
      <c r="AQ227" t="s">
        <v>167</v>
      </c>
      <c r="AR227" t="s">
        <v>20</v>
      </c>
      <c r="AS227">
        <v>1079.5999999999999</v>
      </c>
      <c r="AT227" t="s">
        <v>154</v>
      </c>
      <c r="AU227" t="s">
        <v>163</v>
      </c>
      <c r="AV227" t="s">
        <v>20</v>
      </c>
      <c r="AW227">
        <v>3558.5</v>
      </c>
      <c r="BE227" t="s">
        <v>167</v>
      </c>
      <c r="BF227" t="s">
        <v>20</v>
      </c>
      <c r="BG227">
        <v>1274.8</v>
      </c>
      <c r="BH227" t="s">
        <v>154</v>
      </c>
      <c r="BI227" t="s">
        <v>163</v>
      </c>
      <c r="BJ227" t="s">
        <v>20</v>
      </c>
      <c r="BK227">
        <v>4496.6000000000004</v>
      </c>
      <c r="CU227" t="s">
        <v>167</v>
      </c>
      <c r="CV227" t="s">
        <v>20</v>
      </c>
      <c r="CW227">
        <v>1225.7</v>
      </c>
      <c r="CX227" t="s">
        <v>154</v>
      </c>
      <c r="CY227" t="s">
        <v>163</v>
      </c>
      <c r="CZ227" t="s">
        <v>20</v>
      </c>
      <c r="DA227">
        <v>4439</v>
      </c>
      <c r="DI227" t="s">
        <v>167</v>
      </c>
      <c r="DJ227" t="s">
        <v>20</v>
      </c>
      <c r="DK227">
        <v>1143</v>
      </c>
      <c r="DL227" t="s">
        <v>154</v>
      </c>
      <c r="DM227" t="s">
        <v>163</v>
      </c>
      <c r="DN227" t="s">
        <v>20</v>
      </c>
      <c r="DO227">
        <v>3612.8</v>
      </c>
      <c r="DY227" t="s">
        <v>167</v>
      </c>
      <c r="DZ227" t="s">
        <v>20</v>
      </c>
      <c r="EA227">
        <v>1144.5999999999999</v>
      </c>
      <c r="EB227" t="s">
        <v>154</v>
      </c>
      <c r="EC227" t="s">
        <v>163</v>
      </c>
      <c r="ED227" t="s">
        <v>20</v>
      </c>
      <c r="EE227">
        <v>3614</v>
      </c>
    </row>
    <row r="228" spans="29:140">
      <c r="AC228" t="s">
        <v>163</v>
      </c>
      <c r="AD228" t="s">
        <v>146</v>
      </c>
      <c r="AE228" t="s">
        <v>169</v>
      </c>
      <c r="AF228" t="s">
        <v>170</v>
      </c>
      <c r="AG228" t="s">
        <v>150</v>
      </c>
      <c r="AH228" t="s">
        <v>171</v>
      </c>
      <c r="AI228" t="s">
        <v>172</v>
      </c>
      <c r="AJ228" t="s">
        <v>173</v>
      </c>
      <c r="AK228" t="s">
        <v>174</v>
      </c>
      <c r="AL228" t="s">
        <v>143</v>
      </c>
      <c r="AM228" t="s">
        <v>146</v>
      </c>
      <c r="AN228" t="s">
        <v>175</v>
      </c>
      <c r="AQ228" t="s">
        <v>163</v>
      </c>
      <c r="AR228" t="s">
        <v>146</v>
      </c>
      <c r="AS228" t="s">
        <v>169</v>
      </c>
      <c r="AT228" t="s">
        <v>170</v>
      </c>
      <c r="AU228" t="s">
        <v>150</v>
      </c>
      <c r="AV228" t="s">
        <v>171</v>
      </c>
      <c r="AW228" t="s">
        <v>172</v>
      </c>
      <c r="AX228" t="s">
        <v>173</v>
      </c>
      <c r="AY228" t="s">
        <v>174</v>
      </c>
      <c r="AZ228" t="s">
        <v>143</v>
      </c>
      <c r="BA228" t="s">
        <v>146</v>
      </c>
      <c r="BB228" t="s">
        <v>175</v>
      </c>
      <c r="BE228" t="s">
        <v>163</v>
      </c>
      <c r="BF228" t="s">
        <v>146</v>
      </c>
      <c r="BG228" t="s">
        <v>169</v>
      </c>
      <c r="BH228" t="s">
        <v>170</v>
      </c>
      <c r="BI228" t="s">
        <v>150</v>
      </c>
      <c r="BJ228" t="s">
        <v>171</v>
      </c>
      <c r="BK228" t="s">
        <v>172</v>
      </c>
      <c r="BL228" t="s">
        <v>173</v>
      </c>
      <c r="BM228" t="s">
        <v>174</v>
      </c>
      <c r="BN228" t="s">
        <v>143</v>
      </c>
      <c r="BO228" t="s">
        <v>146</v>
      </c>
      <c r="BP228" t="s">
        <v>175</v>
      </c>
      <c r="CU228" t="s">
        <v>163</v>
      </c>
      <c r="CV228" t="s">
        <v>146</v>
      </c>
      <c r="CW228" t="s">
        <v>169</v>
      </c>
      <c r="CX228" t="s">
        <v>170</v>
      </c>
      <c r="CY228" t="s">
        <v>150</v>
      </c>
      <c r="CZ228" t="s">
        <v>171</v>
      </c>
      <c r="DA228" t="s">
        <v>172</v>
      </c>
      <c r="DB228" t="s">
        <v>173</v>
      </c>
      <c r="DC228" t="s">
        <v>174</v>
      </c>
      <c r="DD228" t="s">
        <v>143</v>
      </c>
      <c r="DE228" t="s">
        <v>146</v>
      </c>
      <c r="DF228" t="s">
        <v>175</v>
      </c>
      <c r="DI228" t="s">
        <v>163</v>
      </c>
      <c r="DJ228" t="s">
        <v>146</v>
      </c>
      <c r="DK228" t="s">
        <v>169</v>
      </c>
      <c r="DL228" t="s">
        <v>170</v>
      </c>
      <c r="DM228" t="s">
        <v>150</v>
      </c>
      <c r="DN228" t="s">
        <v>171</v>
      </c>
      <c r="DO228" t="s">
        <v>172</v>
      </c>
      <c r="DP228" t="s">
        <v>173</v>
      </c>
      <c r="DQ228" t="s">
        <v>174</v>
      </c>
      <c r="DR228" t="s">
        <v>143</v>
      </c>
      <c r="DS228" t="s">
        <v>146</v>
      </c>
      <c r="DT228" t="s">
        <v>175</v>
      </c>
      <c r="DY228" t="s">
        <v>163</v>
      </c>
      <c r="DZ228" t="s">
        <v>146</v>
      </c>
      <c r="EA228" t="s">
        <v>169</v>
      </c>
      <c r="EB228" t="s">
        <v>170</v>
      </c>
      <c r="EC228" t="s">
        <v>150</v>
      </c>
      <c r="ED228" t="s">
        <v>171</v>
      </c>
      <c r="EE228" t="s">
        <v>172</v>
      </c>
      <c r="EF228" t="s">
        <v>173</v>
      </c>
      <c r="EG228" t="s">
        <v>174</v>
      </c>
      <c r="EH228" t="s">
        <v>143</v>
      </c>
      <c r="EI228" t="s">
        <v>146</v>
      </c>
      <c r="EJ228" t="s">
        <v>175</v>
      </c>
    </row>
    <row r="231" spans="29:140">
      <c r="AC231" t="s">
        <v>399</v>
      </c>
    </row>
    <row r="232" spans="29:140">
      <c r="AC232" t="s">
        <v>400</v>
      </c>
    </row>
    <row r="233" spans="29:140">
      <c r="AC233" t="s">
        <v>401</v>
      </c>
    </row>
    <row r="235" spans="29:140">
      <c r="AC235" t="s">
        <v>402</v>
      </c>
    </row>
  </sheetData>
  <conditionalFormatting sqref="KW111:KW1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115:KW11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W119:KW12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Melbourne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Vesk</dc:creator>
  <cp:lastModifiedBy>Peter Vesk</cp:lastModifiedBy>
  <dcterms:created xsi:type="dcterms:W3CDTF">2015-04-24T23:56:50Z</dcterms:created>
  <dcterms:modified xsi:type="dcterms:W3CDTF">2015-05-05T11:43:11Z</dcterms:modified>
</cp:coreProperties>
</file>